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eixin/Downloads/"/>
    </mc:Choice>
  </mc:AlternateContent>
  <xr:revisionPtr revIDLastSave="0" documentId="13_ncr:1_{900DB2F1-DB2A-CF41-950B-E0A31B2F96A3}" xr6:coauthVersionLast="47" xr6:coauthVersionMax="47" xr10:uidLastSave="{00000000-0000-0000-0000-000000000000}"/>
  <bookViews>
    <workbookView xWindow="0" yWindow="0" windowWidth="38400" windowHeight="24000" xr2:uid="{B03604A0-3931-3A46-8834-101A77BBF39E}"/>
  </bookViews>
  <sheets>
    <sheet name="Calculations" sheetId="1" r:id="rId1"/>
  </sheets>
  <definedNames>
    <definedName name="_xlnm._FilterDatabase" localSheetId="0" hidden="1">Calculations!$I$1:$AI$367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1" l="1" a="1"/>
  <c r="AQ3" i="1" s="1"/>
  <c r="AQ4" i="1" a="1"/>
  <c r="AQ4" i="1"/>
  <c r="AQ5" i="1" a="1"/>
  <c r="AQ5" i="1" s="1"/>
  <c r="AQ6" i="1" a="1"/>
  <c r="AQ6" i="1" s="1"/>
  <c r="AQ7" i="1" a="1"/>
  <c r="AQ7" i="1" s="1"/>
  <c r="AQ8" i="1" a="1"/>
  <c r="AQ8" i="1" s="1"/>
  <c r="AQ9" i="1" a="1"/>
  <c r="AQ9" i="1" s="1"/>
  <c r="AQ10" i="1" a="1"/>
  <c r="AQ10" i="1"/>
  <c r="AQ11" i="1" a="1"/>
  <c r="AQ11" i="1" s="1"/>
  <c r="AQ12" i="1" a="1"/>
  <c r="AQ12" i="1" s="1"/>
  <c r="AQ13" i="1" a="1"/>
  <c r="AQ13" i="1" s="1"/>
  <c r="AQ14" i="1" a="1"/>
  <c r="AQ14" i="1"/>
  <c r="AQ15" i="1" a="1"/>
  <c r="AQ15" i="1" s="1"/>
  <c r="AQ16" i="1" a="1"/>
  <c r="AQ16" i="1" s="1"/>
  <c r="AQ17" i="1" a="1"/>
  <c r="AQ17" i="1" s="1"/>
  <c r="AQ18" i="1" a="1"/>
  <c r="AQ18" i="1" s="1"/>
  <c r="AR18" i="1" s="1"/>
  <c r="AQ19" i="1" a="1"/>
  <c r="AQ19" i="1" s="1"/>
  <c r="AQ20" i="1" a="1"/>
  <c r="AQ20" i="1" s="1"/>
  <c r="AQ21" i="1" a="1"/>
  <c r="AQ21" i="1" s="1"/>
  <c r="AQ22" i="1" a="1"/>
  <c r="AQ22" i="1" s="1"/>
  <c r="AR22" i="1" s="1"/>
  <c r="AQ23" i="1" a="1"/>
  <c r="AQ23" i="1" s="1"/>
  <c r="AQ24" i="1" a="1"/>
  <c r="AQ24" i="1" s="1"/>
  <c r="AQ25" i="1" a="1"/>
  <c r="AQ25" i="1" s="1"/>
  <c r="AQ26" i="1" a="1"/>
  <c r="AQ26" i="1" s="1"/>
  <c r="AQ27" i="1" a="1"/>
  <c r="AQ27" i="1" s="1"/>
  <c r="AQ28" i="1" a="1"/>
  <c r="AQ28" i="1"/>
  <c r="AQ29" i="1" a="1"/>
  <c r="AQ29" i="1" s="1"/>
  <c r="AQ30" i="1" a="1"/>
  <c r="AQ30" i="1" s="1"/>
  <c r="AR30" i="1" s="1"/>
  <c r="AQ31" i="1" a="1"/>
  <c r="AQ31" i="1" s="1"/>
  <c r="AQ32" i="1" a="1"/>
  <c r="AQ32" i="1" s="1"/>
  <c r="AQ33" i="1" a="1"/>
  <c r="AQ33" i="1" s="1"/>
  <c r="AQ34" i="1" a="1"/>
  <c r="AQ34" i="1" s="1"/>
  <c r="AQ35" i="1" a="1"/>
  <c r="AQ35" i="1" s="1"/>
  <c r="AQ36" i="1" a="1"/>
  <c r="AQ36" i="1" s="1"/>
  <c r="AQ37" i="1" a="1"/>
  <c r="AQ37" i="1" s="1"/>
  <c r="AQ38" i="1" a="1"/>
  <c r="AQ38" i="1" s="1"/>
  <c r="AR38" i="1" s="1"/>
  <c r="AQ39" i="1" a="1"/>
  <c r="AQ39" i="1" s="1"/>
  <c r="AQ40" i="1" a="1"/>
  <c r="AQ40" i="1" s="1"/>
  <c r="AQ41" i="1" a="1"/>
  <c r="AQ41" i="1" s="1"/>
  <c r="AQ42" i="1" a="1"/>
  <c r="AQ42" i="1" s="1"/>
  <c r="AR42" i="1" s="1"/>
  <c r="AQ43" i="1" a="1"/>
  <c r="AQ43" i="1" s="1"/>
  <c r="AQ44" i="1" a="1"/>
  <c r="AQ44" i="1" s="1"/>
  <c r="AQ45" i="1" a="1"/>
  <c r="AQ45" i="1" s="1"/>
  <c r="AQ46" i="1" a="1"/>
  <c r="AQ46" i="1" s="1"/>
  <c r="AR46" i="1" s="1"/>
  <c r="AQ47" i="1" a="1"/>
  <c r="AQ47" i="1" s="1"/>
  <c r="AQ48" i="1" a="1"/>
  <c r="AQ48" i="1" s="1"/>
  <c r="AQ49" i="1" a="1"/>
  <c r="AQ49" i="1" s="1"/>
  <c r="AQ50" i="1" a="1"/>
  <c r="AQ50" i="1" s="1"/>
  <c r="AQ51" i="1" a="1"/>
  <c r="AQ51" i="1" s="1"/>
  <c r="AQ52" i="1" a="1"/>
  <c r="AQ52" i="1" s="1"/>
  <c r="AQ53" i="1" a="1"/>
  <c r="AQ53" i="1" s="1"/>
  <c r="AQ54" i="1" a="1"/>
  <c r="AQ54" i="1" s="1"/>
  <c r="AR54" i="1" s="1"/>
  <c r="AQ55" i="1" a="1"/>
  <c r="AQ55" i="1" s="1"/>
  <c r="AQ56" i="1" a="1"/>
  <c r="AQ56" i="1" s="1"/>
  <c r="AQ57" i="1" a="1"/>
  <c r="AQ57" i="1" s="1"/>
  <c r="AQ58" i="1" a="1"/>
  <c r="AQ58" i="1" s="1"/>
  <c r="AR58" i="1" s="1"/>
  <c r="AQ59" i="1" a="1"/>
  <c r="AQ59" i="1" s="1"/>
  <c r="AQ60" i="1" a="1"/>
  <c r="AQ60" i="1" s="1"/>
  <c r="AQ61" i="1" a="1"/>
  <c r="AQ61" i="1" s="1"/>
  <c r="AQ62" i="1" a="1"/>
  <c r="AQ62" i="1" s="1"/>
  <c r="AR62" i="1" s="1"/>
  <c r="AQ63" i="1" a="1"/>
  <c r="AQ63" i="1" s="1"/>
  <c r="AQ64" i="1" a="1"/>
  <c r="AQ64" i="1" s="1"/>
  <c r="AQ65" i="1" a="1"/>
  <c r="AQ65" i="1" s="1"/>
  <c r="AQ66" i="1" a="1"/>
  <c r="AQ66" i="1" s="1"/>
  <c r="AQ67" i="1" a="1"/>
  <c r="AQ67" i="1" s="1"/>
  <c r="AQ68" i="1" a="1"/>
  <c r="AQ68" i="1" s="1"/>
  <c r="AQ69" i="1" a="1"/>
  <c r="AQ69" i="1" s="1"/>
  <c r="AQ70" i="1" a="1"/>
  <c r="AQ70" i="1" s="1"/>
  <c r="AR70" i="1" s="1"/>
  <c r="AQ71" i="1" a="1"/>
  <c r="AQ71" i="1" s="1"/>
  <c r="AQ72" i="1" a="1"/>
  <c r="AQ72" i="1" s="1"/>
  <c r="AQ73" i="1" a="1"/>
  <c r="AQ73" i="1" s="1"/>
  <c r="AQ74" i="1" a="1"/>
  <c r="AQ74" i="1" s="1"/>
  <c r="AR74" i="1" s="1"/>
  <c r="AQ75" i="1" a="1"/>
  <c r="AQ75" i="1" s="1"/>
  <c r="AQ76" i="1" a="1"/>
  <c r="AQ76" i="1" s="1"/>
  <c r="AQ77" i="1" a="1"/>
  <c r="AQ77" i="1" s="1"/>
  <c r="AQ78" i="1" a="1"/>
  <c r="AQ78" i="1" s="1"/>
  <c r="AR78" i="1" s="1"/>
  <c r="AQ79" i="1" a="1"/>
  <c r="AQ79" i="1" s="1"/>
  <c r="AQ80" i="1" a="1"/>
  <c r="AQ80" i="1" s="1"/>
  <c r="AQ81" i="1" a="1"/>
  <c r="AQ81" i="1" s="1"/>
  <c r="AQ82" i="1" a="1"/>
  <c r="AQ82" i="1" s="1"/>
  <c r="AR82" i="1" s="1"/>
  <c r="AQ83" i="1" a="1"/>
  <c r="AQ83" i="1" s="1"/>
  <c r="AQ84" i="1" a="1"/>
  <c r="AQ84" i="1" s="1"/>
  <c r="AQ85" i="1" a="1"/>
  <c r="AQ85" i="1" s="1"/>
  <c r="AQ86" i="1" a="1"/>
  <c r="AQ86" i="1" s="1"/>
  <c r="AR86" i="1" s="1"/>
  <c r="AQ87" i="1" a="1"/>
  <c r="AQ87" i="1" s="1"/>
  <c r="AQ88" i="1" a="1"/>
  <c r="AQ88" i="1" s="1"/>
  <c r="AQ89" i="1" a="1"/>
  <c r="AQ89" i="1" s="1"/>
  <c r="AQ90" i="1" a="1"/>
  <c r="AQ90" i="1" s="1"/>
  <c r="AQ91" i="1" a="1"/>
  <c r="AQ91" i="1" s="1"/>
  <c r="AQ92" i="1" a="1"/>
  <c r="AQ92" i="1"/>
  <c r="AQ93" i="1" a="1"/>
  <c r="AQ93" i="1" s="1"/>
  <c r="AQ94" i="1" a="1"/>
  <c r="AQ94" i="1" s="1"/>
  <c r="AR94" i="1" s="1"/>
  <c r="AQ95" i="1" a="1"/>
  <c r="AQ95" i="1" s="1"/>
  <c r="AQ96" i="1" a="1"/>
  <c r="AQ96" i="1" s="1"/>
  <c r="AQ97" i="1" a="1"/>
  <c r="AQ97" i="1" s="1"/>
  <c r="AQ98" i="1" a="1"/>
  <c r="AQ98" i="1" s="1"/>
  <c r="AQ99" i="1" a="1"/>
  <c r="AQ99" i="1" s="1"/>
  <c r="AQ100" i="1" a="1"/>
  <c r="AQ100" i="1"/>
  <c r="AQ101" i="1" a="1"/>
  <c r="AQ101" i="1"/>
  <c r="AQ102" i="1" a="1"/>
  <c r="AQ102" i="1" s="1"/>
  <c r="AQ103" i="1" a="1"/>
  <c r="AQ103" i="1" s="1"/>
  <c r="AQ104" i="1" a="1"/>
  <c r="AQ104" i="1" s="1"/>
  <c r="AR104" i="1" s="1"/>
  <c r="AQ105" i="1" a="1"/>
  <c r="AQ105" i="1" s="1"/>
  <c r="AR105" i="1" s="1"/>
  <c r="AQ106" i="1" a="1"/>
  <c r="AQ106" i="1" s="1"/>
  <c r="AR106" i="1" s="1"/>
  <c r="AQ107" i="1" a="1"/>
  <c r="AQ107" i="1" s="1"/>
  <c r="AQ108" i="1" a="1"/>
  <c r="AQ108" i="1" s="1"/>
  <c r="AQ109" i="1" a="1"/>
  <c r="AQ109" i="1"/>
  <c r="AQ110" i="1" a="1"/>
  <c r="AQ110" i="1"/>
  <c r="AQ111" i="1" a="1"/>
  <c r="AQ111" i="1" s="1"/>
  <c r="AQ112" i="1" a="1"/>
  <c r="AQ112" i="1"/>
  <c r="AQ113" i="1" a="1"/>
  <c r="AQ113" i="1" s="1"/>
  <c r="AQ114" i="1" a="1"/>
  <c r="AQ114" i="1" s="1"/>
  <c r="AQ115" i="1" a="1"/>
  <c r="AQ115" i="1" s="1"/>
  <c r="AQ116" i="1" a="1"/>
  <c r="AQ116" i="1" s="1"/>
  <c r="AQ117" i="1" a="1"/>
  <c r="AQ117" i="1" s="1"/>
  <c r="AQ118" i="1" a="1"/>
  <c r="AQ118" i="1"/>
  <c r="AQ119" i="1" a="1"/>
  <c r="AQ119" i="1" s="1"/>
  <c r="AQ120" i="1" a="1"/>
  <c r="AQ120" i="1" s="1"/>
  <c r="AQ121" i="1" a="1"/>
  <c r="AQ121" i="1" s="1"/>
  <c r="AR121" i="1" s="1"/>
  <c r="AQ122" i="1" a="1"/>
  <c r="AQ122" i="1" s="1"/>
  <c r="AQ123" i="1" a="1"/>
  <c r="AQ123" i="1" s="1"/>
  <c r="AQ124" i="1" a="1"/>
  <c r="AQ124" i="1"/>
  <c r="AQ125" i="1" a="1"/>
  <c r="AQ125" i="1" s="1"/>
  <c r="AQ126" i="1" a="1"/>
  <c r="AQ126" i="1" s="1"/>
  <c r="AQ127" i="1" a="1"/>
  <c r="AQ127" i="1" s="1"/>
  <c r="AQ128" i="1" a="1"/>
  <c r="AQ128" i="1" s="1"/>
  <c r="AR128" i="1" s="1"/>
  <c r="AQ129" i="1" a="1"/>
  <c r="AQ129" i="1" s="1"/>
  <c r="AR129" i="1" s="1"/>
  <c r="AQ130" i="1" a="1"/>
  <c r="AQ130" i="1" s="1"/>
  <c r="AR130" i="1" s="1"/>
  <c r="AQ131" i="1" a="1"/>
  <c r="AQ131" i="1" s="1"/>
  <c r="AQ132" i="1" a="1"/>
  <c r="AQ132" i="1"/>
  <c r="AQ133" i="1" a="1"/>
  <c r="AQ133" i="1" s="1"/>
  <c r="AQ134" i="1" a="1"/>
  <c r="AQ134" i="1" s="1"/>
  <c r="AQ135" i="1" a="1"/>
  <c r="AQ135" i="1" s="1"/>
  <c r="AQ136" i="1" a="1"/>
  <c r="AQ136" i="1" s="1"/>
  <c r="AR136" i="1" s="1"/>
  <c r="AQ137" i="1" a="1"/>
  <c r="AQ137" i="1" s="1"/>
  <c r="AQ138" i="1" a="1"/>
  <c r="AQ138" i="1" s="1"/>
  <c r="AQ139" i="1" a="1"/>
  <c r="AQ139" i="1" s="1"/>
  <c r="AQ140" i="1" a="1"/>
  <c r="AQ140" i="1"/>
  <c r="AQ141" i="1" a="1"/>
  <c r="AQ141" i="1"/>
  <c r="AQ142" i="1" a="1"/>
  <c r="AQ142" i="1" s="1"/>
  <c r="AQ143" i="1" a="1"/>
  <c r="AQ143" i="1" s="1"/>
  <c r="AQ144" i="1" a="1"/>
  <c r="AQ144" i="1" s="1"/>
  <c r="AQ145" i="1" a="1"/>
  <c r="AQ145" i="1" s="1"/>
  <c r="AR145" i="1" s="1"/>
  <c r="AQ146" i="1" a="1"/>
  <c r="AQ146" i="1" s="1"/>
  <c r="AQ147" i="1" a="1"/>
  <c r="AQ147" i="1" s="1"/>
  <c r="AQ148" i="1" a="1"/>
  <c r="AQ148" i="1" s="1"/>
  <c r="AQ149" i="1" a="1"/>
  <c r="AQ149" i="1"/>
  <c r="AQ150" i="1" a="1"/>
  <c r="AQ150" i="1"/>
  <c r="AQ151" i="1" a="1"/>
  <c r="AQ151" i="1" s="1"/>
  <c r="AQ152" i="1" a="1"/>
  <c r="AQ152" i="1"/>
  <c r="AQ153" i="1" a="1"/>
  <c r="AQ153" i="1" s="1"/>
  <c r="AR153" i="1" s="1"/>
  <c r="AQ154" i="1" a="1"/>
  <c r="AQ154" i="1" s="1"/>
  <c r="AR154" i="1" s="1"/>
  <c r="AQ155" i="1" a="1"/>
  <c r="AQ155" i="1" s="1"/>
  <c r="AQ156" i="1" a="1"/>
  <c r="AQ156" i="1" s="1"/>
  <c r="AQ157" i="1" a="1"/>
  <c r="AQ157" i="1" s="1"/>
  <c r="AQ158" i="1" a="1"/>
  <c r="AQ158" i="1"/>
  <c r="AQ159" i="1" a="1"/>
  <c r="AQ159" i="1" s="1"/>
  <c r="AQ160" i="1" a="1"/>
  <c r="AQ160" i="1" s="1"/>
  <c r="AR160" i="1" s="1"/>
  <c r="AQ161" i="1" a="1"/>
  <c r="AQ161" i="1"/>
  <c r="AQ162" i="1" a="1"/>
  <c r="AQ162" i="1" s="1"/>
  <c r="AR162" i="1" s="1"/>
  <c r="AQ163" i="1" a="1"/>
  <c r="AQ163" i="1" s="1"/>
  <c r="AQ164" i="1" a="1"/>
  <c r="AQ164" i="1"/>
  <c r="AQ165" i="1" a="1"/>
  <c r="AQ165" i="1" s="1"/>
  <c r="AQ166" i="1" a="1"/>
  <c r="AQ166" i="1" s="1"/>
  <c r="AQ167" i="1" a="1"/>
  <c r="AQ167" i="1" s="1"/>
  <c r="AQ168" i="1" a="1"/>
  <c r="AQ168" i="1" s="1"/>
  <c r="AR168" i="1" s="1"/>
  <c r="AQ169" i="1" a="1"/>
  <c r="AQ169" i="1" s="1"/>
  <c r="AQ170" i="1" a="1"/>
  <c r="AQ170" i="1"/>
  <c r="AQ171" i="1" a="1"/>
  <c r="AQ171" i="1" s="1"/>
  <c r="AQ172" i="1" a="1"/>
  <c r="AQ172" i="1"/>
  <c r="AQ173" i="1" a="1"/>
  <c r="AQ173" i="1"/>
  <c r="AQ174" i="1" a="1"/>
  <c r="AQ174" i="1" s="1"/>
  <c r="AQ175" i="1" a="1"/>
  <c r="AQ175" i="1" s="1"/>
  <c r="AQ176" i="1" a="1"/>
  <c r="AQ176" i="1" s="1"/>
  <c r="AR176" i="1" s="1"/>
  <c r="AQ177" i="1" a="1"/>
  <c r="AQ177" i="1" s="1"/>
  <c r="AQ178" i="1" a="1"/>
  <c r="AQ178" i="1" s="1"/>
  <c r="AQ179" i="1" a="1"/>
  <c r="AQ179" i="1" s="1"/>
  <c r="AQ180" i="1" a="1"/>
  <c r="AQ180" i="1" s="1"/>
  <c r="AQ181" i="1" a="1"/>
  <c r="AQ181" i="1"/>
  <c r="AQ182" i="1" a="1"/>
  <c r="AQ182" i="1"/>
  <c r="AQ183" i="1" a="1"/>
  <c r="AQ183" i="1" s="1"/>
  <c r="AQ184" i="1" a="1"/>
  <c r="AQ184" i="1"/>
  <c r="AQ185" i="1" a="1"/>
  <c r="AQ185" i="1" s="1"/>
  <c r="AR185" i="1" s="1"/>
  <c r="AQ186" i="1" a="1"/>
  <c r="AQ186" i="1" s="1"/>
  <c r="AR186" i="1" s="1"/>
  <c r="AQ187" i="1" a="1"/>
  <c r="AQ187" i="1" s="1"/>
  <c r="AQ188" i="1" a="1"/>
  <c r="AQ188" i="1" s="1"/>
  <c r="AQ189" i="1" a="1"/>
  <c r="AQ189" i="1" s="1"/>
  <c r="AQ190" i="1" a="1"/>
  <c r="AQ190" i="1"/>
  <c r="AQ191" i="1" a="1"/>
  <c r="AQ191" i="1" s="1"/>
  <c r="AQ192" i="1" a="1"/>
  <c r="AQ192" i="1" s="1"/>
  <c r="AR192" i="1" s="1"/>
  <c r="AQ193" i="1" a="1"/>
  <c r="AQ193" i="1"/>
  <c r="AQ194" i="1" a="1"/>
  <c r="AQ194" i="1" s="1"/>
  <c r="AR194" i="1" s="1"/>
  <c r="AQ195" i="1" a="1"/>
  <c r="AQ195" i="1" s="1"/>
  <c r="AQ196" i="1" a="1"/>
  <c r="AQ196" i="1"/>
  <c r="AQ197" i="1" a="1"/>
  <c r="AQ197" i="1" s="1"/>
  <c r="AQ198" i="1" a="1"/>
  <c r="AQ198" i="1" s="1"/>
  <c r="AQ199" i="1" a="1"/>
  <c r="AQ199" i="1" s="1"/>
  <c r="AQ200" i="1" a="1"/>
  <c r="AQ200" i="1" s="1"/>
  <c r="AQ201" i="1" a="1"/>
  <c r="AQ201" i="1" s="1"/>
  <c r="AQ202" i="1" a="1"/>
  <c r="AQ202" i="1"/>
  <c r="AQ203" i="1" a="1"/>
  <c r="AQ203" i="1" s="1"/>
  <c r="AQ204" i="1" a="1"/>
  <c r="AQ204" i="1"/>
  <c r="AQ205" i="1" a="1"/>
  <c r="AQ205" i="1"/>
  <c r="AQ206" i="1" a="1"/>
  <c r="AQ206" i="1" s="1"/>
  <c r="AQ207" i="1" a="1"/>
  <c r="AQ207" i="1" s="1"/>
  <c r="AQ208" i="1" a="1"/>
  <c r="AQ208" i="1" s="1"/>
  <c r="AR208" i="1" s="1"/>
  <c r="AQ209" i="1" a="1"/>
  <c r="AQ209" i="1" s="1"/>
  <c r="AR209" i="1" s="1"/>
  <c r="AQ210" i="1" a="1"/>
  <c r="AQ210" i="1" s="1"/>
  <c r="AR210" i="1" s="1"/>
  <c r="AQ211" i="1" a="1"/>
  <c r="AQ211" i="1" s="1"/>
  <c r="AQ212" i="1" a="1"/>
  <c r="AQ212" i="1" s="1"/>
  <c r="AQ213" i="1" a="1"/>
  <c r="AQ213" i="1"/>
  <c r="AQ214" i="1" a="1"/>
  <c r="AQ214" i="1"/>
  <c r="AQ215" i="1" a="1"/>
  <c r="AQ215" i="1" s="1"/>
  <c r="AQ216" i="1" a="1"/>
  <c r="AQ216" i="1"/>
  <c r="AQ217" i="1" a="1"/>
  <c r="AQ217" i="1" s="1"/>
  <c r="AR217" i="1" s="1"/>
  <c r="AQ218" i="1" a="1"/>
  <c r="AQ218" i="1" s="1"/>
  <c r="AR218" i="1" s="1"/>
  <c r="AQ219" i="1" a="1"/>
  <c r="AQ219" i="1" s="1"/>
  <c r="AQ220" i="1" a="1"/>
  <c r="AQ220" i="1" s="1"/>
  <c r="AQ221" i="1" a="1"/>
  <c r="AQ221" i="1" s="1"/>
  <c r="AQ222" i="1" a="1"/>
  <c r="AQ222" i="1"/>
  <c r="AQ223" i="1" a="1"/>
  <c r="AQ223" i="1" s="1"/>
  <c r="AQ224" i="1" a="1"/>
  <c r="AQ224" i="1"/>
  <c r="AQ225" i="1" a="1"/>
  <c r="AQ225" i="1"/>
  <c r="AQ226" i="1" a="1"/>
  <c r="AQ226" i="1" s="1"/>
  <c r="AR226" i="1" s="1"/>
  <c r="AQ227" i="1" a="1"/>
  <c r="AQ227" i="1" s="1"/>
  <c r="AQ228" i="1" a="1"/>
  <c r="AQ228" i="1"/>
  <c r="AQ229" i="1" a="1"/>
  <c r="AQ229" i="1" s="1"/>
  <c r="AQ230" i="1" a="1"/>
  <c r="AQ230" i="1" s="1"/>
  <c r="AQ231" i="1" a="1"/>
  <c r="AQ231" i="1" s="1"/>
  <c r="AQ232" i="1" a="1"/>
  <c r="AQ232" i="1" s="1"/>
  <c r="AQ233" i="1" a="1"/>
  <c r="AQ233" i="1"/>
  <c r="AQ234" i="1" a="1"/>
  <c r="AQ234" i="1"/>
  <c r="AQ235" i="1" a="1"/>
  <c r="AQ235" i="1" s="1"/>
  <c r="AQ236" i="1" a="1"/>
  <c r="AQ236" i="1"/>
  <c r="AQ237" i="1" a="1"/>
  <c r="AQ237" i="1"/>
  <c r="AQ238" i="1" a="1"/>
  <c r="AQ238" i="1" s="1"/>
  <c r="AQ239" i="1" a="1"/>
  <c r="AQ239" i="1" s="1"/>
  <c r="AQ240" i="1" a="1"/>
  <c r="AQ240" i="1" s="1"/>
  <c r="AR240" i="1" s="1"/>
  <c r="AQ241" i="1" a="1"/>
  <c r="AQ241" i="1" s="1"/>
  <c r="AQ242" i="1" a="1"/>
  <c r="AQ242" i="1"/>
  <c r="AQ243" i="1" a="1"/>
  <c r="AQ243" i="1" s="1"/>
  <c r="AQ244" i="1" a="1"/>
  <c r="AQ244" i="1"/>
  <c r="AQ245" i="1" a="1"/>
  <c r="AQ245" i="1"/>
  <c r="AQ246" i="1" a="1"/>
  <c r="AQ246" i="1"/>
  <c r="AQ247" i="1" a="1"/>
  <c r="AQ247" i="1" s="1"/>
  <c r="AQ248" i="1" a="1"/>
  <c r="AQ248" i="1"/>
  <c r="AQ249" i="1" a="1"/>
  <c r="AQ249" i="1" s="1"/>
  <c r="AR249" i="1" s="1"/>
  <c r="AQ250" i="1" a="1"/>
  <c r="AQ250" i="1" s="1"/>
  <c r="AR250" i="1" s="1"/>
  <c r="AQ251" i="1" a="1"/>
  <c r="AQ251" i="1" s="1"/>
  <c r="AQ252" i="1" a="1"/>
  <c r="AQ252" i="1" s="1"/>
  <c r="AQ253" i="1" a="1"/>
  <c r="AQ253" i="1"/>
  <c r="AQ254" i="1" a="1"/>
  <c r="AQ254" i="1"/>
  <c r="AQ255" i="1" a="1"/>
  <c r="AQ255" i="1" s="1"/>
  <c r="AQ256" i="1" a="1"/>
  <c r="AQ256" i="1"/>
  <c r="AQ257" i="1" a="1"/>
  <c r="AQ257" i="1"/>
  <c r="AQ258" i="1" a="1"/>
  <c r="AQ258" i="1" s="1"/>
  <c r="AR258" i="1" s="1"/>
  <c r="AQ259" i="1" a="1"/>
  <c r="AQ259" i="1" s="1"/>
  <c r="AQ260" i="1" a="1"/>
  <c r="AQ260" i="1"/>
  <c r="AQ261" i="1" a="1"/>
  <c r="AQ261" i="1" s="1"/>
  <c r="AQ262" i="1" a="1"/>
  <c r="AQ262" i="1"/>
  <c r="AQ263" i="1" a="1"/>
  <c r="AQ263" i="1" s="1"/>
  <c r="AQ264" i="1" a="1"/>
  <c r="AQ264" i="1" s="1"/>
  <c r="AQ265" i="1" a="1"/>
  <c r="AQ265" i="1"/>
  <c r="AQ266" i="1" a="1"/>
  <c r="AQ266" i="1"/>
  <c r="AQ267" i="1" a="1"/>
  <c r="AQ267" i="1" s="1"/>
  <c r="AQ268" i="1" a="1"/>
  <c r="AQ268" i="1"/>
  <c r="AQ269" i="1" a="1"/>
  <c r="AQ269" i="1"/>
  <c r="AQ270" i="1" a="1"/>
  <c r="AQ270" i="1" s="1"/>
  <c r="AQ271" i="1" a="1"/>
  <c r="AQ271" i="1" s="1"/>
  <c r="AQ272" i="1" a="1"/>
  <c r="AQ272" i="1" s="1"/>
  <c r="AR272" i="1" s="1"/>
  <c r="AQ273" i="1" a="1"/>
  <c r="AQ273" i="1" s="1"/>
  <c r="AR273" i="1" s="1"/>
  <c r="AQ274" i="1" a="1"/>
  <c r="AQ274" i="1"/>
  <c r="AQ275" i="1" a="1"/>
  <c r="AQ275" i="1" s="1"/>
  <c r="AQ276" i="1" a="1"/>
  <c r="AQ276" i="1"/>
  <c r="AQ277" i="1" a="1"/>
  <c r="AQ277" i="1"/>
  <c r="AQ278" i="1" a="1"/>
  <c r="AQ278" i="1"/>
  <c r="AQ279" i="1" a="1"/>
  <c r="AQ279" i="1" s="1"/>
  <c r="AQ280" i="1" a="1"/>
  <c r="AQ280" i="1" s="1"/>
  <c r="AQ281" i="1" a="1"/>
  <c r="AQ281" i="1" s="1"/>
  <c r="AR281" i="1" s="1"/>
  <c r="AQ282" i="1" a="1"/>
  <c r="AQ282" i="1" s="1"/>
  <c r="AR282" i="1" s="1"/>
  <c r="AQ283" i="1" a="1"/>
  <c r="AQ283" i="1" s="1"/>
  <c r="AQ284" i="1" a="1"/>
  <c r="AQ284" i="1" s="1"/>
  <c r="AQ285" i="1" a="1"/>
  <c r="AQ285" i="1"/>
  <c r="AQ286" i="1" a="1"/>
  <c r="AQ286" i="1"/>
  <c r="AQ287" i="1" a="1"/>
  <c r="AQ287" i="1" s="1"/>
  <c r="AQ288" i="1" a="1"/>
  <c r="AQ288" i="1"/>
  <c r="AQ289" i="1" a="1"/>
  <c r="AQ289" i="1" s="1"/>
  <c r="AQ290" i="1" a="1"/>
  <c r="AQ290" i="1" s="1"/>
  <c r="AR290" i="1" s="1"/>
  <c r="AQ291" i="1" a="1"/>
  <c r="AQ291" i="1" s="1"/>
  <c r="AQ292" i="1" a="1"/>
  <c r="AQ292" i="1"/>
  <c r="AQ293" i="1" a="1"/>
  <c r="AQ293" i="1" s="1"/>
  <c r="AQ294" i="1" a="1"/>
  <c r="AQ294" i="1"/>
  <c r="AQ295" i="1" a="1"/>
  <c r="AQ295" i="1" s="1"/>
  <c r="AQ296" i="1" a="1"/>
  <c r="AQ296" i="1" s="1"/>
  <c r="AR296" i="1" s="1"/>
  <c r="AQ297" i="1" a="1"/>
  <c r="AQ297" i="1"/>
  <c r="AQ298" i="1" a="1"/>
  <c r="AQ298" i="1" s="1"/>
  <c r="AR298" i="1" s="1"/>
  <c r="AQ299" i="1" a="1"/>
  <c r="AQ299" i="1" s="1"/>
  <c r="AQ300" i="1" a="1"/>
  <c r="AQ300" i="1"/>
  <c r="AQ301" i="1" a="1"/>
  <c r="AQ301" i="1"/>
  <c r="AQ302" i="1" a="1"/>
  <c r="AQ302" i="1"/>
  <c r="AQ303" i="1" a="1"/>
  <c r="AQ303" i="1" s="1"/>
  <c r="AQ304" i="1" a="1"/>
  <c r="AQ304" i="1" s="1"/>
  <c r="AQ305" i="1" a="1"/>
  <c r="AQ305" i="1" s="1"/>
  <c r="AQ306" i="1" a="1"/>
  <c r="AQ306" i="1"/>
  <c r="AQ307" i="1" a="1"/>
  <c r="AQ307" i="1" s="1"/>
  <c r="AQ308" i="1" a="1"/>
  <c r="AQ308" i="1"/>
  <c r="AQ309" i="1" a="1"/>
  <c r="AQ309" i="1"/>
  <c r="AQ310" i="1" a="1"/>
  <c r="AQ310" i="1"/>
  <c r="AQ311" i="1" a="1"/>
  <c r="AQ311" i="1" s="1"/>
  <c r="AQ312" i="1" a="1"/>
  <c r="AQ312" i="1" s="1"/>
  <c r="AQ313" i="1" a="1"/>
  <c r="AQ313" i="1" s="1"/>
  <c r="AR313" i="1" s="1"/>
  <c r="AQ314" i="1" a="1"/>
  <c r="AQ314" i="1" s="1"/>
  <c r="AQ315" i="1" a="1"/>
  <c r="AQ315" i="1" s="1"/>
  <c r="AQ316" i="1" a="1"/>
  <c r="AQ316" i="1"/>
  <c r="AQ317" i="1" a="1"/>
  <c r="AQ317" i="1"/>
  <c r="AQ318" i="1" a="1"/>
  <c r="AQ318" i="1"/>
  <c r="AQ319" i="1" a="1"/>
  <c r="AQ319" i="1" s="1"/>
  <c r="AQ320" i="1" a="1"/>
  <c r="AQ320" i="1"/>
  <c r="AQ321" i="1" a="1"/>
  <c r="AQ321" i="1" s="1"/>
  <c r="AR321" i="1" s="1"/>
  <c r="AQ322" i="1" a="1"/>
  <c r="AQ322" i="1" s="1"/>
  <c r="AR322" i="1" s="1"/>
  <c r="AQ323" i="1" a="1"/>
  <c r="AQ323" i="1" s="1"/>
  <c r="AR323" i="1" s="1"/>
  <c r="AQ324" i="1" a="1"/>
  <c r="AQ324" i="1"/>
  <c r="AQ325" i="1" a="1"/>
  <c r="AQ325" i="1"/>
  <c r="AQ326" i="1" a="1"/>
  <c r="AQ326" i="1"/>
  <c r="AQ327" i="1" a="1"/>
  <c r="AQ327" i="1" s="1"/>
  <c r="AQ328" i="1" a="1"/>
  <c r="AQ328" i="1" s="1"/>
  <c r="AQ329" i="1" a="1"/>
  <c r="AQ329" i="1"/>
  <c r="AQ330" i="1" a="1"/>
  <c r="AQ330" i="1" s="1"/>
  <c r="AR330" i="1" s="1"/>
  <c r="AQ331" i="1" a="1"/>
  <c r="AQ331" i="1" s="1"/>
  <c r="AR331" i="1" s="1"/>
  <c r="AQ332" i="1" a="1"/>
  <c r="AQ332" i="1"/>
  <c r="AQ333" i="1" a="1"/>
  <c r="AQ333" i="1"/>
  <c r="AQ334" i="1" a="1"/>
  <c r="AQ334" i="1"/>
  <c r="AQ335" i="1" a="1"/>
  <c r="AQ335" i="1" s="1"/>
  <c r="AQ336" i="1" a="1"/>
  <c r="AQ336" i="1" s="1"/>
  <c r="AR336" i="1" s="1"/>
  <c r="AQ337" i="1" a="1"/>
  <c r="AQ337" i="1" s="1"/>
  <c r="AQ338" i="1" a="1"/>
  <c r="AQ338" i="1"/>
  <c r="AQ339" i="1" a="1"/>
  <c r="AQ339" i="1" s="1"/>
  <c r="AQ340" i="1" a="1"/>
  <c r="AQ340" i="1"/>
  <c r="AQ341" i="1" a="1"/>
  <c r="AQ341" i="1"/>
  <c r="AQ342" i="1" a="1"/>
  <c r="AQ342" i="1"/>
  <c r="AQ343" i="1" a="1"/>
  <c r="AQ343" i="1"/>
  <c r="AQ344" i="1" a="1"/>
  <c r="AQ344" i="1"/>
  <c r="AQ345" i="1" a="1"/>
  <c r="AQ345" i="1" s="1"/>
  <c r="AQ346" i="1" a="1"/>
  <c r="AQ346" i="1"/>
  <c r="AQ347" i="1" a="1"/>
  <c r="AQ347" i="1"/>
  <c r="AQ348" i="1" a="1"/>
  <c r="AQ348" i="1"/>
  <c r="AQ349" i="1" a="1"/>
  <c r="AQ349" i="1" s="1"/>
  <c r="AQ350" i="1" a="1"/>
  <c r="AQ350" i="1" s="1"/>
  <c r="AQ351" i="1" a="1"/>
  <c r="AQ351" i="1"/>
  <c r="AQ352" i="1" a="1"/>
  <c r="AQ352" i="1"/>
  <c r="AQ353" i="1" a="1"/>
  <c r="AQ353" i="1" s="1"/>
  <c r="AQ354" i="1" a="1"/>
  <c r="AQ354" i="1" s="1"/>
  <c r="AQ355" i="1" a="1"/>
  <c r="AQ355" i="1"/>
  <c r="AQ356" i="1" a="1"/>
  <c r="AQ356" i="1"/>
  <c r="AQ357" i="1" a="1"/>
  <c r="AQ357" i="1" s="1"/>
  <c r="AQ358" i="1" a="1"/>
  <c r="AQ358" i="1" s="1"/>
  <c r="AQ359" i="1" a="1"/>
  <c r="AQ359" i="1" s="1"/>
  <c r="AQ360" i="1" a="1"/>
  <c r="AQ360" i="1" s="1"/>
  <c r="AQ361" i="1" a="1"/>
  <c r="AQ361" i="1" s="1"/>
  <c r="AQ362" i="1" a="1"/>
  <c r="AQ362" i="1" s="1"/>
  <c r="AQ363" i="1" a="1"/>
  <c r="AQ363" i="1" s="1"/>
  <c r="AQ364" i="1" a="1"/>
  <c r="AQ364" i="1" s="1"/>
  <c r="AQ365" i="1" a="1"/>
  <c r="AQ365" i="1" s="1"/>
  <c r="AQ366" i="1" a="1"/>
  <c r="AQ366" i="1" s="1"/>
  <c r="AQ367" i="1" a="1"/>
  <c r="AQ367" i="1" s="1"/>
  <c r="AP3" i="1" a="1"/>
  <c r="AP3" i="1" s="1"/>
  <c r="AP4" i="1" a="1"/>
  <c r="AP4" i="1" s="1"/>
  <c r="AP5" i="1" a="1"/>
  <c r="AP5" i="1" s="1"/>
  <c r="AP6" i="1" a="1"/>
  <c r="AP6" i="1" s="1"/>
  <c r="AP7" i="1" a="1"/>
  <c r="AP7" i="1" s="1"/>
  <c r="AP8" i="1" a="1"/>
  <c r="AP8" i="1" s="1"/>
  <c r="AP9" i="1" a="1"/>
  <c r="AP9" i="1" s="1"/>
  <c r="AP10" i="1" a="1"/>
  <c r="AP10" i="1" s="1"/>
  <c r="AP11" i="1" a="1"/>
  <c r="AP11" i="1" s="1"/>
  <c r="AP12" i="1" a="1"/>
  <c r="AP12" i="1" s="1"/>
  <c r="AP13" i="1" a="1"/>
  <c r="AP13" i="1" s="1"/>
  <c r="AP14" i="1" a="1"/>
  <c r="AP14" i="1" s="1"/>
  <c r="AP15" i="1" a="1"/>
  <c r="AP15" i="1" s="1"/>
  <c r="AP16" i="1" a="1"/>
  <c r="AP16" i="1" s="1"/>
  <c r="AP17" i="1" a="1"/>
  <c r="AP17" i="1" s="1"/>
  <c r="AP18" i="1" a="1"/>
  <c r="AP18" i="1" s="1"/>
  <c r="AP19" i="1" a="1"/>
  <c r="AP19" i="1" s="1"/>
  <c r="AP20" i="1" a="1"/>
  <c r="AP20" i="1" s="1"/>
  <c r="AP21" i="1" a="1"/>
  <c r="AP21" i="1" s="1"/>
  <c r="AP22" i="1" a="1"/>
  <c r="AP22" i="1" s="1"/>
  <c r="AP23" i="1" a="1"/>
  <c r="AP23" i="1" s="1"/>
  <c r="AP24" i="1" a="1"/>
  <c r="AP24" i="1" s="1"/>
  <c r="AP25" i="1" a="1"/>
  <c r="AP25" i="1" s="1"/>
  <c r="AP26" i="1" a="1"/>
  <c r="AP26" i="1" s="1"/>
  <c r="AP27" i="1" a="1"/>
  <c r="AP27" i="1" s="1"/>
  <c r="AP28" i="1" a="1"/>
  <c r="AP28" i="1" s="1"/>
  <c r="AR28" i="1" s="1"/>
  <c r="AP29" i="1" a="1"/>
  <c r="AP29" i="1" s="1"/>
  <c r="AP30" i="1" a="1"/>
  <c r="AP30" i="1" s="1"/>
  <c r="AP31" i="1" a="1"/>
  <c r="AP31" i="1" s="1"/>
  <c r="AP32" i="1" a="1"/>
  <c r="AP32" i="1" s="1"/>
  <c r="AP33" i="1" a="1"/>
  <c r="AP33" i="1" s="1"/>
  <c r="AP34" i="1" a="1"/>
  <c r="AP34" i="1" s="1"/>
  <c r="AP35" i="1" a="1"/>
  <c r="AP35" i="1" s="1"/>
  <c r="AP36" i="1" a="1"/>
  <c r="AP36" i="1" s="1"/>
  <c r="AP37" i="1" a="1"/>
  <c r="AP37" i="1" s="1"/>
  <c r="AP38" i="1" a="1"/>
  <c r="AP38" i="1" s="1"/>
  <c r="AP39" i="1" a="1"/>
  <c r="AP39" i="1" s="1"/>
  <c r="AP40" i="1" a="1"/>
  <c r="AP40" i="1" s="1"/>
  <c r="AP41" i="1" a="1"/>
  <c r="AP41" i="1" s="1"/>
  <c r="AP42" i="1" a="1"/>
  <c r="AP42" i="1" s="1"/>
  <c r="AP43" i="1" a="1"/>
  <c r="AP43" i="1" s="1"/>
  <c r="AP44" i="1" a="1"/>
  <c r="AP44" i="1" s="1"/>
  <c r="AP45" i="1" a="1"/>
  <c r="AP45" i="1" s="1"/>
  <c r="AP46" i="1" a="1"/>
  <c r="AP46" i="1" s="1"/>
  <c r="AP47" i="1" a="1"/>
  <c r="AP47" i="1" s="1"/>
  <c r="AP48" i="1" a="1"/>
  <c r="AP48" i="1" s="1"/>
  <c r="AP49" i="1" a="1"/>
  <c r="AP49" i="1" s="1"/>
  <c r="AP50" i="1" a="1"/>
  <c r="AP50" i="1" s="1"/>
  <c r="AP51" i="1" a="1"/>
  <c r="AP51" i="1" s="1"/>
  <c r="AP52" i="1" a="1"/>
  <c r="AP52" i="1" s="1"/>
  <c r="AP53" i="1" a="1"/>
  <c r="AP53" i="1" s="1"/>
  <c r="AP54" i="1" a="1"/>
  <c r="AP54" i="1" s="1"/>
  <c r="AP55" i="1" a="1"/>
  <c r="AP55" i="1" s="1"/>
  <c r="AP56" i="1" a="1"/>
  <c r="AP56" i="1" s="1"/>
  <c r="AP57" i="1" a="1"/>
  <c r="AP57" i="1" s="1"/>
  <c r="AP58" i="1" a="1"/>
  <c r="AP58" i="1" s="1"/>
  <c r="AP59" i="1" a="1"/>
  <c r="AP59" i="1" s="1"/>
  <c r="AP60" i="1" a="1"/>
  <c r="AP60" i="1" s="1"/>
  <c r="AP61" i="1" a="1"/>
  <c r="AP61" i="1" s="1"/>
  <c r="AP62" i="1" a="1"/>
  <c r="AP62" i="1" s="1"/>
  <c r="AP63" i="1" a="1"/>
  <c r="AP63" i="1" s="1"/>
  <c r="AP64" i="1" a="1"/>
  <c r="AP64" i="1" s="1"/>
  <c r="AP65" i="1" a="1"/>
  <c r="AP65" i="1" s="1"/>
  <c r="AP66" i="1" a="1"/>
  <c r="AP66" i="1" s="1"/>
  <c r="AP67" i="1" a="1"/>
  <c r="AP67" i="1" s="1"/>
  <c r="AP68" i="1" a="1"/>
  <c r="AP68" i="1" s="1"/>
  <c r="AP69" i="1" a="1"/>
  <c r="AP69" i="1" s="1"/>
  <c r="AP70" i="1" a="1"/>
  <c r="AP70" i="1" s="1"/>
  <c r="AP71" i="1" a="1"/>
  <c r="AP71" i="1" s="1"/>
  <c r="AP72" i="1" a="1"/>
  <c r="AP72" i="1" s="1"/>
  <c r="AP73" i="1" a="1"/>
  <c r="AP73" i="1" s="1"/>
  <c r="AP74" i="1" a="1"/>
  <c r="AP74" i="1" s="1"/>
  <c r="AP75" i="1" a="1"/>
  <c r="AP75" i="1" s="1"/>
  <c r="AP76" i="1" a="1"/>
  <c r="AP76" i="1" s="1"/>
  <c r="AP77" i="1" a="1"/>
  <c r="AP77" i="1" s="1"/>
  <c r="AP78" i="1" a="1"/>
  <c r="AP78" i="1" s="1"/>
  <c r="AP79" i="1" a="1"/>
  <c r="AP79" i="1" s="1"/>
  <c r="AP80" i="1" a="1"/>
  <c r="AP80" i="1" s="1"/>
  <c r="AP81" i="1" a="1"/>
  <c r="AP81" i="1" s="1"/>
  <c r="AP82" i="1" a="1"/>
  <c r="AP82" i="1" s="1"/>
  <c r="AP83" i="1" a="1"/>
  <c r="AP83" i="1" s="1"/>
  <c r="AP84" i="1" a="1"/>
  <c r="AP84" i="1" s="1"/>
  <c r="AP85" i="1" a="1"/>
  <c r="AP85" i="1" s="1"/>
  <c r="AP86" i="1" a="1"/>
  <c r="AP86" i="1" s="1"/>
  <c r="AP87" i="1" a="1"/>
  <c r="AP87" i="1" s="1"/>
  <c r="AP88" i="1" a="1"/>
  <c r="AP88" i="1" s="1"/>
  <c r="AP89" i="1" a="1"/>
  <c r="AP89" i="1" s="1"/>
  <c r="AP90" i="1" a="1"/>
  <c r="AP90" i="1" s="1"/>
  <c r="AP91" i="1" a="1"/>
  <c r="AP91" i="1" s="1"/>
  <c r="AP92" i="1" a="1"/>
  <c r="AP92" i="1" s="1"/>
  <c r="AR92" i="1" s="1"/>
  <c r="AP93" i="1" a="1"/>
  <c r="AP93" i="1" s="1"/>
  <c r="AP94" i="1" a="1"/>
  <c r="AP94" i="1" s="1"/>
  <c r="AP95" i="1" a="1"/>
  <c r="AP95" i="1" s="1"/>
  <c r="AP96" i="1" a="1"/>
  <c r="AP96" i="1" s="1"/>
  <c r="AP97" i="1" a="1"/>
  <c r="AP97" i="1" s="1"/>
  <c r="AP98" i="1" a="1"/>
  <c r="AP98" i="1" s="1"/>
  <c r="AP99" i="1" a="1"/>
  <c r="AP99" i="1" s="1"/>
  <c r="AP100" i="1" a="1"/>
  <c r="AP100" i="1" s="1"/>
  <c r="AR100" i="1" s="1"/>
  <c r="AP101" i="1" a="1"/>
  <c r="AP101" i="1" s="1"/>
  <c r="AR101" i="1" s="1"/>
  <c r="AP102" i="1" a="1"/>
  <c r="AP102" i="1" s="1"/>
  <c r="AP103" i="1" a="1"/>
  <c r="AP103" i="1" s="1"/>
  <c r="AP104" i="1" a="1"/>
  <c r="AP104" i="1"/>
  <c r="AP105" i="1" a="1"/>
  <c r="AP105" i="1"/>
  <c r="AP106" i="1" a="1"/>
  <c r="AP106" i="1"/>
  <c r="AP107" i="1" a="1"/>
  <c r="AP107" i="1" s="1"/>
  <c r="AP108" i="1" a="1"/>
  <c r="AP108" i="1" s="1"/>
  <c r="AP109" i="1" a="1"/>
  <c r="AP109" i="1" s="1"/>
  <c r="AP110" i="1" a="1"/>
  <c r="AP110" i="1" s="1"/>
  <c r="AR110" i="1" s="1"/>
  <c r="AP111" i="1" a="1"/>
  <c r="AP111" i="1" s="1"/>
  <c r="AP112" i="1" a="1"/>
  <c r="AP112" i="1"/>
  <c r="AP113" i="1" a="1"/>
  <c r="AP113" i="1"/>
  <c r="AP114" i="1" a="1"/>
  <c r="AP114" i="1"/>
  <c r="AP115" i="1" a="1"/>
  <c r="AP115" i="1" s="1"/>
  <c r="AP116" i="1" a="1"/>
  <c r="AP116" i="1" s="1"/>
  <c r="AP117" i="1" a="1"/>
  <c r="AP117" i="1" s="1"/>
  <c r="AP118" i="1" a="1"/>
  <c r="AP118" i="1" s="1"/>
  <c r="AR118" i="1" s="1"/>
  <c r="AP119" i="1" a="1"/>
  <c r="AP119" i="1" s="1"/>
  <c r="AP120" i="1" a="1"/>
  <c r="AP120" i="1"/>
  <c r="AP121" i="1" a="1"/>
  <c r="AP121" i="1"/>
  <c r="AP122" i="1" a="1"/>
  <c r="AP122" i="1"/>
  <c r="AP123" i="1" a="1"/>
  <c r="AP123" i="1" s="1"/>
  <c r="AP124" i="1" a="1"/>
  <c r="AP124" i="1" s="1"/>
  <c r="AR124" i="1" s="1"/>
  <c r="AP125" i="1" a="1"/>
  <c r="AP125" i="1" s="1"/>
  <c r="AP126" i="1" a="1"/>
  <c r="AP126" i="1" s="1"/>
  <c r="AP127" i="1" a="1"/>
  <c r="AP127" i="1" s="1"/>
  <c r="AP128" i="1" a="1"/>
  <c r="AP128" i="1"/>
  <c r="AP129" i="1" a="1"/>
  <c r="AP129" i="1"/>
  <c r="AP130" i="1" a="1"/>
  <c r="AP130" i="1"/>
  <c r="AP131" i="1" a="1"/>
  <c r="AP131" i="1" s="1"/>
  <c r="AP132" i="1" a="1"/>
  <c r="AP132" i="1" s="1"/>
  <c r="AR132" i="1" s="1"/>
  <c r="AP133" i="1" a="1"/>
  <c r="AP133" i="1" s="1"/>
  <c r="AP134" i="1" a="1"/>
  <c r="AP134" i="1" s="1"/>
  <c r="AP135" i="1" a="1"/>
  <c r="AP135" i="1" s="1"/>
  <c r="AP136" i="1" a="1"/>
  <c r="AP136" i="1"/>
  <c r="AP137" i="1" a="1"/>
  <c r="AP137" i="1"/>
  <c r="AP138" i="1" a="1"/>
  <c r="AP138" i="1"/>
  <c r="AP139" i="1" a="1"/>
  <c r="AP139" i="1" s="1"/>
  <c r="AP140" i="1" a="1"/>
  <c r="AP140" i="1" s="1"/>
  <c r="AP141" i="1" a="1"/>
  <c r="AP141" i="1" s="1"/>
  <c r="AR141" i="1" s="1"/>
  <c r="AP142" i="1" a="1"/>
  <c r="AP142" i="1" s="1"/>
  <c r="AP143" i="1" a="1"/>
  <c r="AP143" i="1" s="1"/>
  <c r="AP144" i="1" a="1"/>
  <c r="AP144" i="1"/>
  <c r="AP145" i="1" a="1"/>
  <c r="AP145" i="1"/>
  <c r="AP146" i="1" a="1"/>
  <c r="AP146" i="1"/>
  <c r="AP147" i="1" a="1"/>
  <c r="AP147" i="1" s="1"/>
  <c r="AP148" i="1" a="1"/>
  <c r="AP148" i="1" s="1"/>
  <c r="AP149" i="1" a="1"/>
  <c r="AP149" i="1" s="1"/>
  <c r="AP150" i="1" a="1"/>
  <c r="AP150" i="1" s="1"/>
  <c r="AR150" i="1" s="1"/>
  <c r="AP151" i="1" a="1"/>
  <c r="AP151" i="1" s="1"/>
  <c r="AP152" i="1" a="1"/>
  <c r="AP152" i="1"/>
  <c r="AP153" i="1" a="1"/>
  <c r="AP153" i="1"/>
  <c r="AP154" i="1" a="1"/>
  <c r="AP154" i="1"/>
  <c r="AP155" i="1" a="1"/>
  <c r="AP155" i="1" s="1"/>
  <c r="AP156" i="1" a="1"/>
  <c r="AP156" i="1" s="1"/>
  <c r="AP157" i="1" a="1"/>
  <c r="AP157" i="1" s="1"/>
  <c r="AP158" i="1" a="1"/>
  <c r="AP158" i="1" s="1"/>
  <c r="AP159" i="1" a="1"/>
  <c r="AP159" i="1" s="1"/>
  <c r="AP160" i="1" a="1"/>
  <c r="AP160" i="1"/>
  <c r="AP161" i="1" a="1"/>
  <c r="AP161" i="1"/>
  <c r="AP162" i="1" a="1"/>
  <c r="AP162" i="1"/>
  <c r="AP163" i="1" a="1"/>
  <c r="AP163" i="1" s="1"/>
  <c r="AP164" i="1" a="1"/>
  <c r="AP164" i="1" s="1"/>
  <c r="AR164" i="1" s="1"/>
  <c r="AP165" i="1" a="1"/>
  <c r="AP165" i="1" s="1"/>
  <c r="AP166" i="1" a="1"/>
  <c r="AP166" i="1" s="1"/>
  <c r="AP167" i="1" a="1"/>
  <c r="AP167" i="1" s="1"/>
  <c r="AP168" i="1" a="1"/>
  <c r="AP168" i="1"/>
  <c r="AP169" i="1" a="1"/>
  <c r="AP169" i="1"/>
  <c r="AP170" i="1" a="1"/>
  <c r="AP170" i="1"/>
  <c r="AP171" i="1" a="1"/>
  <c r="AP171" i="1" s="1"/>
  <c r="AP172" i="1" a="1"/>
  <c r="AP172" i="1" s="1"/>
  <c r="AR172" i="1" s="1"/>
  <c r="AP173" i="1" a="1"/>
  <c r="AP173" i="1" s="1"/>
  <c r="AR173" i="1" s="1"/>
  <c r="AP174" i="1" a="1"/>
  <c r="AP174" i="1" s="1"/>
  <c r="AP175" i="1" a="1"/>
  <c r="AP175" i="1" s="1"/>
  <c r="AP176" i="1" a="1"/>
  <c r="AP176" i="1"/>
  <c r="AP177" i="1" a="1"/>
  <c r="AP177" i="1"/>
  <c r="AP178" i="1" a="1"/>
  <c r="AP178" i="1"/>
  <c r="AP179" i="1" a="1"/>
  <c r="AP179" i="1" s="1"/>
  <c r="AP180" i="1" a="1"/>
  <c r="AP180" i="1" s="1"/>
  <c r="AP181" i="1" a="1"/>
  <c r="AP181" i="1" s="1"/>
  <c r="AP182" i="1" a="1"/>
  <c r="AP182" i="1" s="1"/>
  <c r="AR182" i="1" s="1"/>
  <c r="AP183" i="1" a="1"/>
  <c r="AP183" i="1" s="1"/>
  <c r="AP184" i="1" a="1"/>
  <c r="AP184" i="1"/>
  <c r="AP185" i="1" a="1"/>
  <c r="AP185" i="1"/>
  <c r="AP186" i="1" a="1"/>
  <c r="AP186" i="1"/>
  <c r="AP187" i="1" a="1"/>
  <c r="AP187" i="1" s="1"/>
  <c r="AP188" i="1" a="1"/>
  <c r="AP188" i="1" s="1"/>
  <c r="AP189" i="1" a="1"/>
  <c r="AP189" i="1" s="1"/>
  <c r="AP190" i="1" a="1"/>
  <c r="AP190" i="1" s="1"/>
  <c r="AP191" i="1" a="1"/>
  <c r="AP191" i="1" s="1"/>
  <c r="AP192" i="1" a="1"/>
  <c r="AP192" i="1"/>
  <c r="AP193" i="1" a="1"/>
  <c r="AP193" i="1"/>
  <c r="AP194" i="1" a="1"/>
  <c r="AP194" i="1"/>
  <c r="AP195" i="1" a="1"/>
  <c r="AP195" i="1" s="1"/>
  <c r="AP196" i="1" a="1"/>
  <c r="AP196" i="1" s="1"/>
  <c r="AR196" i="1" s="1"/>
  <c r="AP197" i="1" a="1"/>
  <c r="AP197" i="1" s="1"/>
  <c r="AP198" i="1" a="1"/>
  <c r="AP198" i="1" s="1"/>
  <c r="AP199" i="1" a="1"/>
  <c r="AP199" i="1" s="1"/>
  <c r="AP200" i="1" a="1"/>
  <c r="AP200" i="1"/>
  <c r="AP201" i="1" a="1"/>
  <c r="AP201" i="1"/>
  <c r="AP202" i="1" a="1"/>
  <c r="AP202" i="1"/>
  <c r="AP203" i="1" a="1"/>
  <c r="AP203" i="1" s="1"/>
  <c r="AP204" i="1" a="1"/>
  <c r="AP204" i="1" s="1"/>
  <c r="AR204" i="1" s="1"/>
  <c r="AP205" i="1" a="1"/>
  <c r="AP205" i="1" s="1"/>
  <c r="AR205" i="1" s="1"/>
  <c r="AP206" i="1" a="1"/>
  <c r="AP206" i="1" s="1"/>
  <c r="AP207" i="1" a="1"/>
  <c r="AP207" i="1" s="1"/>
  <c r="AP208" i="1" a="1"/>
  <c r="AP208" i="1"/>
  <c r="AP209" i="1" a="1"/>
  <c r="AP209" i="1"/>
  <c r="AP210" i="1" a="1"/>
  <c r="AP210" i="1"/>
  <c r="AP211" i="1" a="1"/>
  <c r="AP211" i="1" s="1"/>
  <c r="AP212" i="1" a="1"/>
  <c r="AP212" i="1" s="1"/>
  <c r="AP213" i="1" a="1"/>
  <c r="AP213" i="1" s="1"/>
  <c r="AR213" i="1" s="1"/>
  <c r="AP214" i="1" a="1"/>
  <c r="AP214" i="1" s="1"/>
  <c r="AR214" i="1" s="1"/>
  <c r="AP215" i="1" a="1"/>
  <c r="AP215" i="1" s="1"/>
  <c r="AR215" i="1" s="1"/>
  <c r="AP216" i="1" a="1"/>
  <c r="AP216" i="1"/>
  <c r="AP217" i="1" a="1"/>
  <c r="AP217" i="1"/>
  <c r="AP218" i="1" a="1"/>
  <c r="AP218" i="1"/>
  <c r="AP219" i="1" a="1"/>
  <c r="AP219" i="1" s="1"/>
  <c r="AP220" i="1" a="1"/>
  <c r="AP220" i="1" s="1"/>
  <c r="AP221" i="1" a="1"/>
  <c r="AP221" i="1" s="1"/>
  <c r="AP222" i="1" a="1"/>
  <c r="AP222" i="1" s="1"/>
  <c r="AR222" i="1" s="1"/>
  <c r="AP223" i="1" a="1"/>
  <c r="AP223" i="1" s="1"/>
  <c r="AP224" i="1" a="1"/>
  <c r="AP224" i="1"/>
  <c r="AP225" i="1" a="1"/>
  <c r="AP225" i="1"/>
  <c r="AP226" i="1" a="1"/>
  <c r="AP226" i="1"/>
  <c r="AP227" i="1" a="1"/>
  <c r="AP227" i="1" s="1"/>
  <c r="AP228" i="1" a="1"/>
  <c r="AP228" i="1" s="1"/>
  <c r="AR228" i="1" s="1"/>
  <c r="AP229" i="1" a="1"/>
  <c r="AP229" i="1" s="1"/>
  <c r="AP230" i="1" a="1"/>
  <c r="AP230" i="1" s="1"/>
  <c r="AP231" i="1" a="1"/>
  <c r="AP231" i="1" s="1"/>
  <c r="AP232" i="1" a="1"/>
  <c r="AP232" i="1"/>
  <c r="AP233" i="1" a="1"/>
  <c r="AP233" i="1"/>
  <c r="AR233" i="1" s="1"/>
  <c r="AP234" i="1" a="1"/>
  <c r="AP234" i="1"/>
  <c r="AP235" i="1" a="1"/>
  <c r="AP235" i="1" s="1"/>
  <c r="AP236" i="1" a="1"/>
  <c r="AP236" i="1" s="1"/>
  <c r="AP237" i="1" a="1"/>
  <c r="AP237" i="1" s="1"/>
  <c r="AR237" i="1" s="1"/>
  <c r="AP238" i="1" a="1"/>
  <c r="AP238" i="1" s="1"/>
  <c r="AP239" i="1" a="1"/>
  <c r="AP239" i="1" s="1"/>
  <c r="AP240" i="1" a="1"/>
  <c r="AP240" i="1"/>
  <c r="AP241" i="1" a="1"/>
  <c r="AP241" i="1"/>
  <c r="AP242" i="1" a="1"/>
  <c r="AP242" i="1"/>
  <c r="AP243" i="1" a="1"/>
  <c r="AP243" i="1" s="1"/>
  <c r="AP244" i="1" a="1"/>
  <c r="AP244" i="1" s="1"/>
  <c r="AR244" i="1" s="1"/>
  <c r="AP245" i="1" a="1"/>
  <c r="AP245" i="1" s="1"/>
  <c r="AP246" i="1" a="1"/>
  <c r="AP246" i="1" s="1"/>
  <c r="AR246" i="1" s="1"/>
  <c r="AP247" i="1" a="1"/>
  <c r="AP247" i="1" s="1"/>
  <c r="AP248" i="1" a="1"/>
  <c r="AP248" i="1"/>
  <c r="AP249" i="1" a="1"/>
  <c r="AP249" i="1"/>
  <c r="AP250" i="1" a="1"/>
  <c r="AP250" i="1"/>
  <c r="AP251" i="1" a="1"/>
  <c r="AP251" i="1" s="1"/>
  <c r="AP252" i="1" a="1"/>
  <c r="AP252" i="1" s="1"/>
  <c r="AP253" i="1" a="1"/>
  <c r="AP253" i="1" s="1"/>
  <c r="AR253" i="1" s="1"/>
  <c r="AP254" i="1" a="1"/>
  <c r="AP254" i="1" s="1"/>
  <c r="AP255" i="1" a="1"/>
  <c r="AP255" i="1" s="1"/>
  <c r="AP256" i="1" a="1"/>
  <c r="AP256" i="1"/>
  <c r="AP257" i="1" a="1"/>
  <c r="AP257" i="1"/>
  <c r="AP258" i="1" a="1"/>
  <c r="AP258" i="1"/>
  <c r="AP259" i="1" a="1"/>
  <c r="AP259" i="1" s="1"/>
  <c r="AP260" i="1" a="1"/>
  <c r="AP260" i="1" s="1"/>
  <c r="AR260" i="1" s="1"/>
  <c r="AP261" i="1" a="1"/>
  <c r="AP261" i="1" s="1"/>
  <c r="AP262" i="1" a="1"/>
  <c r="AP262" i="1" s="1"/>
  <c r="AR262" i="1" s="1"/>
  <c r="AP263" i="1" a="1"/>
  <c r="AP263" i="1" s="1"/>
  <c r="AP264" i="1" a="1"/>
  <c r="AP264" i="1"/>
  <c r="AP265" i="1" a="1"/>
  <c r="AP265" i="1"/>
  <c r="AP266" i="1" a="1"/>
  <c r="AP266" i="1"/>
  <c r="AP267" i="1" a="1"/>
  <c r="AP267" i="1" s="1"/>
  <c r="AP268" i="1" a="1"/>
  <c r="AP268" i="1" s="1"/>
  <c r="AP269" i="1" a="1"/>
  <c r="AP269" i="1" s="1"/>
  <c r="AR269" i="1" s="1"/>
  <c r="AP270" i="1" a="1"/>
  <c r="AP270" i="1" s="1"/>
  <c r="AP271" i="1" a="1"/>
  <c r="AP271" i="1" s="1"/>
  <c r="AR271" i="1" s="1"/>
  <c r="AP272" i="1" a="1"/>
  <c r="AP272" i="1"/>
  <c r="AP273" i="1" a="1"/>
  <c r="AP273" i="1"/>
  <c r="AP274" i="1" a="1"/>
  <c r="AP274" i="1"/>
  <c r="AP275" i="1" a="1"/>
  <c r="AP275" i="1" s="1"/>
  <c r="AP276" i="1" a="1"/>
  <c r="AP276" i="1" s="1"/>
  <c r="AR276" i="1" s="1"/>
  <c r="AP277" i="1" a="1"/>
  <c r="AP277" i="1" s="1"/>
  <c r="AP278" i="1" a="1"/>
  <c r="AP278" i="1" s="1"/>
  <c r="AP279" i="1" a="1"/>
  <c r="AP279" i="1" s="1"/>
  <c r="AP280" i="1" a="1"/>
  <c r="AP280" i="1"/>
  <c r="AP281" i="1" a="1"/>
  <c r="AP281" i="1"/>
  <c r="AP282" i="1" a="1"/>
  <c r="AP282" i="1"/>
  <c r="AP283" i="1" a="1"/>
  <c r="AP283" i="1" s="1"/>
  <c r="AP284" i="1" a="1"/>
  <c r="AP284" i="1" s="1"/>
  <c r="AP285" i="1" a="1"/>
  <c r="AP285" i="1" s="1"/>
  <c r="AR285" i="1" s="1"/>
  <c r="AP286" i="1" a="1"/>
  <c r="AP286" i="1" s="1"/>
  <c r="AR286" i="1" s="1"/>
  <c r="AP287" i="1" a="1"/>
  <c r="AP287" i="1" s="1"/>
  <c r="AP288" i="1" a="1"/>
  <c r="AP288" i="1"/>
  <c r="AP289" i="1" a="1"/>
  <c r="AP289" i="1"/>
  <c r="AP290" i="1" a="1"/>
  <c r="AP290" i="1"/>
  <c r="AP291" i="1" a="1"/>
  <c r="AP291" i="1" s="1"/>
  <c r="AP292" i="1" a="1"/>
  <c r="AP292" i="1" s="1"/>
  <c r="AR292" i="1" s="1"/>
  <c r="AP293" i="1" a="1"/>
  <c r="AP293" i="1" s="1"/>
  <c r="AP294" i="1" a="1"/>
  <c r="AP294" i="1" s="1"/>
  <c r="AR294" i="1" s="1"/>
  <c r="AP295" i="1" a="1"/>
  <c r="AP295" i="1" s="1"/>
  <c r="AR295" i="1" s="1"/>
  <c r="AP296" i="1" a="1"/>
  <c r="AP296" i="1"/>
  <c r="AP297" i="1" a="1"/>
  <c r="AP297" i="1"/>
  <c r="AP298" i="1" a="1"/>
  <c r="AP298" i="1"/>
  <c r="AP299" i="1" a="1"/>
  <c r="AP299" i="1" s="1"/>
  <c r="AP300" i="1" a="1"/>
  <c r="AP300" i="1" s="1"/>
  <c r="AP301" i="1" a="1"/>
  <c r="AP301" i="1" s="1"/>
  <c r="AR301" i="1" s="1"/>
  <c r="AP302" i="1" a="1"/>
  <c r="AP302" i="1" s="1"/>
  <c r="AR302" i="1" s="1"/>
  <c r="AP303" i="1" a="1"/>
  <c r="AP303" i="1" s="1"/>
  <c r="AR303" i="1" s="1"/>
  <c r="AP304" i="1" a="1"/>
  <c r="AP304" i="1"/>
  <c r="AP305" i="1" a="1"/>
  <c r="AP305" i="1"/>
  <c r="AP306" i="1" a="1"/>
  <c r="AP306" i="1"/>
  <c r="AP307" i="1" a="1"/>
  <c r="AP307" i="1" s="1"/>
  <c r="AP308" i="1" a="1"/>
  <c r="AP308" i="1" s="1"/>
  <c r="AR308" i="1" s="1"/>
  <c r="AP309" i="1" a="1"/>
  <c r="AP309" i="1" s="1"/>
  <c r="AP310" i="1" a="1"/>
  <c r="AP310" i="1" s="1"/>
  <c r="AP311" i="1" a="1"/>
  <c r="AP311" i="1" s="1"/>
  <c r="AR311" i="1" s="1"/>
  <c r="AP312" i="1" a="1"/>
  <c r="AP312" i="1"/>
  <c r="AP313" i="1" a="1"/>
  <c r="AP313" i="1"/>
  <c r="AP314" i="1" a="1"/>
  <c r="AP314" i="1"/>
  <c r="AP315" i="1" a="1"/>
  <c r="AP315" i="1" s="1"/>
  <c r="AP316" i="1" a="1"/>
  <c r="AP316" i="1" s="1"/>
  <c r="AP317" i="1" a="1"/>
  <c r="AP317" i="1" s="1"/>
  <c r="AR317" i="1" s="1"/>
  <c r="AP318" i="1" a="1"/>
  <c r="AP318" i="1" s="1"/>
  <c r="AP319" i="1" a="1"/>
  <c r="AP319" i="1" s="1"/>
  <c r="AP320" i="1" a="1"/>
  <c r="AP320" i="1"/>
  <c r="AP321" i="1" a="1"/>
  <c r="AP321" i="1"/>
  <c r="AP322" i="1" a="1"/>
  <c r="AP322" i="1"/>
  <c r="AP323" i="1" a="1"/>
  <c r="AP323" i="1" s="1"/>
  <c r="AP324" i="1" a="1"/>
  <c r="AP324" i="1" s="1"/>
  <c r="AR324" i="1" s="1"/>
  <c r="AP325" i="1" a="1"/>
  <c r="AP325" i="1" s="1"/>
  <c r="AR325" i="1" s="1"/>
  <c r="AP326" i="1" a="1"/>
  <c r="AP326" i="1" s="1"/>
  <c r="AP327" i="1" a="1"/>
  <c r="AP327" i="1" s="1"/>
  <c r="AP328" i="1" a="1"/>
  <c r="AP328" i="1"/>
  <c r="AP329" i="1" a="1"/>
  <c r="AP329" i="1"/>
  <c r="AR329" i="1" s="1"/>
  <c r="AP330" i="1" a="1"/>
  <c r="AP330" i="1"/>
  <c r="AP331" i="1" a="1"/>
  <c r="AP331" i="1" s="1"/>
  <c r="AP332" i="1" a="1"/>
  <c r="AP332" i="1" s="1"/>
  <c r="AP333" i="1" a="1"/>
  <c r="AP333" i="1" s="1"/>
  <c r="AR333" i="1" s="1"/>
  <c r="AP334" i="1" a="1"/>
  <c r="AP334" i="1" s="1"/>
  <c r="AR334" i="1" s="1"/>
  <c r="AP335" i="1" a="1"/>
  <c r="AP335" i="1" s="1"/>
  <c r="AP336" i="1" a="1"/>
  <c r="AP336" i="1"/>
  <c r="AP337" i="1" a="1"/>
  <c r="AP337" i="1"/>
  <c r="AP338" i="1" a="1"/>
  <c r="AP338" i="1"/>
  <c r="AP339" i="1" a="1"/>
  <c r="AP339" i="1" s="1"/>
  <c r="AP340" i="1" a="1"/>
  <c r="AP340" i="1" s="1"/>
  <c r="AP341" i="1" a="1"/>
  <c r="AP341" i="1" s="1"/>
  <c r="AP342" i="1" a="1"/>
  <c r="AP342" i="1" s="1"/>
  <c r="AP343" i="1" a="1"/>
  <c r="AP343" i="1" s="1"/>
  <c r="AR343" i="1" s="1"/>
  <c r="AP344" i="1" a="1"/>
  <c r="AP344" i="1" s="1"/>
  <c r="AP345" i="1" a="1"/>
  <c r="AP345" i="1" s="1"/>
  <c r="AP346" i="1" a="1"/>
  <c r="AP346" i="1" s="1"/>
  <c r="AR346" i="1" s="1"/>
  <c r="AP347" i="1" a="1"/>
  <c r="AP347" i="1" s="1"/>
  <c r="AP348" i="1" a="1"/>
  <c r="AP348" i="1" s="1"/>
  <c r="AP349" i="1" a="1"/>
  <c r="AP349" i="1" s="1"/>
  <c r="AP350" i="1" a="1"/>
  <c r="AP350" i="1" s="1"/>
  <c r="AP351" i="1" a="1"/>
  <c r="AP351" i="1" s="1"/>
  <c r="AR351" i="1" s="1"/>
  <c r="AP352" i="1" a="1"/>
  <c r="AP352" i="1" s="1"/>
  <c r="AP353" i="1" a="1"/>
  <c r="AP353" i="1" s="1"/>
  <c r="AP354" i="1" a="1"/>
  <c r="AP354" i="1" s="1"/>
  <c r="AP355" i="1" a="1"/>
  <c r="AP355" i="1" s="1"/>
  <c r="AR355" i="1" s="1"/>
  <c r="AP356" i="1" a="1"/>
  <c r="AP356" i="1" s="1"/>
  <c r="AP357" i="1" a="1"/>
  <c r="AP357" i="1" s="1"/>
  <c r="AP358" i="1" a="1"/>
  <c r="AP358" i="1" s="1"/>
  <c r="AP359" i="1" a="1"/>
  <c r="AP359" i="1" s="1"/>
  <c r="AP360" i="1" a="1"/>
  <c r="AP360" i="1" s="1"/>
  <c r="AP361" i="1" a="1"/>
  <c r="AP361" i="1" s="1"/>
  <c r="AP362" i="1" a="1"/>
  <c r="AP362" i="1" s="1"/>
  <c r="AP363" i="1" a="1"/>
  <c r="AP363" i="1" s="1"/>
  <c r="AP364" i="1" a="1"/>
  <c r="AP364" i="1" s="1"/>
  <c r="AP365" i="1" a="1"/>
  <c r="AP365" i="1" s="1"/>
  <c r="AP366" i="1" a="1"/>
  <c r="AP366" i="1" s="1"/>
  <c r="AP367" i="1" a="1"/>
  <c r="AP367" i="1" s="1"/>
  <c r="AR161" i="1"/>
  <c r="AR266" i="1"/>
  <c r="AR339" i="1"/>
  <c r="AQ2" i="1" a="1"/>
  <c r="AQ2" i="1" s="1"/>
  <c r="AR5" i="1"/>
  <c r="AR224" i="1"/>
  <c r="AR256" i="1"/>
  <c r="AR291" i="1"/>
  <c r="AP2" i="1" a="1"/>
  <c r="AP2" i="1" s="1"/>
  <c r="AW2" i="1" a="1"/>
  <c r="AW2" i="1" s="1"/>
  <c r="AV2" i="1" a="1"/>
  <c r="AV2" i="1" s="1"/>
  <c r="AU2" i="1" a="1"/>
  <c r="AU2" i="1" s="1"/>
  <c r="AT2" i="1" a="1"/>
  <c r="AT2" i="1" s="1"/>
  <c r="AI2" i="1"/>
  <c r="AJ2" i="1"/>
  <c r="AR3" i="1"/>
  <c r="AR4" i="1"/>
  <c r="AR7" i="1"/>
  <c r="AR11" i="1"/>
  <c r="AR14" i="1"/>
  <c r="AR15" i="1"/>
  <c r="AR19" i="1"/>
  <c r="AR23" i="1"/>
  <c r="AR27" i="1"/>
  <c r="AR31" i="1"/>
  <c r="AR35" i="1"/>
  <c r="AR39" i="1"/>
  <c r="AR43" i="1"/>
  <c r="AR47" i="1"/>
  <c r="AR51" i="1"/>
  <c r="AR55" i="1"/>
  <c r="AR59" i="1"/>
  <c r="AR63" i="1"/>
  <c r="AR67" i="1"/>
  <c r="AR71" i="1"/>
  <c r="AR75" i="1"/>
  <c r="AR79" i="1"/>
  <c r="AR83" i="1"/>
  <c r="AR87" i="1"/>
  <c r="AR91" i="1"/>
  <c r="AR95" i="1"/>
  <c r="AR99" i="1"/>
  <c r="AR103" i="1"/>
  <c r="AR107" i="1"/>
  <c r="AR111" i="1"/>
  <c r="AR115" i="1"/>
  <c r="AR119" i="1"/>
  <c r="AR123" i="1"/>
  <c r="AR127" i="1"/>
  <c r="AR131" i="1"/>
  <c r="AR135" i="1"/>
  <c r="AR139" i="1"/>
  <c r="AR143" i="1"/>
  <c r="AR147" i="1"/>
  <c r="AR151" i="1"/>
  <c r="AR152" i="1"/>
  <c r="AR155" i="1"/>
  <c r="AR159" i="1"/>
  <c r="AR163" i="1"/>
  <c r="AR167" i="1"/>
  <c r="AR170" i="1"/>
  <c r="AR171" i="1"/>
  <c r="AR175" i="1"/>
  <c r="AR179" i="1"/>
  <c r="AR183" i="1"/>
  <c r="AR184" i="1"/>
  <c r="AR187" i="1"/>
  <c r="AR191" i="1"/>
  <c r="AR193" i="1"/>
  <c r="AR195" i="1"/>
  <c r="AR199" i="1"/>
  <c r="AR202" i="1"/>
  <c r="AR203" i="1"/>
  <c r="AR207" i="1"/>
  <c r="AR211" i="1"/>
  <c r="AR216" i="1"/>
  <c r="AR219" i="1"/>
  <c r="AR223" i="1"/>
  <c r="AR225" i="1"/>
  <c r="AR227" i="1"/>
  <c r="AR231" i="1"/>
  <c r="AR234" i="1"/>
  <c r="AR235" i="1"/>
  <c r="AR239" i="1"/>
  <c r="AR242" i="1"/>
  <c r="AR243" i="1"/>
  <c r="AR247" i="1"/>
  <c r="AR248" i="1"/>
  <c r="AR251" i="1"/>
  <c r="AR255" i="1"/>
  <c r="AR257" i="1"/>
  <c r="AR259" i="1"/>
  <c r="AR263" i="1"/>
  <c r="AR267" i="1"/>
  <c r="AR275" i="1"/>
  <c r="AR279" i="1"/>
  <c r="AR283" i="1"/>
  <c r="AR287" i="1"/>
  <c r="AR299" i="1"/>
  <c r="AR307" i="1"/>
  <c r="AR315" i="1"/>
  <c r="AR319" i="1"/>
  <c r="AR327" i="1"/>
  <c r="AR335" i="1"/>
  <c r="AR338" i="1"/>
  <c r="AL8" i="1"/>
  <c r="AL3" i="1"/>
  <c r="AJ4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2" i="1"/>
  <c r="D3" i="1" s="1"/>
  <c r="AR6" i="1" l="1"/>
  <c r="AZ19" i="1"/>
  <c r="AR352" i="1"/>
  <c r="AR344" i="1"/>
  <c r="AR326" i="1"/>
  <c r="AR221" i="1"/>
  <c r="AR198" i="1"/>
  <c r="AR180" i="1"/>
  <c r="AR157" i="1"/>
  <c r="AR134" i="1"/>
  <c r="AR116" i="1"/>
  <c r="AR230" i="1"/>
  <c r="AR212" i="1"/>
  <c r="AR189" i="1"/>
  <c r="AR166" i="1"/>
  <c r="AR148" i="1"/>
  <c r="AR125" i="1"/>
  <c r="AR102" i="1"/>
  <c r="AR363" i="1"/>
  <c r="AR293" i="1"/>
  <c r="AR270" i="1"/>
  <c r="AR206" i="1"/>
  <c r="AR165" i="1"/>
  <c r="AR142" i="1"/>
  <c r="AR93" i="1"/>
  <c r="AR77" i="1"/>
  <c r="AR69" i="1"/>
  <c r="AR61" i="1"/>
  <c r="AR53" i="1"/>
  <c r="AR37" i="1"/>
  <c r="AR29" i="1"/>
  <c r="AR13" i="1"/>
  <c r="AR84" i="1"/>
  <c r="AR68" i="1"/>
  <c r="AR60" i="1"/>
  <c r="AR52" i="1"/>
  <c r="AR36" i="1"/>
  <c r="AR20" i="1"/>
  <c r="AR280" i="1"/>
  <c r="AR117" i="1"/>
  <c r="AR367" i="1"/>
  <c r="AR359" i="1"/>
  <c r="AR284" i="1"/>
  <c r="AR261" i="1"/>
  <c r="AR238" i="1"/>
  <c r="AR174" i="1"/>
  <c r="AR156" i="1"/>
  <c r="AR97" i="1"/>
  <c r="AR81" i="1"/>
  <c r="AR65" i="1"/>
  <c r="AR41" i="1"/>
  <c r="AR17" i="1"/>
  <c r="AR358" i="1"/>
  <c r="AR289" i="1"/>
  <c r="AR88" i="1"/>
  <c r="AR64" i="1"/>
  <c r="AR56" i="1"/>
  <c r="AR40" i="1"/>
  <c r="AR24" i="1"/>
  <c r="AR341" i="1"/>
  <c r="AR312" i="1"/>
  <c r="AY19" i="1"/>
  <c r="BA19" i="1" s="1"/>
  <c r="AR300" i="1"/>
  <c r="AR190" i="1"/>
  <c r="AR108" i="1"/>
  <c r="AR304" i="1"/>
  <c r="AR188" i="1"/>
  <c r="AR140" i="1"/>
  <c r="AR133" i="1"/>
  <c r="AR85" i="1"/>
  <c r="AR45" i="1"/>
  <c r="AR268" i="1"/>
  <c r="AR254" i="1"/>
  <c r="AR229" i="1"/>
  <c r="AR76" i="1"/>
  <c r="AR278" i="1"/>
  <c r="AR245" i="1"/>
  <c r="AR220" i="1"/>
  <c r="AR126" i="1"/>
  <c r="AR12" i="1"/>
  <c r="AR362" i="1"/>
  <c r="AR340" i="1"/>
  <c r="AR316" i="1"/>
  <c r="AR310" i="1"/>
  <c r="AR181" i="1"/>
  <c r="AR44" i="1"/>
  <c r="AR350" i="1"/>
  <c r="AR236" i="1"/>
  <c r="AR332" i="1"/>
  <c r="AR274" i="1"/>
  <c r="AR197" i="1"/>
  <c r="AR158" i="1"/>
  <c r="AR109" i="1"/>
  <c r="AR21" i="1"/>
  <c r="AR364" i="1"/>
  <c r="AR342" i="1"/>
  <c r="AR318" i="1"/>
  <c r="AR306" i="1"/>
  <c r="AR252" i="1"/>
  <c r="AR149" i="1"/>
  <c r="AR366" i="1"/>
  <c r="AR365" i="1"/>
  <c r="AR357" i="1"/>
  <c r="AR345" i="1"/>
  <c r="AR349" i="1"/>
  <c r="AR33" i="1"/>
  <c r="AR9" i="1"/>
  <c r="AR361" i="1"/>
  <c r="AR353" i="1"/>
  <c r="AR348" i="1"/>
  <c r="AR320" i="1"/>
  <c r="AR314" i="1"/>
  <c r="AR309" i="1"/>
  <c r="AR264" i="1"/>
  <c r="AR200" i="1"/>
  <c r="AR177" i="1"/>
  <c r="AR138" i="1"/>
  <c r="AR113" i="1"/>
  <c r="AR90" i="1"/>
  <c r="AR72" i="1"/>
  <c r="AR49" i="1"/>
  <c r="AR26" i="1"/>
  <c r="AR360" i="1"/>
  <c r="AR347" i="1"/>
  <c r="AR297" i="1"/>
  <c r="AR241" i="1"/>
  <c r="AR137" i="1"/>
  <c r="AR112" i="1"/>
  <c r="AR89" i="1"/>
  <c r="AR66" i="1"/>
  <c r="AR48" i="1"/>
  <c r="AR25" i="1"/>
  <c r="AR356" i="1"/>
  <c r="AR328" i="1"/>
  <c r="AR305" i="1"/>
  <c r="AR288" i="1"/>
  <c r="AR277" i="1"/>
  <c r="AR169" i="1"/>
  <c r="AR146" i="1"/>
  <c r="AR122" i="1"/>
  <c r="AR98" i="1"/>
  <c r="AR80" i="1"/>
  <c r="AR57" i="1"/>
  <c r="AR34" i="1"/>
  <c r="AR16" i="1"/>
  <c r="AR10" i="1"/>
  <c r="AR354" i="1"/>
  <c r="AR337" i="1"/>
  <c r="AR265" i="1"/>
  <c r="AR232" i="1"/>
  <c r="AR201" i="1"/>
  <c r="AR178" i="1"/>
  <c r="AR144" i="1"/>
  <c r="AR120" i="1"/>
  <c r="AR114" i="1"/>
  <c r="AR96" i="1"/>
  <c r="AR73" i="1"/>
  <c r="AR50" i="1"/>
  <c r="AR32" i="1"/>
  <c r="AR8" i="1"/>
  <c r="AR2" i="1"/>
  <c r="F2" i="1"/>
  <c r="G2" i="1" s="1"/>
  <c r="J2" i="1"/>
  <c r="I2" i="1"/>
  <c r="F3" i="1"/>
  <c r="G3" i="1" s="1"/>
  <c r="D4" i="1"/>
  <c r="K2" i="1" l="1"/>
  <c r="Q2" i="1"/>
  <c r="R2" i="1" s="1"/>
  <c r="U2" i="1" s="1"/>
  <c r="V2" i="1" s="1"/>
  <c r="L2" i="1"/>
  <c r="M2" i="1" s="1"/>
  <c r="P2" i="1" s="1"/>
  <c r="F4" i="1"/>
  <c r="G4" i="1" s="1"/>
  <c r="D5" i="1"/>
  <c r="K3" i="1"/>
  <c r="J3" i="1"/>
  <c r="Q3" i="1"/>
  <c r="R3" i="1" s="1"/>
  <c r="I3" i="1"/>
  <c r="N2" i="1" l="1"/>
  <c r="O2" i="1" s="1"/>
  <c r="S2" i="1"/>
  <c r="T2" i="1"/>
  <c r="AB2" i="1"/>
  <c r="AC2" i="1" s="1"/>
  <c r="X2" i="1"/>
  <c r="L3" i="1"/>
  <c r="M3" i="1" s="1"/>
  <c r="P3" i="1" s="1"/>
  <c r="D6" i="1"/>
  <c r="F5" i="1"/>
  <c r="G5" i="1" s="1"/>
  <c r="U3" i="1"/>
  <c r="V3" i="1" s="1"/>
  <c r="K4" i="1"/>
  <c r="I4" i="1"/>
  <c r="Q4" i="1"/>
  <c r="R4" i="1" s="1"/>
  <c r="J4" i="1"/>
  <c r="AK2" i="1" l="1"/>
  <c r="AL2" i="1"/>
  <c r="AD2" i="1"/>
  <c r="W2" i="1"/>
  <c r="AA2" i="1" s="1"/>
  <c r="AM2" i="1" s="1"/>
  <c r="N3" i="1"/>
  <c r="O3" i="1" s="1"/>
  <c r="S3" i="1"/>
  <c r="T3" i="1"/>
  <c r="K5" i="1"/>
  <c r="J5" i="1"/>
  <c r="Q5" i="1"/>
  <c r="R5" i="1" s="1"/>
  <c r="I5" i="1"/>
  <c r="X3" i="1"/>
  <c r="AB3" i="1"/>
  <c r="AC3" i="1" s="1"/>
  <c r="U4" i="1"/>
  <c r="V4" i="1" s="1"/>
  <c r="F6" i="1"/>
  <c r="G6" i="1" s="1"/>
  <c r="D7" i="1"/>
  <c r="L4" i="1"/>
  <c r="M4" i="1" s="1"/>
  <c r="P4" i="1" s="1"/>
  <c r="AK3" i="1" l="1"/>
  <c r="AO2" i="1"/>
  <c r="AN2" i="1"/>
  <c r="AH2" i="1"/>
  <c r="AE2" i="1"/>
  <c r="AF2" i="1" s="1"/>
  <c r="AG2" i="1" s="1"/>
  <c r="Y2" i="1"/>
  <c r="Z2" i="1"/>
  <c r="S4" i="1"/>
  <c r="T4" i="1"/>
  <c r="N4" i="1"/>
  <c r="O4" i="1" s="1"/>
  <c r="F7" i="1"/>
  <c r="G7" i="1" s="1"/>
  <c r="D8" i="1"/>
  <c r="U5" i="1"/>
  <c r="V5" i="1" s="1"/>
  <c r="K6" i="1"/>
  <c r="Q6" i="1"/>
  <c r="R6" i="1" s="1"/>
  <c r="J6" i="1"/>
  <c r="I6" i="1"/>
  <c r="L5" i="1"/>
  <c r="N5" i="1" s="1"/>
  <c r="O5" i="1" s="1"/>
  <c r="W3" i="1"/>
  <c r="AA3" i="1" s="1"/>
  <c r="AM3" i="1" s="1"/>
  <c r="AD3" i="1"/>
  <c r="AE3" i="1" s="1"/>
  <c r="X4" i="1"/>
  <c r="AB4" i="1"/>
  <c r="AC4" i="1" s="1"/>
  <c r="AO3" i="1" l="1"/>
  <c r="AN3" i="1"/>
  <c r="AK4" i="1"/>
  <c r="AL4" i="1"/>
  <c r="Z3" i="1"/>
  <c r="Y3" i="1"/>
  <c r="K7" i="1"/>
  <c r="I7" i="1"/>
  <c r="J7" i="1"/>
  <c r="Q7" i="1"/>
  <c r="R7" i="1" s="1"/>
  <c r="M5" i="1"/>
  <c r="P5" i="1" s="1"/>
  <c r="L6" i="1"/>
  <c r="M6" i="1" s="1"/>
  <c r="P6" i="1" s="1"/>
  <c r="AF3" i="1"/>
  <c r="AG3" i="1" s="1"/>
  <c r="AH3" i="1"/>
  <c r="W4" i="1"/>
  <c r="AA4" i="1" s="1"/>
  <c r="AM4" i="1" s="1"/>
  <c r="AD4" i="1"/>
  <c r="AE4" i="1" s="1"/>
  <c r="U6" i="1"/>
  <c r="V6" i="1" s="1"/>
  <c r="AB5" i="1"/>
  <c r="AC5" i="1" s="1"/>
  <c r="X5" i="1"/>
  <c r="F8" i="1"/>
  <c r="G8" i="1" s="1"/>
  <c r="D9" i="1"/>
  <c r="AN4" i="1" l="1"/>
  <c r="AO4" i="1"/>
  <c r="S6" i="1"/>
  <c r="T6" i="1"/>
  <c r="N6" i="1"/>
  <c r="O6" i="1" s="1"/>
  <c r="AF4" i="1"/>
  <c r="AG4" i="1" s="1"/>
  <c r="AB6" i="1"/>
  <c r="AC6" i="1" s="1"/>
  <c r="X6" i="1"/>
  <c r="Y4" i="1"/>
  <c r="AH4" i="1"/>
  <c r="D10" i="1"/>
  <c r="F9" i="1"/>
  <c r="G9" i="1" s="1"/>
  <c r="K8" i="1"/>
  <c r="I8" i="1"/>
  <c r="J8" i="1"/>
  <c r="Q8" i="1"/>
  <c r="R8" i="1" s="1"/>
  <c r="S5" i="1"/>
  <c r="T5" i="1"/>
  <c r="U7" i="1"/>
  <c r="V7" i="1" s="1"/>
  <c r="L7" i="1"/>
  <c r="M7" i="1" s="1"/>
  <c r="P7" i="1" s="1"/>
  <c r="Z4" i="1"/>
  <c r="AL6" i="1" l="1"/>
  <c r="AK6" i="1"/>
  <c r="AK5" i="1"/>
  <c r="AL5" i="1"/>
  <c r="S7" i="1"/>
  <c r="T7" i="1"/>
  <c r="AB7" i="1"/>
  <c r="AC7" i="1" s="1"/>
  <c r="X7" i="1"/>
  <c r="U8" i="1"/>
  <c r="V8" i="1" s="1"/>
  <c r="N7" i="1"/>
  <c r="O7" i="1" s="1"/>
  <c r="K9" i="1"/>
  <c r="J9" i="1"/>
  <c r="Q9" i="1"/>
  <c r="R9" i="1" s="1"/>
  <c r="I9" i="1"/>
  <c r="D11" i="1"/>
  <c r="F10" i="1"/>
  <c r="G10" i="1" s="1"/>
  <c r="W6" i="1"/>
  <c r="AA6" i="1" s="1"/>
  <c r="AM6" i="1" s="1"/>
  <c r="AD6" i="1"/>
  <c r="AE6" i="1" s="1"/>
  <c r="L8" i="1"/>
  <c r="M8" i="1" s="1"/>
  <c r="P8" i="1" s="1"/>
  <c r="W5" i="1"/>
  <c r="AD5" i="1"/>
  <c r="AK7" i="1" l="1"/>
  <c r="AL7" i="1"/>
  <c r="AN6" i="1"/>
  <c r="AO6" i="1"/>
  <c r="Y6" i="1"/>
  <c r="N8" i="1"/>
  <c r="O8" i="1" s="1"/>
  <c r="Z6" i="1"/>
  <c r="S8" i="1"/>
  <c r="T8" i="1"/>
  <c r="AE5" i="1"/>
  <c r="AH5" i="1"/>
  <c r="X8" i="1"/>
  <c r="AB8" i="1"/>
  <c r="AC8" i="1" s="1"/>
  <c r="U9" i="1"/>
  <c r="V9" i="1" s="1"/>
  <c r="AF6" i="1"/>
  <c r="AG6" i="1" s="1"/>
  <c r="W7" i="1"/>
  <c r="AA7" i="1" s="1"/>
  <c r="AM7" i="1" s="1"/>
  <c r="AD7" i="1"/>
  <c r="AE7" i="1" s="1"/>
  <c r="K10" i="1"/>
  <c r="J10" i="1"/>
  <c r="I10" i="1"/>
  <c r="Q10" i="1"/>
  <c r="R10" i="1" s="1"/>
  <c r="AA5" i="1"/>
  <c r="AM5" i="1" s="1"/>
  <c r="Z5" i="1"/>
  <c r="Y5" i="1"/>
  <c r="D12" i="1"/>
  <c r="F11" i="1"/>
  <c r="G11" i="1" s="1"/>
  <c r="L9" i="1"/>
  <c r="M9" i="1" s="1"/>
  <c r="P9" i="1" s="1"/>
  <c r="AH6" i="1"/>
  <c r="AO7" i="1" l="1"/>
  <c r="AN7" i="1"/>
  <c r="AN5" i="1"/>
  <c r="AO5" i="1"/>
  <c r="AK8" i="1"/>
  <c r="N9" i="1"/>
  <c r="O9" i="1" s="1"/>
  <c r="S9" i="1"/>
  <c r="T9" i="1"/>
  <c r="X9" i="1"/>
  <c r="AB9" i="1"/>
  <c r="AC9" i="1" s="1"/>
  <c r="D13" i="1"/>
  <c r="F12" i="1"/>
  <c r="G12" i="1" s="1"/>
  <c r="K11" i="1"/>
  <c r="J11" i="1"/>
  <c r="I11" i="1"/>
  <c r="Q11" i="1"/>
  <c r="R11" i="1" s="1"/>
  <c r="AF5" i="1"/>
  <c r="AG5" i="1" s="1"/>
  <c r="AF7" i="1"/>
  <c r="AG7" i="1" s="1"/>
  <c r="AH7" i="1"/>
  <c r="U10" i="1"/>
  <c r="V10" i="1" s="1"/>
  <c r="Z7" i="1"/>
  <c r="W8" i="1"/>
  <c r="AA8" i="1" s="1"/>
  <c r="AM8" i="1" s="1"/>
  <c r="AD8" i="1"/>
  <c r="AE8" i="1" s="1"/>
  <c r="L10" i="1"/>
  <c r="N10" i="1" s="1"/>
  <c r="O10" i="1" s="1"/>
  <c r="Y7" i="1"/>
  <c r="AN8" i="1" l="1"/>
  <c r="AO8" i="1"/>
  <c r="AL9" i="1"/>
  <c r="AK9" i="1"/>
  <c r="M10" i="1"/>
  <c r="P10" i="1" s="1"/>
  <c r="S10" i="1" s="1"/>
  <c r="AH8" i="1"/>
  <c r="Z8" i="1"/>
  <c r="K12" i="1"/>
  <c r="J12" i="1"/>
  <c r="Q12" i="1"/>
  <c r="R12" i="1" s="1"/>
  <c r="I12" i="1"/>
  <c r="Y8" i="1"/>
  <c r="T10" i="1"/>
  <c r="F13" i="1"/>
  <c r="G13" i="1" s="1"/>
  <c r="D14" i="1"/>
  <c r="W9" i="1"/>
  <c r="AA9" i="1" s="1"/>
  <c r="AM9" i="1" s="1"/>
  <c r="AD9" i="1"/>
  <c r="AE9" i="1" s="1"/>
  <c r="X10" i="1"/>
  <c r="AB10" i="1"/>
  <c r="AC10" i="1" s="1"/>
  <c r="U11" i="1"/>
  <c r="V11" i="1" s="1"/>
  <c r="L11" i="1"/>
  <c r="M11" i="1" s="1"/>
  <c r="P11" i="1" s="1"/>
  <c r="AF8" i="1"/>
  <c r="AG8" i="1" s="1"/>
  <c r="AL10" i="1" l="1"/>
  <c r="AK10" i="1"/>
  <c r="AO9" i="1"/>
  <c r="AN9" i="1"/>
  <c r="N11" i="1"/>
  <c r="O11" i="1" s="1"/>
  <c r="S11" i="1"/>
  <c r="T11" i="1"/>
  <c r="K13" i="1"/>
  <c r="J13" i="1"/>
  <c r="I13" i="1"/>
  <c r="Q13" i="1"/>
  <c r="R13" i="1" s="1"/>
  <c r="AF9" i="1"/>
  <c r="AG9" i="1" s="1"/>
  <c r="W10" i="1"/>
  <c r="AA10" i="1" s="1"/>
  <c r="AM10" i="1" s="1"/>
  <c r="AD10" i="1"/>
  <c r="AE10" i="1" s="1"/>
  <c r="Y9" i="1"/>
  <c r="Z9" i="1"/>
  <c r="U12" i="1"/>
  <c r="V12" i="1" s="1"/>
  <c r="L12" i="1"/>
  <c r="M12" i="1" s="1"/>
  <c r="P12" i="1" s="1"/>
  <c r="X11" i="1"/>
  <c r="AB11" i="1"/>
  <c r="AC11" i="1" s="1"/>
  <c r="AH9" i="1"/>
  <c r="F14" i="1"/>
  <c r="G14" i="1" s="1"/>
  <c r="D15" i="1"/>
  <c r="AO10" i="1" l="1"/>
  <c r="AN10" i="1"/>
  <c r="AK11" i="1"/>
  <c r="AL11" i="1"/>
  <c r="AH10" i="1"/>
  <c r="S12" i="1"/>
  <c r="T12" i="1"/>
  <c r="X12" i="1"/>
  <c r="AB12" i="1"/>
  <c r="AC12" i="1" s="1"/>
  <c r="L13" i="1"/>
  <c r="M13" i="1" s="1"/>
  <c r="P13" i="1" s="1"/>
  <c r="AF10" i="1"/>
  <c r="AG10" i="1" s="1"/>
  <c r="Z10" i="1"/>
  <c r="F15" i="1"/>
  <c r="G15" i="1" s="1"/>
  <c r="D16" i="1"/>
  <c r="N12" i="1"/>
  <c r="O12" i="1" s="1"/>
  <c r="W11" i="1"/>
  <c r="AA11" i="1" s="1"/>
  <c r="AM11" i="1" s="1"/>
  <c r="AD11" i="1"/>
  <c r="AE11" i="1" s="1"/>
  <c r="U13" i="1"/>
  <c r="V13" i="1" s="1"/>
  <c r="Y10" i="1"/>
  <c r="K14" i="1"/>
  <c r="I14" i="1"/>
  <c r="J14" i="1"/>
  <c r="Q14" i="1"/>
  <c r="R14" i="1" s="1"/>
  <c r="AK12" i="1" l="1"/>
  <c r="AL12" i="1"/>
  <c r="AN11" i="1"/>
  <c r="AO11" i="1"/>
  <c r="N13" i="1"/>
  <c r="O13" i="1" s="1"/>
  <c r="AH11" i="1"/>
  <c r="Z11" i="1"/>
  <c r="Y11" i="1"/>
  <c r="S13" i="1"/>
  <c r="T13" i="1"/>
  <c r="X13" i="1"/>
  <c r="AB13" i="1"/>
  <c r="AC13" i="1" s="1"/>
  <c r="U14" i="1"/>
  <c r="V14" i="1" s="1"/>
  <c r="AF11" i="1"/>
  <c r="AG11" i="1" s="1"/>
  <c r="W12" i="1"/>
  <c r="AA12" i="1" s="1"/>
  <c r="AM12" i="1" s="1"/>
  <c r="AD12" i="1"/>
  <c r="AE12" i="1" s="1"/>
  <c r="F16" i="1"/>
  <c r="G16" i="1" s="1"/>
  <c r="D17" i="1"/>
  <c r="K15" i="1"/>
  <c r="Q15" i="1"/>
  <c r="R15" i="1" s="1"/>
  <c r="J15" i="1"/>
  <c r="I15" i="1"/>
  <c r="L14" i="1"/>
  <c r="N14" i="1" s="1"/>
  <c r="O14" i="1" s="1"/>
  <c r="AN12" i="1" l="1"/>
  <c r="AO12" i="1"/>
  <c r="AK13" i="1"/>
  <c r="AL13" i="1"/>
  <c r="AF12" i="1"/>
  <c r="AG12" i="1" s="1"/>
  <c r="M14" i="1"/>
  <c r="P14" i="1" s="1"/>
  <c r="X14" i="1"/>
  <c r="AB14" i="1"/>
  <c r="AC14" i="1" s="1"/>
  <c r="W13" i="1"/>
  <c r="AA13" i="1" s="1"/>
  <c r="AM13" i="1" s="1"/>
  <c r="AD13" i="1"/>
  <c r="AE13" i="1" s="1"/>
  <c r="K16" i="1"/>
  <c r="J16" i="1"/>
  <c r="Q16" i="1"/>
  <c r="R16" i="1" s="1"/>
  <c r="I16" i="1"/>
  <c r="Z12" i="1"/>
  <c r="Y12" i="1"/>
  <c r="L15" i="1"/>
  <c r="N15" i="1" s="1"/>
  <c r="O15" i="1" s="1"/>
  <c r="U15" i="1"/>
  <c r="V15" i="1" s="1"/>
  <c r="F17" i="1"/>
  <c r="G17" i="1" s="1"/>
  <c r="D18" i="1"/>
  <c r="AH12" i="1"/>
  <c r="AN13" i="1" l="1"/>
  <c r="AO13" i="1"/>
  <c r="AF13" i="1"/>
  <c r="AG13" i="1" s="1"/>
  <c r="F18" i="1"/>
  <c r="G18" i="1" s="1"/>
  <c r="D19" i="1"/>
  <c r="K17" i="1"/>
  <c r="I17" i="1"/>
  <c r="J17" i="1"/>
  <c r="Q17" i="1"/>
  <c r="R17" i="1" s="1"/>
  <c r="Y13" i="1"/>
  <c r="AH13" i="1"/>
  <c r="AB15" i="1"/>
  <c r="AC15" i="1" s="1"/>
  <c r="X15" i="1"/>
  <c r="L16" i="1"/>
  <c r="N16" i="1" s="1"/>
  <c r="O16" i="1" s="1"/>
  <c r="M15" i="1"/>
  <c r="P15" i="1" s="1"/>
  <c r="Z13" i="1"/>
  <c r="U16" i="1"/>
  <c r="V16" i="1" s="1"/>
  <c r="S14" i="1"/>
  <c r="T14" i="1"/>
  <c r="AK14" i="1" l="1"/>
  <c r="AL14" i="1"/>
  <c r="W14" i="1"/>
  <c r="AD14" i="1"/>
  <c r="U17" i="1"/>
  <c r="V17" i="1" s="1"/>
  <c r="L17" i="1"/>
  <c r="M17" i="1" s="1"/>
  <c r="P17" i="1" s="1"/>
  <c r="X16" i="1"/>
  <c r="AB16" i="1"/>
  <c r="AC16" i="1" s="1"/>
  <c r="D20" i="1"/>
  <c r="F19" i="1"/>
  <c r="G19" i="1" s="1"/>
  <c r="S15" i="1"/>
  <c r="T15" i="1"/>
  <c r="M16" i="1"/>
  <c r="P16" i="1" s="1"/>
  <c r="K18" i="1"/>
  <c r="I18" i="1"/>
  <c r="J18" i="1"/>
  <c r="Q18" i="1"/>
  <c r="R18" i="1" s="1"/>
  <c r="AL15" i="1" l="1"/>
  <c r="AK15" i="1"/>
  <c r="S17" i="1"/>
  <c r="T17" i="1"/>
  <c r="N17" i="1"/>
  <c r="O17" i="1" s="1"/>
  <c r="W15" i="1"/>
  <c r="AD15" i="1"/>
  <c r="U18" i="1"/>
  <c r="V18" i="1" s="1"/>
  <c r="L18" i="1"/>
  <c r="M18" i="1" s="1"/>
  <c r="P18" i="1" s="1"/>
  <c r="D21" i="1"/>
  <c r="F20" i="1"/>
  <c r="G20" i="1" s="1"/>
  <c r="S16" i="1"/>
  <c r="T16" i="1"/>
  <c r="AE14" i="1"/>
  <c r="AH14" i="1"/>
  <c r="K19" i="1"/>
  <c r="Q19" i="1"/>
  <c r="R19" i="1" s="1"/>
  <c r="J19" i="1"/>
  <c r="I19" i="1"/>
  <c r="X17" i="1"/>
  <c r="AB17" i="1"/>
  <c r="AC17" i="1" s="1"/>
  <c r="AA14" i="1"/>
  <c r="AM14" i="1" s="1"/>
  <c r="Y14" i="1"/>
  <c r="Z14" i="1"/>
  <c r="AL16" i="1" l="1"/>
  <c r="AK16" i="1"/>
  <c r="AN14" i="1"/>
  <c r="AO14" i="1"/>
  <c r="AK17" i="1"/>
  <c r="AL17" i="1"/>
  <c r="N18" i="1"/>
  <c r="O18" i="1" s="1"/>
  <c r="S18" i="1"/>
  <c r="T18" i="1"/>
  <c r="W18" i="1"/>
  <c r="AA18" i="1" s="1"/>
  <c r="AM18" i="1" s="1"/>
  <c r="U19" i="1"/>
  <c r="V19" i="1" s="1"/>
  <c r="AF14" i="1"/>
  <c r="AG14" i="1" s="1"/>
  <c r="AB18" i="1"/>
  <c r="AC18" i="1" s="1"/>
  <c r="AD18" i="1" s="1"/>
  <c r="AE18" i="1" s="1"/>
  <c r="X18" i="1"/>
  <c r="AA15" i="1"/>
  <c r="AM15" i="1" s="1"/>
  <c r="Z15" i="1"/>
  <c r="Y15" i="1"/>
  <c r="W17" i="1"/>
  <c r="AA17" i="1" s="1"/>
  <c r="AM17" i="1" s="1"/>
  <c r="AD17" i="1"/>
  <c r="AE17" i="1" s="1"/>
  <c r="W16" i="1"/>
  <c r="AD16" i="1"/>
  <c r="AE15" i="1"/>
  <c r="AH15" i="1"/>
  <c r="L19" i="1"/>
  <c r="M19" i="1" s="1"/>
  <c r="P19" i="1" s="1"/>
  <c r="K20" i="1"/>
  <c r="I20" i="1"/>
  <c r="J20" i="1"/>
  <c r="Q20" i="1"/>
  <c r="R20" i="1" s="1"/>
  <c r="F21" i="1"/>
  <c r="G21" i="1" s="1"/>
  <c r="D22" i="1"/>
  <c r="AO15" i="1" l="1"/>
  <c r="AN15" i="1"/>
  <c r="AO18" i="1"/>
  <c r="AN18" i="1"/>
  <c r="AK18" i="1"/>
  <c r="AL18" i="1"/>
  <c r="AN17" i="1"/>
  <c r="AO17" i="1"/>
  <c r="N19" i="1"/>
  <c r="O19" i="1" s="1"/>
  <c r="S19" i="1"/>
  <c r="T19" i="1"/>
  <c r="AA16" i="1"/>
  <c r="AM16" i="1" s="1"/>
  <c r="Y16" i="1"/>
  <c r="Z16" i="1"/>
  <c r="AF17" i="1"/>
  <c r="AG17" i="1" s="1"/>
  <c r="F22" i="1"/>
  <c r="G22" i="1" s="1"/>
  <c r="D23" i="1"/>
  <c r="K21" i="1"/>
  <c r="J21" i="1"/>
  <c r="I21" i="1"/>
  <c r="Q21" i="1"/>
  <c r="R21" i="1" s="1"/>
  <c r="AF15" i="1"/>
  <c r="AG15" i="1" s="1"/>
  <c r="U20" i="1"/>
  <c r="V20" i="1" s="1"/>
  <c r="Y17" i="1"/>
  <c r="X19" i="1"/>
  <c r="AB19" i="1"/>
  <c r="AC19" i="1" s="1"/>
  <c r="AF18" i="1"/>
  <c r="AG18" i="1" s="1"/>
  <c r="L20" i="1"/>
  <c r="N20" i="1" s="1"/>
  <c r="O20" i="1" s="1"/>
  <c r="Z17" i="1"/>
  <c r="Y18" i="1"/>
  <c r="Z18" i="1"/>
  <c r="AE16" i="1"/>
  <c r="AH16" i="1"/>
  <c r="AH18" i="1"/>
  <c r="AH17" i="1"/>
  <c r="AO16" i="1" l="1"/>
  <c r="AN16" i="1"/>
  <c r="AK19" i="1"/>
  <c r="AL19" i="1"/>
  <c r="U21" i="1"/>
  <c r="V21" i="1" s="1"/>
  <c r="M20" i="1"/>
  <c r="P20" i="1" s="1"/>
  <c r="W19" i="1"/>
  <c r="AA19" i="1" s="1"/>
  <c r="AM19" i="1" s="1"/>
  <c r="AD19" i="1"/>
  <c r="AE19" i="1" s="1"/>
  <c r="AF16" i="1"/>
  <c r="AG16" i="1" s="1"/>
  <c r="AH19" i="1"/>
  <c r="L21" i="1"/>
  <c r="M21" i="1" s="1"/>
  <c r="P21" i="1" s="1"/>
  <c r="X20" i="1"/>
  <c r="AB20" i="1"/>
  <c r="AC20" i="1" s="1"/>
  <c r="F23" i="1"/>
  <c r="G23" i="1" s="1"/>
  <c r="D24" i="1"/>
  <c r="K22" i="1"/>
  <c r="J22" i="1"/>
  <c r="I22" i="1"/>
  <c r="Q22" i="1"/>
  <c r="R22" i="1" s="1"/>
  <c r="AN19" i="1" l="1"/>
  <c r="AO19" i="1"/>
  <c r="N21" i="1"/>
  <c r="O21" i="1" s="1"/>
  <c r="S21" i="1"/>
  <c r="T21" i="1"/>
  <c r="Z19" i="1"/>
  <c r="L22" i="1"/>
  <c r="N22" i="1" s="1"/>
  <c r="O22" i="1" s="1"/>
  <c r="S20" i="1"/>
  <c r="T20" i="1"/>
  <c r="D25" i="1"/>
  <c r="F24" i="1"/>
  <c r="G24" i="1" s="1"/>
  <c r="U22" i="1"/>
  <c r="V22" i="1" s="1"/>
  <c r="Y19" i="1"/>
  <c r="K23" i="1"/>
  <c r="Q23" i="1"/>
  <c r="R23" i="1" s="1"/>
  <c r="I23" i="1"/>
  <c r="J23" i="1"/>
  <c r="AF19" i="1"/>
  <c r="AG19" i="1" s="1"/>
  <c r="AB21" i="1"/>
  <c r="AC21" i="1" s="1"/>
  <c r="X21" i="1"/>
  <c r="AL21" i="1" l="1"/>
  <c r="AK21" i="1"/>
  <c r="AK20" i="1"/>
  <c r="AL20" i="1"/>
  <c r="M22" i="1"/>
  <c r="P22" i="1" s="1"/>
  <c r="AB22" i="1"/>
  <c r="AC22" i="1" s="1"/>
  <c r="X22" i="1"/>
  <c r="K24" i="1"/>
  <c r="Q24" i="1"/>
  <c r="R24" i="1" s="1"/>
  <c r="I24" i="1"/>
  <c r="J24" i="1"/>
  <c r="L23" i="1"/>
  <c r="N23" i="1" s="1"/>
  <c r="O23" i="1" s="1"/>
  <c r="W20" i="1"/>
  <c r="AD20" i="1"/>
  <c r="W21" i="1"/>
  <c r="AA21" i="1" s="1"/>
  <c r="AM21" i="1" s="1"/>
  <c r="AD21" i="1"/>
  <c r="AE21" i="1" s="1"/>
  <c r="F25" i="1"/>
  <c r="G25" i="1" s="1"/>
  <c r="D26" i="1"/>
  <c r="U23" i="1"/>
  <c r="V23" i="1" s="1"/>
  <c r="AN21" i="1" l="1"/>
  <c r="AO21" i="1"/>
  <c r="S22" i="1"/>
  <c r="T22" i="1"/>
  <c r="Y21" i="1"/>
  <c r="Z21" i="1"/>
  <c r="X23" i="1"/>
  <c r="AB23" i="1"/>
  <c r="AC23" i="1" s="1"/>
  <c r="M23" i="1"/>
  <c r="P23" i="1" s="1"/>
  <c r="AF21" i="1"/>
  <c r="AG21" i="1" s="1"/>
  <c r="AE20" i="1"/>
  <c r="AH20" i="1"/>
  <c r="AH21" i="1"/>
  <c r="L24" i="1"/>
  <c r="N24" i="1" s="1"/>
  <c r="O24" i="1" s="1"/>
  <c r="U24" i="1"/>
  <c r="V24" i="1" s="1"/>
  <c r="D27" i="1"/>
  <c r="F26" i="1"/>
  <c r="G26" i="1" s="1"/>
  <c r="K25" i="1"/>
  <c r="Q25" i="1"/>
  <c r="R25" i="1" s="1"/>
  <c r="I25" i="1"/>
  <c r="J25" i="1"/>
  <c r="AA20" i="1"/>
  <c r="AM20" i="1" s="1"/>
  <c r="Z20" i="1"/>
  <c r="Y20" i="1"/>
  <c r="AK22" i="1" l="1"/>
  <c r="AL22" i="1"/>
  <c r="AN20" i="1"/>
  <c r="AO20" i="1"/>
  <c r="M24" i="1"/>
  <c r="P24" i="1" s="1"/>
  <c r="S24" i="1" s="1"/>
  <c r="W22" i="1"/>
  <c r="AD22" i="1"/>
  <c r="L25" i="1"/>
  <c r="M25" i="1" s="1"/>
  <c r="P25" i="1" s="1"/>
  <c r="S25" i="1" s="1"/>
  <c r="U25" i="1"/>
  <c r="V25" i="1" s="1"/>
  <c r="D28" i="1"/>
  <c r="F27" i="1"/>
  <c r="G27" i="1" s="1"/>
  <c r="K26" i="1"/>
  <c r="Q26" i="1"/>
  <c r="R26" i="1" s="1"/>
  <c r="J26" i="1"/>
  <c r="I26" i="1"/>
  <c r="S23" i="1"/>
  <c r="T23" i="1"/>
  <c r="X24" i="1"/>
  <c r="AB24" i="1"/>
  <c r="AC24" i="1" s="1"/>
  <c r="AF20" i="1"/>
  <c r="AG20" i="1" s="1"/>
  <c r="T24" i="1" l="1"/>
  <c r="AK23" i="1"/>
  <c r="AL23" i="1"/>
  <c r="N25" i="1"/>
  <c r="O25" i="1" s="1"/>
  <c r="AE22" i="1"/>
  <c r="AF22" i="1" s="1"/>
  <c r="AG22" i="1" s="1"/>
  <c r="AH22" i="1"/>
  <c r="AA22" i="1"/>
  <c r="AM22" i="1" s="1"/>
  <c r="Y22" i="1"/>
  <c r="Z22" i="1"/>
  <c r="W24" i="1"/>
  <c r="AA24" i="1" s="1"/>
  <c r="AM24" i="1" s="1"/>
  <c r="AD24" i="1"/>
  <c r="AE24" i="1" s="1"/>
  <c r="D29" i="1"/>
  <c r="F28" i="1"/>
  <c r="G28" i="1" s="1"/>
  <c r="T25" i="1"/>
  <c r="L26" i="1"/>
  <c r="M26" i="1" s="1"/>
  <c r="P26" i="1" s="1"/>
  <c r="K27" i="1"/>
  <c r="I27" i="1"/>
  <c r="J27" i="1"/>
  <c r="Q27" i="1"/>
  <c r="R27" i="1" s="1"/>
  <c r="W23" i="1"/>
  <c r="AD23" i="1"/>
  <c r="X25" i="1"/>
  <c r="AB25" i="1"/>
  <c r="AC25" i="1" s="1"/>
  <c r="U26" i="1"/>
  <c r="V26" i="1" s="1"/>
  <c r="AN22" i="1" l="1"/>
  <c r="AO22" i="1"/>
  <c r="AN24" i="1"/>
  <c r="AO24" i="1"/>
  <c r="AK25" i="1"/>
  <c r="AL25" i="1"/>
  <c r="AL24" i="1"/>
  <c r="AK24" i="1"/>
  <c r="N26" i="1"/>
  <c r="O26" i="1" s="1"/>
  <c r="Y24" i="1"/>
  <c r="Z24" i="1"/>
  <c r="S26" i="1"/>
  <c r="T26" i="1"/>
  <c r="W25" i="1"/>
  <c r="AA25" i="1" s="1"/>
  <c r="AM25" i="1" s="1"/>
  <c r="AD25" i="1"/>
  <c r="AE25" i="1" s="1"/>
  <c r="AE23" i="1"/>
  <c r="AH23" i="1"/>
  <c r="X26" i="1"/>
  <c r="AB26" i="1"/>
  <c r="AC26" i="1" s="1"/>
  <c r="AA23" i="1"/>
  <c r="AM23" i="1" s="1"/>
  <c r="Z23" i="1"/>
  <c r="Y23" i="1"/>
  <c r="U27" i="1"/>
  <c r="V27" i="1" s="1"/>
  <c r="K28" i="1"/>
  <c r="J28" i="1"/>
  <c r="I28" i="1"/>
  <c r="Q28" i="1"/>
  <c r="R28" i="1" s="1"/>
  <c r="L27" i="1"/>
  <c r="M27" i="1" s="1"/>
  <c r="P27" i="1" s="1"/>
  <c r="D30" i="1"/>
  <c r="F29" i="1"/>
  <c r="G29" i="1" s="1"/>
  <c r="AF24" i="1"/>
  <c r="AG24" i="1" s="1"/>
  <c r="AH24" i="1"/>
  <c r="AK26" i="1" l="1"/>
  <c r="AL26" i="1"/>
  <c r="AO23" i="1"/>
  <c r="AN23" i="1"/>
  <c r="AN25" i="1"/>
  <c r="AO25" i="1"/>
  <c r="S27" i="1"/>
  <c r="T27" i="1"/>
  <c r="K29" i="1"/>
  <c r="J29" i="1"/>
  <c r="I29" i="1"/>
  <c r="Q29" i="1"/>
  <c r="R29" i="1" s="1"/>
  <c r="AF25" i="1"/>
  <c r="AG25" i="1" s="1"/>
  <c r="U28" i="1"/>
  <c r="V28" i="1" s="1"/>
  <c r="F30" i="1"/>
  <c r="G30" i="1" s="1"/>
  <c r="D31" i="1"/>
  <c r="W26" i="1"/>
  <c r="AA26" i="1" s="1"/>
  <c r="AM26" i="1" s="1"/>
  <c r="AD26" i="1"/>
  <c r="AE26" i="1" s="1"/>
  <c r="X27" i="1"/>
  <c r="AB27" i="1"/>
  <c r="AC27" i="1" s="1"/>
  <c r="AF23" i="1"/>
  <c r="AG23" i="1" s="1"/>
  <c r="N27" i="1"/>
  <c r="O27" i="1" s="1"/>
  <c r="Z25" i="1"/>
  <c r="AH25" i="1"/>
  <c r="Y25" i="1"/>
  <c r="L28" i="1"/>
  <c r="N28" i="1" s="1"/>
  <c r="O28" i="1" s="1"/>
  <c r="AK27" i="1" l="1"/>
  <c r="AL27" i="1"/>
  <c r="AN26" i="1"/>
  <c r="AO26" i="1"/>
  <c r="M28" i="1"/>
  <c r="P28" i="1" s="1"/>
  <c r="S28" i="1" s="1"/>
  <c r="AH26" i="1"/>
  <c r="Y26" i="1"/>
  <c r="L29" i="1"/>
  <c r="M29" i="1" s="1"/>
  <c r="P29" i="1" s="1"/>
  <c r="W27" i="1"/>
  <c r="AA27" i="1" s="1"/>
  <c r="AM27" i="1" s="1"/>
  <c r="AD27" i="1"/>
  <c r="AE27" i="1" s="1"/>
  <c r="AF26" i="1"/>
  <c r="AG26" i="1" s="1"/>
  <c r="U29" i="1"/>
  <c r="V29" i="1" s="1"/>
  <c r="Z26" i="1"/>
  <c r="F31" i="1"/>
  <c r="G31" i="1" s="1"/>
  <c r="D32" i="1"/>
  <c r="K30" i="1"/>
  <c r="I30" i="1"/>
  <c r="Q30" i="1"/>
  <c r="R30" i="1" s="1"/>
  <c r="J30" i="1"/>
  <c r="X28" i="1"/>
  <c r="AB28" i="1"/>
  <c r="AC28" i="1" s="1"/>
  <c r="T28" i="1" l="1"/>
  <c r="AN27" i="1"/>
  <c r="AO27" i="1"/>
  <c r="N29" i="1"/>
  <c r="O29" i="1" s="1"/>
  <c r="AH27" i="1"/>
  <c r="S29" i="1"/>
  <c r="T29" i="1"/>
  <c r="W28" i="1"/>
  <c r="AA28" i="1" s="1"/>
  <c r="AM28" i="1" s="1"/>
  <c r="AD28" i="1"/>
  <c r="AE28" i="1" s="1"/>
  <c r="L30" i="1"/>
  <c r="N30" i="1" s="1"/>
  <c r="O30" i="1" s="1"/>
  <c r="F32" i="1"/>
  <c r="G32" i="1" s="1"/>
  <c r="D33" i="1"/>
  <c r="Z27" i="1"/>
  <c r="AB29" i="1"/>
  <c r="AC29" i="1" s="1"/>
  <c r="X29" i="1"/>
  <c r="U30" i="1"/>
  <c r="V30" i="1" s="1"/>
  <c r="Y27" i="1"/>
  <c r="K31" i="1"/>
  <c r="Q31" i="1"/>
  <c r="R31" i="1" s="1"/>
  <c r="I31" i="1"/>
  <c r="J31" i="1"/>
  <c r="AF27" i="1"/>
  <c r="AG27" i="1" s="1"/>
  <c r="AL29" i="1" l="1"/>
  <c r="AK29" i="1"/>
  <c r="AO28" i="1"/>
  <c r="AN28" i="1"/>
  <c r="AL28" i="1"/>
  <c r="AK28" i="1"/>
  <c r="Y28" i="1"/>
  <c r="Z28" i="1"/>
  <c r="AB30" i="1"/>
  <c r="AC30" i="1" s="1"/>
  <c r="X30" i="1"/>
  <c r="M30" i="1"/>
  <c r="P30" i="1" s="1"/>
  <c r="AH28" i="1"/>
  <c r="L31" i="1"/>
  <c r="N31" i="1" s="1"/>
  <c r="O31" i="1" s="1"/>
  <c r="U31" i="1"/>
  <c r="V31" i="1" s="1"/>
  <c r="AF28" i="1"/>
  <c r="AG28" i="1" s="1"/>
  <c r="F33" i="1"/>
  <c r="G33" i="1" s="1"/>
  <c r="D34" i="1"/>
  <c r="W29" i="1"/>
  <c r="AA29" i="1" s="1"/>
  <c r="AM29" i="1" s="1"/>
  <c r="AD29" i="1"/>
  <c r="AE29" i="1" s="1"/>
  <c r="K32" i="1"/>
  <c r="I32" i="1"/>
  <c r="J32" i="1"/>
  <c r="Q32" i="1"/>
  <c r="R32" i="1" s="1"/>
  <c r="AN29" i="1" l="1"/>
  <c r="AO29" i="1"/>
  <c r="AH29" i="1"/>
  <c r="Z29" i="1"/>
  <c r="Y29" i="1"/>
  <c r="D35" i="1"/>
  <c r="F34" i="1"/>
  <c r="G34" i="1" s="1"/>
  <c r="U32" i="1"/>
  <c r="V32" i="1" s="1"/>
  <c r="K33" i="1"/>
  <c r="Q33" i="1"/>
  <c r="R33" i="1" s="1"/>
  <c r="I33" i="1"/>
  <c r="J33" i="1"/>
  <c r="L32" i="1"/>
  <c r="N32" i="1"/>
  <c r="O32" i="1" s="1"/>
  <c r="M32" i="1"/>
  <c r="P32" i="1" s="1"/>
  <c r="S32" i="1" s="1"/>
  <c r="S30" i="1"/>
  <c r="T30" i="1"/>
  <c r="AF29" i="1"/>
  <c r="AG29" i="1" s="1"/>
  <c r="M31" i="1"/>
  <c r="P31" i="1" s="1"/>
  <c r="X31" i="1"/>
  <c r="AB31" i="1"/>
  <c r="AC31" i="1" s="1"/>
  <c r="AK30" i="1" l="1"/>
  <c r="AL30" i="1"/>
  <c r="T32" i="1"/>
  <c r="L33" i="1"/>
  <c r="N33" i="1" s="1"/>
  <c r="O33" i="1" s="1"/>
  <c r="W32" i="1"/>
  <c r="AA32" i="1" s="1"/>
  <c r="AM32" i="1" s="1"/>
  <c r="M33" i="1"/>
  <c r="P33" i="1" s="1"/>
  <c r="S33" i="1" s="1"/>
  <c r="U33" i="1"/>
  <c r="V33" i="1" s="1"/>
  <c r="W30" i="1"/>
  <c r="AD30" i="1"/>
  <c r="K34" i="1"/>
  <c r="I34" i="1"/>
  <c r="Q34" i="1"/>
  <c r="R34" i="1" s="1"/>
  <c r="J34" i="1"/>
  <c r="X32" i="1"/>
  <c r="AB32" i="1"/>
  <c r="AC32" i="1" s="1"/>
  <c r="AD32" i="1" s="1"/>
  <c r="AE32" i="1" s="1"/>
  <c r="S31" i="1"/>
  <c r="T31" i="1"/>
  <c r="D36" i="1"/>
  <c r="F35" i="1"/>
  <c r="G35" i="1" s="1"/>
  <c r="AK32" i="1" l="1"/>
  <c r="AL32" i="1"/>
  <c r="AO32" i="1"/>
  <c r="AN32" i="1"/>
  <c r="AL31" i="1"/>
  <c r="AK31" i="1"/>
  <c r="K35" i="1"/>
  <c r="I35" i="1"/>
  <c r="Q35" i="1"/>
  <c r="R35" i="1" s="1"/>
  <c r="J35" i="1"/>
  <c r="AF32" i="1"/>
  <c r="AG32" i="1" s="1"/>
  <c r="AH32" i="1"/>
  <c r="F36" i="1"/>
  <c r="G36" i="1" s="1"/>
  <c r="D37" i="1"/>
  <c r="AE30" i="1"/>
  <c r="AH30" i="1"/>
  <c r="Z32" i="1"/>
  <c r="Y32" i="1"/>
  <c r="AB33" i="1"/>
  <c r="AC33" i="1" s="1"/>
  <c r="X33" i="1"/>
  <c r="L34" i="1"/>
  <c r="N34" i="1" s="1"/>
  <c r="O34" i="1" s="1"/>
  <c r="U34" i="1"/>
  <c r="V34" i="1" s="1"/>
  <c r="W31" i="1"/>
  <c r="AD31" i="1"/>
  <c r="AA30" i="1"/>
  <c r="AM30" i="1" s="1"/>
  <c r="Y30" i="1"/>
  <c r="Z30" i="1"/>
  <c r="T33" i="1"/>
  <c r="AK33" i="1" l="1"/>
  <c r="AL33" i="1"/>
  <c r="AN30" i="1"/>
  <c r="AO30" i="1"/>
  <c r="M34" i="1"/>
  <c r="P34" i="1" s="1"/>
  <c r="S34" i="1" s="1"/>
  <c r="AE31" i="1"/>
  <c r="AH31" i="1"/>
  <c r="AB34" i="1"/>
  <c r="AC34" i="1" s="1"/>
  <c r="X34" i="1"/>
  <c r="L35" i="1"/>
  <c r="M35" i="1" s="1"/>
  <c r="P35" i="1" s="1"/>
  <c r="AF30" i="1"/>
  <c r="AG30" i="1" s="1"/>
  <c r="AA31" i="1"/>
  <c r="AM31" i="1" s="1"/>
  <c r="Y31" i="1"/>
  <c r="Z31" i="1"/>
  <c r="W33" i="1"/>
  <c r="AA33" i="1" s="1"/>
  <c r="AM33" i="1" s="1"/>
  <c r="AD33" i="1"/>
  <c r="AE33" i="1" s="1"/>
  <c r="F37" i="1"/>
  <c r="G37" i="1" s="1"/>
  <c r="D38" i="1"/>
  <c r="U35" i="1"/>
  <c r="V35" i="1" s="1"/>
  <c r="K36" i="1"/>
  <c r="Q36" i="1"/>
  <c r="R36" i="1" s="1"/>
  <c r="J36" i="1"/>
  <c r="I36" i="1"/>
  <c r="T34" i="1" l="1"/>
  <c r="AO31" i="1"/>
  <c r="AN31" i="1"/>
  <c r="AO33" i="1"/>
  <c r="AN33" i="1"/>
  <c r="N35" i="1"/>
  <c r="O35" i="1" s="1"/>
  <c r="S35" i="1"/>
  <c r="T35" i="1"/>
  <c r="K37" i="1"/>
  <c r="Q37" i="1"/>
  <c r="R37" i="1" s="1"/>
  <c r="J37" i="1"/>
  <c r="I37" i="1"/>
  <c r="AF33" i="1"/>
  <c r="AG33" i="1" s="1"/>
  <c r="Y33" i="1"/>
  <c r="U36" i="1"/>
  <c r="V36" i="1" s="1"/>
  <c r="W34" i="1"/>
  <c r="AA34" i="1" s="1"/>
  <c r="AM34" i="1" s="1"/>
  <c r="AD34" i="1"/>
  <c r="AE34" i="1" s="1"/>
  <c r="X35" i="1"/>
  <c r="AB35" i="1"/>
  <c r="AC35" i="1" s="1"/>
  <c r="Z33" i="1"/>
  <c r="AH34" i="1"/>
  <c r="L36" i="1"/>
  <c r="M36" i="1" s="1"/>
  <c r="P36" i="1" s="1"/>
  <c r="F38" i="1"/>
  <c r="G38" i="1" s="1"/>
  <c r="D39" i="1"/>
  <c r="AH33" i="1"/>
  <c r="AF31" i="1"/>
  <c r="AG31" i="1" s="1"/>
  <c r="AO34" i="1" l="1"/>
  <c r="AN34" i="1"/>
  <c r="AK35" i="1"/>
  <c r="AL35" i="1"/>
  <c r="AK34" i="1"/>
  <c r="AL34" i="1"/>
  <c r="S36" i="1"/>
  <c r="T36" i="1"/>
  <c r="K38" i="1"/>
  <c r="J38" i="1"/>
  <c r="I38" i="1"/>
  <c r="Q38" i="1"/>
  <c r="R38" i="1" s="1"/>
  <c r="X36" i="1"/>
  <c r="AB36" i="1"/>
  <c r="AC36" i="1" s="1"/>
  <c r="L37" i="1"/>
  <c r="M37" i="1" s="1"/>
  <c r="P37" i="1" s="1"/>
  <c r="N37" i="1"/>
  <c r="O37" i="1" s="1"/>
  <c r="N36" i="1"/>
  <c r="O36" i="1" s="1"/>
  <c r="U37" i="1"/>
  <c r="V37" i="1" s="1"/>
  <c r="W35" i="1"/>
  <c r="AA35" i="1" s="1"/>
  <c r="AM35" i="1" s="1"/>
  <c r="AD35" i="1"/>
  <c r="AE35" i="1" s="1"/>
  <c r="Z34" i="1"/>
  <c r="Y34" i="1"/>
  <c r="F39" i="1"/>
  <c r="G39" i="1" s="1"/>
  <c r="D40" i="1"/>
  <c r="AF34" i="1"/>
  <c r="AG34" i="1" s="1"/>
  <c r="S37" i="1" l="1"/>
  <c r="T37" i="1"/>
  <c r="AL36" i="1"/>
  <c r="AK36" i="1"/>
  <c r="AO35" i="1"/>
  <c r="AN35" i="1"/>
  <c r="K39" i="1"/>
  <c r="J39" i="1"/>
  <c r="I39" i="1"/>
  <c r="Q39" i="1"/>
  <c r="R39" i="1" s="1"/>
  <c r="Y36" i="1"/>
  <c r="D41" i="1"/>
  <c r="F40" i="1"/>
  <c r="G40" i="1" s="1"/>
  <c r="W37" i="1"/>
  <c r="AA37" i="1" s="1"/>
  <c r="AM37" i="1" s="1"/>
  <c r="W36" i="1"/>
  <c r="AA36" i="1" s="1"/>
  <c r="AM36" i="1" s="1"/>
  <c r="AD36" i="1"/>
  <c r="AE36" i="1" s="1"/>
  <c r="X37" i="1"/>
  <c r="AB37" i="1"/>
  <c r="AC37" i="1" s="1"/>
  <c r="U38" i="1"/>
  <c r="V38" i="1" s="1"/>
  <c r="AF35" i="1"/>
  <c r="AG35" i="1" s="1"/>
  <c r="L38" i="1"/>
  <c r="N38" i="1" s="1"/>
  <c r="O38" i="1" s="1"/>
  <c r="AH35" i="1"/>
  <c r="Z35" i="1"/>
  <c r="Y35" i="1"/>
  <c r="AN37" i="1" l="1"/>
  <c r="AO37" i="1"/>
  <c r="AK37" i="1"/>
  <c r="AL37" i="1"/>
  <c r="AO36" i="1"/>
  <c r="AN36" i="1"/>
  <c r="M38" i="1"/>
  <c r="P38" i="1" s="1"/>
  <c r="S38" i="1" s="1"/>
  <c r="L39" i="1"/>
  <c r="N39" i="1"/>
  <c r="AF36" i="1"/>
  <c r="AG36" i="1" s="1"/>
  <c r="AD37" i="1"/>
  <c r="AE37" i="1" s="1"/>
  <c r="M39" i="1"/>
  <c r="P39" i="1" s="1"/>
  <c r="S39" i="1" s="1"/>
  <c r="K40" i="1"/>
  <c r="J40" i="1"/>
  <c r="I40" i="1"/>
  <c r="Q40" i="1"/>
  <c r="R40" i="1" s="1"/>
  <c r="O39" i="1"/>
  <c r="Y37" i="1"/>
  <c r="Z37" i="1"/>
  <c r="Z36" i="1"/>
  <c r="U39" i="1"/>
  <c r="V39" i="1" s="1"/>
  <c r="X38" i="1"/>
  <c r="AB38" i="1"/>
  <c r="AC38" i="1" s="1"/>
  <c r="F41" i="1"/>
  <c r="G41" i="1" s="1"/>
  <c r="D42" i="1"/>
  <c r="AH36" i="1"/>
  <c r="T38" i="1" l="1"/>
  <c r="U40" i="1"/>
  <c r="V40" i="1" s="1"/>
  <c r="F42" i="1"/>
  <c r="G42" i="1" s="1"/>
  <c r="D43" i="1"/>
  <c r="K41" i="1"/>
  <c r="I41" i="1"/>
  <c r="Q41" i="1"/>
  <c r="R41" i="1" s="1"/>
  <c r="J41" i="1"/>
  <c r="AB39" i="1"/>
  <c r="AC39" i="1" s="1"/>
  <c r="X39" i="1"/>
  <c r="L40" i="1"/>
  <c r="N40" i="1" s="1"/>
  <c r="O40" i="1" s="1"/>
  <c r="W38" i="1"/>
  <c r="AA38" i="1" s="1"/>
  <c r="AM38" i="1" s="1"/>
  <c r="AD38" i="1"/>
  <c r="AE38" i="1" s="1"/>
  <c r="AF37" i="1"/>
  <c r="AG37" i="1" s="1"/>
  <c r="AH37" i="1"/>
  <c r="T39" i="1"/>
  <c r="AN38" i="1" l="1"/>
  <c r="AO38" i="1"/>
  <c r="AL39" i="1"/>
  <c r="AK39" i="1"/>
  <c r="AL38" i="1"/>
  <c r="AK38" i="1"/>
  <c r="AF38" i="1"/>
  <c r="AG38" i="1" s="1"/>
  <c r="Y38" i="1"/>
  <c r="M40" i="1"/>
  <c r="P40" i="1" s="1"/>
  <c r="Z38" i="1"/>
  <c r="W39" i="1"/>
  <c r="AA39" i="1" s="1"/>
  <c r="AM39" i="1" s="1"/>
  <c r="AD39" i="1"/>
  <c r="AE39" i="1" s="1"/>
  <c r="K42" i="1"/>
  <c r="I42" i="1"/>
  <c r="Q42" i="1"/>
  <c r="R42" i="1" s="1"/>
  <c r="J42" i="1"/>
  <c r="X40" i="1"/>
  <c r="AB40" i="1"/>
  <c r="AC40" i="1" s="1"/>
  <c r="F43" i="1"/>
  <c r="G43" i="1" s="1"/>
  <c r="D44" i="1"/>
  <c r="L41" i="1"/>
  <c r="M41" i="1" s="1"/>
  <c r="P41" i="1" s="1"/>
  <c r="U41" i="1"/>
  <c r="V41" i="1" s="1"/>
  <c r="AH38" i="1"/>
  <c r="AO39" i="1" l="1"/>
  <c r="AN39" i="1"/>
  <c r="Y39" i="1"/>
  <c r="Z39" i="1"/>
  <c r="AH39" i="1"/>
  <c r="S41" i="1"/>
  <c r="T41" i="1"/>
  <c r="X41" i="1"/>
  <c r="AB41" i="1"/>
  <c r="AC41" i="1" s="1"/>
  <c r="U42" i="1"/>
  <c r="V42" i="1" s="1"/>
  <c r="AF39" i="1"/>
  <c r="AG39" i="1" s="1"/>
  <c r="L42" i="1"/>
  <c r="N42" i="1" s="1"/>
  <c r="O42" i="1" s="1"/>
  <c r="S40" i="1"/>
  <c r="T40" i="1"/>
  <c r="D45" i="1"/>
  <c r="F44" i="1"/>
  <c r="G44" i="1" s="1"/>
  <c r="K43" i="1"/>
  <c r="J43" i="1"/>
  <c r="Q43" i="1"/>
  <c r="R43" i="1" s="1"/>
  <c r="I43" i="1"/>
  <c r="N41" i="1"/>
  <c r="O41" i="1" s="1"/>
  <c r="M42" i="1"/>
  <c r="P42" i="1" s="1"/>
  <c r="S42" i="1" s="1"/>
  <c r="AL41" i="1" l="1"/>
  <c r="AK41" i="1"/>
  <c r="AK40" i="1"/>
  <c r="AL40" i="1"/>
  <c r="K44" i="1"/>
  <c r="J44" i="1"/>
  <c r="Q44" i="1"/>
  <c r="R44" i="1" s="1"/>
  <c r="I44" i="1"/>
  <c r="W40" i="1"/>
  <c r="AD40" i="1"/>
  <c r="T42" i="1"/>
  <c r="W41" i="1"/>
  <c r="AA41" i="1" s="1"/>
  <c r="AM41" i="1" s="1"/>
  <c r="AD41" i="1"/>
  <c r="AE41" i="1" s="1"/>
  <c r="F45" i="1"/>
  <c r="G45" i="1" s="1"/>
  <c r="D46" i="1"/>
  <c r="X42" i="1"/>
  <c r="AB42" i="1"/>
  <c r="AC42" i="1" s="1"/>
  <c r="U43" i="1"/>
  <c r="V43" i="1" s="1"/>
  <c r="Z41" i="1"/>
  <c r="L43" i="1"/>
  <c r="N43" i="1" s="1"/>
  <c r="O43" i="1" s="1"/>
  <c r="AN41" i="1" l="1"/>
  <c r="AO41" i="1"/>
  <c r="AH41" i="1"/>
  <c r="M43" i="1"/>
  <c r="P43" i="1" s="1"/>
  <c r="S43" i="1" s="1"/>
  <c r="Y41" i="1"/>
  <c r="AL42" i="1"/>
  <c r="AK42" i="1"/>
  <c r="AE40" i="1"/>
  <c r="AH40" i="1"/>
  <c r="AB43" i="1"/>
  <c r="AC43" i="1" s="1"/>
  <c r="X43" i="1"/>
  <c r="W42" i="1"/>
  <c r="AA42" i="1" s="1"/>
  <c r="AM42" i="1" s="1"/>
  <c r="AD42" i="1"/>
  <c r="AE42" i="1" s="1"/>
  <c r="Y42" i="1"/>
  <c r="U44" i="1"/>
  <c r="V44" i="1" s="1"/>
  <c r="L44" i="1"/>
  <c r="M44" i="1" s="1"/>
  <c r="P44" i="1" s="1"/>
  <c r="AA40" i="1"/>
  <c r="AM40" i="1" s="1"/>
  <c r="Z40" i="1"/>
  <c r="Y40" i="1"/>
  <c r="D47" i="1"/>
  <c r="F46" i="1"/>
  <c r="G46" i="1" s="1"/>
  <c r="K45" i="1"/>
  <c r="J45" i="1"/>
  <c r="I45" i="1"/>
  <c r="Q45" i="1"/>
  <c r="R45" i="1" s="1"/>
  <c r="AF41" i="1"/>
  <c r="AG41" i="1" s="1"/>
  <c r="T43" i="1"/>
  <c r="AN42" i="1" l="1"/>
  <c r="AO42" i="1"/>
  <c r="AL43" i="1"/>
  <c r="AK43" i="1"/>
  <c r="AO40" i="1"/>
  <c r="AN40" i="1"/>
  <c r="Z42" i="1"/>
  <c r="N44" i="1"/>
  <c r="O44" i="1" s="1"/>
  <c r="S44" i="1"/>
  <c r="T44" i="1"/>
  <c r="AH42" i="1"/>
  <c r="L45" i="1"/>
  <c r="N45" i="1"/>
  <c r="O45" i="1" s="1"/>
  <c r="M45" i="1"/>
  <c r="P45" i="1" s="1"/>
  <c r="S45" i="1" s="1"/>
  <c r="K46" i="1"/>
  <c r="I46" i="1"/>
  <c r="J46" i="1"/>
  <c r="Q46" i="1"/>
  <c r="R46" i="1" s="1"/>
  <c r="W43" i="1"/>
  <c r="AA43" i="1" s="1"/>
  <c r="AM43" i="1" s="1"/>
  <c r="AD43" i="1"/>
  <c r="AE43" i="1" s="1"/>
  <c r="F47" i="1"/>
  <c r="G47" i="1" s="1"/>
  <c r="D48" i="1"/>
  <c r="U45" i="1"/>
  <c r="V45" i="1" s="1"/>
  <c r="AF42" i="1"/>
  <c r="AG42" i="1" s="1"/>
  <c r="AB44" i="1"/>
  <c r="AC44" i="1" s="1"/>
  <c r="X44" i="1"/>
  <c r="AF40" i="1"/>
  <c r="AG40" i="1" s="1"/>
  <c r="AK44" i="1" l="1"/>
  <c r="AL44" i="1"/>
  <c r="AO43" i="1"/>
  <c r="AN43" i="1"/>
  <c r="Y43" i="1"/>
  <c r="K47" i="1"/>
  <c r="J47" i="1"/>
  <c r="I47" i="1"/>
  <c r="Q47" i="1"/>
  <c r="R47" i="1" s="1"/>
  <c r="U46" i="1"/>
  <c r="V46" i="1" s="1"/>
  <c r="L46" i="1"/>
  <c r="N46" i="1" s="1"/>
  <c r="O46" i="1" s="1"/>
  <c r="AF43" i="1"/>
  <c r="AG43" i="1" s="1"/>
  <c r="AH43" i="1"/>
  <c r="X45" i="1"/>
  <c r="AB45" i="1"/>
  <c r="AC45" i="1" s="1"/>
  <c r="T45" i="1"/>
  <c r="W44" i="1"/>
  <c r="AA44" i="1" s="1"/>
  <c r="AM44" i="1" s="1"/>
  <c r="AD44" i="1"/>
  <c r="AE44" i="1" s="1"/>
  <c r="F48" i="1"/>
  <c r="G48" i="1" s="1"/>
  <c r="D49" i="1"/>
  <c r="Z43" i="1"/>
  <c r="AO44" i="1" l="1"/>
  <c r="AN44" i="1"/>
  <c r="AK45" i="1"/>
  <c r="AL45" i="1"/>
  <c r="F49" i="1"/>
  <c r="G49" i="1" s="1"/>
  <c r="D50" i="1"/>
  <c r="K48" i="1"/>
  <c r="Q48" i="1"/>
  <c r="R48" i="1" s="1"/>
  <c r="I48" i="1"/>
  <c r="J48" i="1"/>
  <c r="AF44" i="1"/>
  <c r="AG44" i="1" s="1"/>
  <c r="AH44" i="1"/>
  <c r="W45" i="1"/>
  <c r="AA45" i="1" s="1"/>
  <c r="AM45" i="1" s="1"/>
  <c r="AD45" i="1"/>
  <c r="AE45" i="1" s="1"/>
  <c r="X46" i="1"/>
  <c r="AB46" i="1"/>
  <c r="AC46" i="1" s="1"/>
  <c r="U47" i="1"/>
  <c r="V47" i="1" s="1"/>
  <c r="Z44" i="1"/>
  <c r="Y44" i="1"/>
  <c r="L47" i="1"/>
  <c r="M47" i="1" s="1"/>
  <c r="P47" i="1" s="1"/>
  <c r="M46" i="1"/>
  <c r="P46" i="1" s="1"/>
  <c r="AN45" i="1" l="1"/>
  <c r="AO45" i="1"/>
  <c r="N47" i="1"/>
  <c r="O47" i="1" s="1"/>
  <c r="S47" i="1"/>
  <c r="T47" i="1"/>
  <c r="U48" i="1"/>
  <c r="V48" i="1" s="1"/>
  <c r="S46" i="1"/>
  <c r="T46" i="1"/>
  <c r="AF45" i="1"/>
  <c r="AG45" i="1" s="1"/>
  <c r="Y45" i="1"/>
  <c r="Z45" i="1"/>
  <c r="F50" i="1"/>
  <c r="G50" i="1" s="1"/>
  <c r="D51" i="1"/>
  <c r="AB47" i="1"/>
  <c r="AC47" i="1" s="1"/>
  <c r="X47" i="1"/>
  <c r="K49" i="1"/>
  <c r="Q49" i="1"/>
  <c r="R49" i="1" s="1"/>
  <c r="I49" i="1"/>
  <c r="J49" i="1"/>
  <c r="L48" i="1"/>
  <c r="N48" i="1" s="1"/>
  <c r="O48" i="1" s="1"/>
  <c r="AH45" i="1"/>
  <c r="AK47" i="1" l="1"/>
  <c r="AL47" i="1"/>
  <c r="AK46" i="1"/>
  <c r="AL46" i="1"/>
  <c r="L49" i="1"/>
  <c r="N49" i="1" s="1"/>
  <c r="O49" i="1" s="1"/>
  <c r="M48" i="1"/>
  <c r="P48" i="1" s="1"/>
  <c r="M49" i="1"/>
  <c r="P49" i="1" s="1"/>
  <c r="S49" i="1" s="1"/>
  <c r="F51" i="1"/>
  <c r="G51" i="1" s="1"/>
  <c r="D52" i="1"/>
  <c r="X48" i="1"/>
  <c r="AB48" i="1"/>
  <c r="AC48" i="1" s="1"/>
  <c r="W46" i="1"/>
  <c r="AD46" i="1"/>
  <c r="U49" i="1"/>
  <c r="V49" i="1" s="1"/>
  <c r="K50" i="1"/>
  <c r="Q50" i="1"/>
  <c r="R50" i="1" s="1"/>
  <c r="I50" i="1"/>
  <c r="J50" i="1"/>
  <c r="W47" i="1"/>
  <c r="AA47" i="1" s="1"/>
  <c r="AM47" i="1" s="1"/>
  <c r="AD47" i="1"/>
  <c r="AE47" i="1" s="1"/>
  <c r="T49" i="1" l="1"/>
  <c r="AO47" i="1"/>
  <c r="AN47" i="1"/>
  <c r="AF47" i="1"/>
  <c r="AG47" i="1" s="1"/>
  <c r="AB49" i="1"/>
  <c r="AC49" i="1" s="1"/>
  <c r="AD49" i="1" s="1"/>
  <c r="AE49" i="1" s="1"/>
  <c r="X49" i="1"/>
  <c r="Y47" i="1"/>
  <c r="K51" i="1"/>
  <c r="J51" i="1"/>
  <c r="I51" i="1"/>
  <c r="Q51" i="1"/>
  <c r="R51" i="1" s="1"/>
  <c r="AA46" i="1"/>
  <c r="AM46" i="1" s="1"/>
  <c r="Y46" i="1"/>
  <c r="Z46" i="1"/>
  <c r="U50" i="1"/>
  <c r="V50" i="1" s="1"/>
  <c r="D53" i="1"/>
  <c r="F52" i="1"/>
  <c r="G52" i="1" s="1"/>
  <c r="W49" i="1"/>
  <c r="AA49" i="1" s="1"/>
  <c r="AM49" i="1" s="1"/>
  <c r="Z47" i="1"/>
  <c r="AE46" i="1"/>
  <c r="AH46" i="1"/>
  <c r="S48" i="1"/>
  <c r="T48" i="1"/>
  <c r="L50" i="1"/>
  <c r="M50" i="1" s="1"/>
  <c r="P50" i="1" s="1"/>
  <c r="N50" i="1"/>
  <c r="O50" i="1" s="1"/>
  <c r="AH47" i="1"/>
  <c r="AN49" i="1" l="1"/>
  <c r="AO49" i="1"/>
  <c r="AN46" i="1"/>
  <c r="AO46" i="1"/>
  <c r="AK48" i="1"/>
  <c r="AL48" i="1"/>
  <c r="AK49" i="1"/>
  <c r="AL49" i="1"/>
  <c r="S50" i="1"/>
  <c r="T50" i="1"/>
  <c r="L51" i="1"/>
  <c r="M51" i="1" s="1"/>
  <c r="P51" i="1" s="1"/>
  <c r="N51" i="1"/>
  <c r="AF49" i="1"/>
  <c r="AG49" i="1" s="1"/>
  <c r="K52" i="1"/>
  <c r="Q52" i="1"/>
  <c r="R52" i="1" s="1"/>
  <c r="I52" i="1"/>
  <c r="J52" i="1"/>
  <c r="F53" i="1"/>
  <c r="G53" i="1" s="1"/>
  <c r="D54" i="1"/>
  <c r="Z49" i="1"/>
  <c r="Y49" i="1"/>
  <c r="W48" i="1"/>
  <c r="AD48" i="1"/>
  <c r="AH49" i="1"/>
  <c r="U51" i="1"/>
  <c r="V51" i="1" s="1"/>
  <c r="X50" i="1"/>
  <c r="AB50" i="1"/>
  <c r="AC50" i="1" s="1"/>
  <c r="O51" i="1"/>
  <c r="AF46" i="1"/>
  <c r="AG46" i="1" s="1"/>
  <c r="AK50" i="1" l="1"/>
  <c r="AL50" i="1"/>
  <c r="S51" i="1"/>
  <c r="T51" i="1"/>
  <c r="U52" i="1"/>
  <c r="V52" i="1" s="1"/>
  <c r="K53" i="1"/>
  <c r="J53" i="1"/>
  <c r="I53" i="1"/>
  <c r="Q53" i="1"/>
  <c r="R53" i="1" s="1"/>
  <c r="AE48" i="1"/>
  <c r="AH48" i="1"/>
  <c r="AA48" i="1"/>
  <c r="AM48" i="1" s="1"/>
  <c r="Z48" i="1"/>
  <c r="Y48" i="1"/>
  <c r="F54" i="1"/>
  <c r="G54" i="1" s="1"/>
  <c r="D55" i="1"/>
  <c r="AB51" i="1"/>
  <c r="AC51" i="1" s="1"/>
  <c r="X51" i="1"/>
  <c r="L52" i="1"/>
  <c r="M52" i="1" s="1"/>
  <c r="P52" i="1" s="1"/>
  <c r="W50" i="1"/>
  <c r="AA50" i="1" s="1"/>
  <c r="AM50" i="1" s="1"/>
  <c r="AD50" i="1"/>
  <c r="AE50" i="1" s="1"/>
  <c r="AO48" i="1" l="1"/>
  <c r="AN48" i="1"/>
  <c r="AK51" i="1"/>
  <c r="AL51" i="1"/>
  <c r="AO50" i="1"/>
  <c r="AN50" i="1"/>
  <c r="AH50" i="1"/>
  <c r="S52" i="1"/>
  <c r="T52" i="1"/>
  <c r="F55" i="1"/>
  <c r="G55" i="1" s="1"/>
  <c r="D56" i="1"/>
  <c r="N52" i="1"/>
  <c r="O52" i="1" s="1"/>
  <c r="L53" i="1"/>
  <c r="N53" i="1" s="1"/>
  <c r="O53" i="1" s="1"/>
  <c r="AF48" i="1"/>
  <c r="AG48" i="1" s="1"/>
  <c r="W51" i="1"/>
  <c r="AA51" i="1" s="1"/>
  <c r="AM51" i="1" s="1"/>
  <c r="AD51" i="1"/>
  <c r="AE51" i="1" s="1"/>
  <c r="Z50" i="1"/>
  <c r="X52" i="1"/>
  <c r="AB52" i="1"/>
  <c r="AC52" i="1" s="1"/>
  <c r="K54" i="1"/>
  <c r="Q54" i="1"/>
  <c r="R54" i="1" s="1"/>
  <c r="I54" i="1"/>
  <c r="J54" i="1"/>
  <c r="AF50" i="1"/>
  <c r="AG50" i="1" s="1"/>
  <c r="Y50" i="1"/>
  <c r="U53" i="1"/>
  <c r="V53" i="1" s="1"/>
  <c r="AN51" i="1" l="1"/>
  <c r="AO51" i="1"/>
  <c r="AK52" i="1"/>
  <c r="AL52" i="1"/>
  <c r="AF51" i="1"/>
  <c r="AG51" i="1" s="1"/>
  <c r="L54" i="1"/>
  <c r="M54" i="1" s="1"/>
  <c r="P54" i="1" s="1"/>
  <c r="AB53" i="1"/>
  <c r="AC53" i="1" s="1"/>
  <c r="X53" i="1"/>
  <c r="Y51" i="1"/>
  <c r="M53" i="1"/>
  <c r="P53" i="1" s="1"/>
  <c r="U54" i="1"/>
  <c r="V54" i="1" s="1"/>
  <c r="F56" i="1"/>
  <c r="G56" i="1" s="1"/>
  <c r="D57" i="1"/>
  <c r="K55" i="1"/>
  <c r="I55" i="1"/>
  <c r="J55" i="1"/>
  <c r="Q55" i="1"/>
  <c r="R55" i="1" s="1"/>
  <c r="Z51" i="1"/>
  <c r="AH51" i="1"/>
  <c r="W52" i="1"/>
  <c r="AA52" i="1" s="1"/>
  <c r="AM52" i="1" s="1"/>
  <c r="AD52" i="1"/>
  <c r="AE52" i="1" s="1"/>
  <c r="AN52" i="1" l="1"/>
  <c r="AO52" i="1"/>
  <c r="AH52" i="1"/>
  <c r="N54" i="1"/>
  <c r="O54" i="1" s="1"/>
  <c r="S54" i="1"/>
  <c r="T54" i="1"/>
  <c r="K56" i="1"/>
  <c r="Q56" i="1"/>
  <c r="R56" i="1" s="1"/>
  <c r="I56" i="1"/>
  <c r="J56" i="1"/>
  <c r="Z52" i="1"/>
  <c r="D58" i="1"/>
  <c r="F57" i="1"/>
  <c r="G57" i="1" s="1"/>
  <c r="U55" i="1"/>
  <c r="V55" i="1" s="1"/>
  <c r="Y52" i="1"/>
  <c r="X54" i="1"/>
  <c r="AB54" i="1"/>
  <c r="AC54" i="1" s="1"/>
  <c r="L55" i="1"/>
  <c r="M55" i="1" s="1"/>
  <c r="P55" i="1" s="1"/>
  <c r="S53" i="1"/>
  <c r="T53" i="1"/>
  <c r="AF52" i="1"/>
  <c r="AG52" i="1" s="1"/>
  <c r="AK54" i="1" l="1"/>
  <c r="AL54" i="1"/>
  <c r="AL53" i="1"/>
  <c r="AK53" i="1"/>
  <c r="S55" i="1"/>
  <c r="T55" i="1"/>
  <c r="X55" i="1"/>
  <c r="AB55" i="1"/>
  <c r="AC55" i="1" s="1"/>
  <c r="D59" i="1"/>
  <c r="F58" i="1"/>
  <c r="G58" i="1" s="1"/>
  <c r="W53" i="1"/>
  <c r="AD53" i="1"/>
  <c r="L56" i="1"/>
  <c r="N56" i="1" s="1"/>
  <c r="O56" i="1" s="1"/>
  <c r="U56" i="1"/>
  <c r="V56" i="1" s="1"/>
  <c r="N55" i="1"/>
  <c r="O55" i="1" s="1"/>
  <c r="W54" i="1"/>
  <c r="AA54" i="1" s="1"/>
  <c r="AM54" i="1" s="1"/>
  <c r="AD54" i="1"/>
  <c r="AE54" i="1" s="1"/>
  <c r="K57" i="1"/>
  <c r="I57" i="1"/>
  <c r="J57" i="1"/>
  <c r="Q57" i="1"/>
  <c r="R57" i="1" s="1"/>
  <c r="AK55" i="1" l="1"/>
  <c r="AL55" i="1"/>
  <c r="AN54" i="1"/>
  <c r="AO54" i="1"/>
  <c r="M56" i="1"/>
  <c r="P56" i="1" s="1"/>
  <c r="S56" i="1" s="1"/>
  <c r="Z54" i="1"/>
  <c r="AH54" i="1"/>
  <c r="Y54" i="1"/>
  <c r="X56" i="1"/>
  <c r="AB56" i="1"/>
  <c r="AC56" i="1" s="1"/>
  <c r="Z55" i="1"/>
  <c r="U57" i="1"/>
  <c r="V57" i="1" s="1"/>
  <c r="AE53" i="1"/>
  <c r="AH53" i="1"/>
  <c r="W55" i="1"/>
  <c r="AA55" i="1" s="1"/>
  <c r="AM55" i="1" s="1"/>
  <c r="AD55" i="1"/>
  <c r="AE55" i="1" s="1"/>
  <c r="K58" i="1"/>
  <c r="Q58" i="1"/>
  <c r="R58" i="1" s="1"/>
  <c r="J58" i="1"/>
  <c r="I58" i="1"/>
  <c r="L57" i="1"/>
  <c r="M57" i="1" s="1"/>
  <c r="P57" i="1" s="1"/>
  <c r="D60" i="1"/>
  <c r="F59" i="1"/>
  <c r="G59" i="1" s="1"/>
  <c r="AF54" i="1"/>
  <c r="AG54" i="1" s="1"/>
  <c r="AA53" i="1"/>
  <c r="AM53" i="1" s="1"/>
  <c r="Z53" i="1"/>
  <c r="Y53" i="1"/>
  <c r="T56" i="1" l="1"/>
  <c r="AO55" i="1"/>
  <c r="AN55" i="1"/>
  <c r="AN53" i="1"/>
  <c r="AO53" i="1"/>
  <c r="N57" i="1"/>
  <c r="O57" i="1" s="1"/>
  <c r="AH55" i="1"/>
  <c r="S57" i="1"/>
  <c r="T57" i="1"/>
  <c r="L58" i="1"/>
  <c r="N58" i="1"/>
  <c r="U58" i="1"/>
  <c r="V58" i="1" s="1"/>
  <c r="O58" i="1"/>
  <c r="K59" i="1"/>
  <c r="I59" i="1"/>
  <c r="J59" i="1"/>
  <c r="Q59" i="1"/>
  <c r="R59" i="1" s="1"/>
  <c r="Y55" i="1"/>
  <c r="AF53" i="1"/>
  <c r="AG53" i="1" s="1"/>
  <c r="X57" i="1"/>
  <c r="AB57" i="1"/>
  <c r="AC57" i="1" s="1"/>
  <c r="AF55" i="1"/>
  <c r="AG55" i="1" s="1"/>
  <c r="D61" i="1"/>
  <c r="F60" i="1"/>
  <c r="G60" i="1" s="1"/>
  <c r="W56" i="1"/>
  <c r="AA56" i="1" s="1"/>
  <c r="AM56" i="1" s="1"/>
  <c r="AD56" i="1"/>
  <c r="AE56" i="1" s="1"/>
  <c r="M58" i="1"/>
  <c r="P58" i="1" s="1"/>
  <c r="S58" i="1" s="1"/>
  <c r="AN56" i="1" l="1"/>
  <c r="AO56" i="1"/>
  <c r="AL57" i="1"/>
  <c r="AK57" i="1"/>
  <c r="AL56" i="1"/>
  <c r="AK56" i="1"/>
  <c r="AH56" i="1"/>
  <c r="AF56" i="1"/>
  <c r="AG56" i="1" s="1"/>
  <c r="T58" i="1"/>
  <c r="F61" i="1"/>
  <c r="G61" i="1" s="1"/>
  <c r="D62" i="1"/>
  <c r="U59" i="1"/>
  <c r="V59" i="1" s="1"/>
  <c r="L59" i="1"/>
  <c r="M59" i="1" s="1"/>
  <c r="P59" i="1" s="1"/>
  <c r="S59" i="1" s="1"/>
  <c r="W57" i="1"/>
  <c r="AA57" i="1" s="1"/>
  <c r="AM57" i="1" s="1"/>
  <c r="AD57" i="1"/>
  <c r="AE57" i="1" s="1"/>
  <c r="X58" i="1"/>
  <c r="AB58" i="1"/>
  <c r="AC58" i="1" s="1"/>
  <c r="K60" i="1"/>
  <c r="I60" i="1"/>
  <c r="J60" i="1"/>
  <c r="Q60" i="1"/>
  <c r="R60" i="1" s="1"/>
  <c r="Y56" i="1"/>
  <c r="Z56" i="1"/>
  <c r="AN57" i="1" l="1"/>
  <c r="AO57" i="1"/>
  <c r="AK58" i="1"/>
  <c r="AL58" i="1"/>
  <c r="N59" i="1"/>
  <c r="O59" i="1" s="1"/>
  <c r="AF57" i="1"/>
  <c r="AG57" i="1" s="1"/>
  <c r="U60" i="1"/>
  <c r="V60" i="1" s="1"/>
  <c r="L60" i="1"/>
  <c r="M60" i="1" s="1"/>
  <c r="P60" i="1" s="1"/>
  <c r="W58" i="1"/>
  <c r="AA58" i="1" s="1"/>
  <c r="AM58" i="1" s="1"/>
  <c r="AD58" i="1"/>
  <c r="AE58" i="1" s="1"/>
  <c r="X59" i="1"/>
  <c r="AB59" i="1"/>
  <c r="AC59" i="1" s="1"/>
  <c r="Z57" i="1"/>
  <c r="K61" i="1"/>
  <c r="Q61" i="1"/>
  <c r="R61" i="1" s="1"/>
  <c r="I61" i="1"/>
  <c r="J61" i="1"/>
  <c r="AH57" i="1"/>
  <c r="T59" i="1"/>
  <c r="Y57" i="1"/>
  <c r="F62" i="1"/>
  <c r="G62" i="1" s="1"/>
  <c r="D63" i="1"/>
  <c r="AK59" i="1" l="1"/>
  <c r="AL59" i="1"/>
  <c r="AN58" i="1"/>
  <c r="AO58" i="1"/>
  <c r="AH58" i="1"/>
  <c r="Z58" i="1"/>
  <c r="Y58" i="1"/>
  <c r="S60" i="1"/>
  <c r="T60" i="1"/>
  <c r="W59" i="1"/>
  <c r="AA59" i="1" s="1"/>
  <c r="AM59" i="1" s="1"/>
  <c r="AD59" i="1"/>
  <c r="AE59" i="1" s="1"/>
  <c r="N60" i="1"/>
  <c r="O60" i="1" s="1"/>
  <c r="X60" i="1"/>
  <c r="AB60" i="1"/>
  <c r="AC60" i="1" s="1"/>
  <c r="AF58" i="1"/>
  <c r="AG58" i="1" s="1"/>
  <c r="K62" i="1"/>
  <c r="Q62" i="1"/>
  <c r="R62" i="1" s="1"/>
  <c r="I62" i="1"/>
  <c r="J62" i="1"/>
  <c r="U61" i="1"/>
  <c r="V61" i="1" s="1"/>
  <c r="F63" i="1"/>
  <c r="G63" i="1" s="1"/>
  <c r="D64" i="1"/>
  <c r="L61" i="1"/>
  <c r="M61" i="1" s="1"/>
  <c r="P61" i="1" s="1"/>
  <c r="AO59" i="1" l="1"/>
  <c r="AN59" i="1"/>
  <c r="AK60" i="1"/>
  <c r="AL60" i="1"/>
  <c r="N61" i="1"/>
  <c r="O61" i="1" s="1"/>
  <c r="Z59" i="1"/>
  <c r="Y59" i="1"/>
  <c r="S61" i="1"/>
  <c r="T61" i="1"/>
  <c r="L62" i="1"/>
  <c r="N62" i="1" s="1"/>
  <c r="O62" i="1" s="1"/>
  <c r="D65" i="1"/>
  <c r="F64" i="1"/>
  <c r="G64" i="1" s="1"/>
  <c r="K63" i="1"/>
  <c r="J63" i="1"/>
  <c r="I63" i="1"/>
  <c r="Q63" i="1"/>
  <c r="R63" i="1" s="1"/>
  <c r="AH59" i="1"/>
  <c r="W60" i="1"/>
  <c r="AA60" i="1" s="1"/>
  <c r="AM60" i="1" s="1"/>
  <c r="AD60" i="1"/>
  <c r="AE60" i="1" s="1"/>
  <c r="U62" i="1"/>
  <c r="V62" i="1" s="1"/>
  <c r="AF59" i="1"/>
  <c r="AG59" i="1" s="1"/>
  <c r="X61" i="1"/>
  <c r="AB61" i="1"/>
  <c r="AC61" i="1" s="1"/>
  <c r="AN60" i="1" l="1"/>
  <c r="AO60" i="1"/>
  <c r="M62" i="1"/>
  <c r="P62" i="1" s="1"/>
  <c r="AK61" i="1"/>
  <c r="AL61" i="1"/>
  <c r="Z60" i="1"/>
  <c r="Y60" i="1"/>
  <c r="K64" i="1"/>
  <c r="Q64" i="1"/>
  <c r="R64" i="1" s="1"/>
  <c r="I64" i="1"/>
  <c r="J64" i="1"/>
  <c r="AH61" i="1"/>
  <c r="D66" i="1"/>
  <c r="F65" i="1"/>
  <c r="G65" i="1" s="1"/>
  <c r="W61" i="1"/>
  <c r="AA61" i="1" s="1"/>
  <c r="AM61" i="1" s="1"/>
  <c r="AD61" i="1"/>
  <c r="AE61" i="1" s="1"/>
  <c r="AF60" i="1"/>
  <c r="AG60" i="1" s="1"/>
  <c r="Y61" i="1"/>
  <c r="AH60" i="1"/>
  <c r="U63" i="1"/>
  <c r="V63" i="1" s="1"/>
  <c r="X62" i="1"/>
  <c r="AB62" i="1"/>
  <c r="AC62" i="1" s="1"/>
  <c r="L63" i="1"/>
  <c r="M63" i="1" s="1"/>
  <c r="P63" i="1" s="1"/>
  <c r="N63" i="1"/>
  <c r="O63" i="1" s="1"/>
  <c r="S62" i="1" l="1"/>
  <c r="T62" i="1"/>
  <c r="AN61" i="1"/>
  <c r="AO61" i="1"/>
  <c r="S63" i="1"/>
  <c r="T63" i="1"/>
  <c r="L64" i="1"/>
  <c r="M64" i="1" s="1"/>
  <c r="P64" i="1" s="1"/>
  <c r="AB63" i="1"/>
  <c r="AC63" i="1" s="1"/>
  <c r="X63" i="1"/>
  <c r="U64" i="1"/>
  <c r="V64" i="1" s="1"/>
  <c r="AF61" i="1"/>
  <c r="AG61" i="1" s="1"/>
  <c r="K65" i="1"/>
  <c r="Q65" i="1"/>
  <c r="R65" i="1" s="1"/>
  <c r="I65" i="1"/>
  <c r="J65" i="1"/>
  <c r="Z61" i="1"/>
  <c r="D67" i="1"/>
  <c r="F66" i="1"/>
  <c r="G66" i="1" s="1"/>
  <c r="AL62" i="1" l="1"/>
  <c r="AK62" i="1"/>
  <c r="W62" i="1"/>
  <c r="AL63" i="1"/>
  <c r="AK63" i="1"/>
  <c r="AD62" i="1"/>
  <c r="S64" i="1"/>
  <c r="T64" i="1"/>
  <c r="F67" i="1"/>
  <c r="G67" i="1" s="1"/>
  <c r="D68" i="1"/>
  <c r="N64" i="1"/>
  <c r="O64" i="1" s="1"/>
  <c r="W63" i="1"/>
  <c r="AA63" i="1" s="1"/>
  <c r="AM63" i="1" s="1"/>
  <c r="AD63" i="1"/>
  <c r="AE63" i="1" s="1"/>
  <c r="X64" i="1"/>
  <c r="AB64" i="1"/>
  <c r="AC64" i="1" s="1"/>
  <c r="K66" i="1"/>
  <c r="J66" i="1"/>
  <c r="Q66" i="1"/>
  <c r="R66" i="1" s="1"/>
  <c r="I66" i="1"/>
  <c r="L65" i="1"/>
  <c r="M65" i="1" s="1"/>
  <c r="P65" i="1" s="1"/>
  <c r="S65" i="1" s="1"/>
  <c r="N65" i="1"/>
  <c r="O65" i="1" s="1"/>
  <c r="U65" i="1"/>
  <c r="V65" i="1" s="1"/>
  <c r="AE62" i="1" l="1"/>
  <c r="AF62" i="1" s="1"/>
  <c r="AG62" i="1" s="1"/>
  <c r="AH62" i="1"/>
  <c r="AN63" i="1"/>
  <c r="AO63" i="1"/>
  <c r="AK64" i="1"/>
  <c r="AL64" i="1"/>
  <c r="AA62" i="1"/>
  <c r="AM62" i="1" s="1"/>
  <c r="Y62" i="1"/>
  <c r="Z62" i="1"/>
  <c r="AF63" i="1"/>
  <c r="AG63" i="1" s="1"/>
  <c r="AH63" i="1"/>
  <c r="U66" i="1"/>
  <c r="V66" i="1" s="1"/>
  <c r="F68" i="1"/>
  <c r="G68" i="1" s="1"/>
  <c r="D69" i="1"/>
  <c r="Y63" i="1"/>
  <c r="L66" i="1"/>
  <c r="N66" i="1" s="1"/>
  <c r="O66" i="1" s="1"/>
  <c r="K67" i="1"/>
  <c r="I67" i="1"/>
  <c r="J67" i="1"/>
  <c r="Q67" i="1"/>
  <c r="R67" i="1" s="1"/>
  <c r="T65" i="1"/>
  <c r="W64" i="1"/>
  <c r="AA64" i="1" s="1"/>
  <c r="AM64" i="1" s="1"/>
  <c r="AD64" i="1"/>
  <c r="AE64" i="1" s="1"/>
  <c r="Z63" i="1"/>
  <c r="X65" i="1"/>
  <c r="AB65" i="1"/>
  <c r="AC65" i="1" s="1"/>
  <c r="AO64" i="1" l="1"/>
  <c r="AN64" i="1"/>
  <c r="AN62" i="1"/>
  <c r="AO62" i="1"/>
  <c r="AK65" i="1"/>
  <c r="AL65" i="1"/>
  <c r="M66" i="1"/>
  <c r="P66" i="1" s="1"/>
  <c r="S66" i="1" s="1"/>
  <c r="Y64" i="1"/>
  <c r="AH64" i="1"/>
  <c r="Z64" i="1"/>
  <c r="W65" i="1"/>
  <c r="AA65" i="1" s="1"/>
  <c r="AM65" i="1" s="1"/>
  <c r="AD65" i="1"/>
  <c r="AE65" i="1" s="1"/>
  <c r="U67" i="1"/>
  <c r="V67" i="1" s="1"/>
  <c r="K68" i="1"/>
  <c r="I68" i="1"/>
  <c r="Q68" i="1"/>
  <c r="R68" i="1" s="1"/>
  <c r="J68" i="1"/>
  <c r="L67" i="1"/>
  <c r="N67" i="1" s="1"/>
  <c r="O67" i="1" s="1"/>
  <c r="M67" i="1"/>
  <c r="P67" i="1" s="1"/>
  <c r="S67" i="1" s="1"/>
  <c r="Z65" i="1"/>
  <c r="Y65" i="1"/>
  <c r="X66" i="1"/>
  <c r="AB66" i="1"/>
  <c r="AC66" i="1" s="1"/>
  <c r="AF64" i="1"/>
  <c r="AG64" i="1" s="1"/>
  <c r="F69" i="1"/>
  <c r="G69" i="1" s="1"/>
  <c r="D70" i="1"/>
  <c r="T66" i="1" l="1"/>
  <c r="AN65" i="1"/>
  <c r="AO65" i="1"/>
  <c r="AH65" i="1"/>
  <c r="U68" i="1"/>
  <c r="V68" i="1" s="1"/>
  <c r="K69" i="1"/>
  <c r="J69" i="1"/>
  <c r="Q69" i="1"/>
  <c r="R69" i="1" s="1"/>
  <c r="I69" i="1"/>
  <c r="L68" i="1"/>
  <c r="N68" i="1" s="1"/>
  <c r="O68" i="1" s="1"/>
  <c r="W66" i="1"/>
  <c r="AA66" i="1" s="1"/>
  <c r="AM66" i="1" s="1"/>
  <c r="AD66" i="1"/>
  <c r="AE66" i="1" s="1"/>
  <c r="F70" i="1"/>
  <c r="G70" i="1" s="1"/>
  <c r="D71" i="1"/>
  <c r="T67" i="1"/>
  <c r="AF65" i="1"/>
  <c r="AG65" i="1" s="1"/>
  <c r="X67" i="1"/>
  <c r="AB67" i="1"/>
  <c r="AC67" i="1" s="1"/>
  <c r="AK67" i="1" l="1"/>
  <c r="AL67" i="1"/>
  <c r="AO66" i="1"/>
  <c r="AN66" i="1"/>
  <c r="AK66" i="1"/>
  <c r="AL66" i="1"/>
  <c r="AH66" i="1"/>
  <c r="Z66" i="1"/>
  <c r="Y66" i="1"/>
  <c r="F71" i="1"/>
  <c r="G71" i="1" s="1"/>
  <c r="D72" i="1"/>
  <c r="U69" i="1"/>
  <c r="V69" i="1" s="1"/>
  <c r="K70" i="1"/>
  <c r="Q70" i="1"/>
  <c r="R70" i="1" s="1"/>
  <c r="J70" i="1"/>
  <c r="I70" i="1"/>
  <c r="L69" i="1"/>
  <c r="M69" i="1" s="1"/>
  <c r="P69" i="1" s="1"/>
  <c r="AF66" i="1"/>
  <c r="AG66" i="1" s="1"/>
  <c r="M68" i="1"/>
  <c r="P68" i="1" s="1"/>
  <c r="W67" i="1"/>
  <c r="AA67" i="1" s="1"/>
  <c r="AM67" i="1" s="1"/>
  <c r="AD67" i="1"/>
  <c r="AE67" i="1" s="1"/>
  <c r="X68" i="1"/>
  <c r="AB68" i="1"/>
  <c r="AC68" i="1" s="1"/>
  <c r="AN67" i="1" l="1"/>
  <c r="AO67" i="1"/>
  <c r="AH67" i="1"/>
  <c r="S69" i="1"/>
  <c r="T69" i="1"/>
  <c r="U70" i="1"/>
  <c r="V70" i="1" s="1"/>
  <c r="N69" i="1"/>
  <c r="O69" i="1" s="1"/>
  <c r="Y67" i="1"/>
  <c r="S68" i="1"/>
  <c r="T68" i="1"/>
  <c r="L70" i="1"/>
  <c r="N70" i="1" s="1"/>
  <c r="O70" i="1" s="1"/>
  <c r="AF67" i="1"/>
  <c r="AG67" i="1" s="1"/>
  <c r="AB69" i="1"/>
  <c r="AC69" i="1" s="1"/>
  <c r="X69" i="1"/>
  <c r="Z67" i="1"/>
  <c r="D73" i="1"/>
  <c r="F72" i="1"/>
  <c r="G72" i="1" s="1"/>
  <c r="K71" i="1"/>
  <c r="I71" i="1"/>
  <c r="J71" i="1"/>
  <c r="Q71" i="1"/>
  <c r="R71" i="1" s="1"/>
  <c r="AL69" i="1" l="1"/>
  <c r="AK69" i="1"/>
  <c r="M70" i="1"/>
  <c r="P70" i="1" s="1"/>
  <c r="S70" i="1" s="1"/>
  <c r="AK68" i="1"/>
  <c r="AL68" i="1"/>
  <c r="X70" i="1"/>
  <c r="AB70" i="1"/>
  <c r="AC70" i="1" s="1"/>
  <c r="W69" i="1"/>
  <c r="AA69" i="1" s="1"/>
  <c r="AM69" i="1" s="1"/>
  <c r="AD69" i="1"/>
  <c r="AE69" i="1" s="1"/>
  <c r="K72" i="1"/>
  <c r="Q72" i="1"/>
  <c r="R72" i="1" s="1"/>
  <c r="J72" i="1"/>
  <c r="I72" i="1"/>
  <c r="D74" i="1"/>
  <c r="F73" i="1"/>
  <c r="G73" i="1" s="1"/>
  <c r="T70" i="1"/>
  <c r="W68" i="1"/>
  <c r="AD68" i="1"/>
  <c r="U71" i="1"/>
  <c r="V71" i="1" s="1"/>
  <c r="L71" i="1"/>
  <c r="N71" i="1" s="1"/>
  <c r="O71" i="1" s="1"/>
  <c r="AL70" i="1" l="1"/>
  <c r="AK70" i="1"/>
  <c r="AO69" i="1"/>
  <c r="AN69" i="1"/>
  <c r="M71" i="1"/>
  <c r="P71" i="1" s="1"/>
  <c r="S71" i="1" s="1"/>
  <c r="AH69" i="1"/>
  <c r="X71" i="1"/>
  <c r="AB71" i="1"/>
  <c r="AC71" i="1" s="1"/>
  <c r="U72" i="1"/>
  <c r="V72" i="1" s="1"/>
  <c r="AA68" i="1"/>
  <c r="AM68" i="1" s="1"/>
  <c r="Y68" i="1"/>
  <c r="Z68" i="1"/>
  <c r="AF69" i="1"/>
  <c r="AG69" i="1" s="1"/>
  <c r="Y69" i="1"/>
  <c r="F74" i="1"/>
  <c r="G74" i="1" s="1"/>
  <c r="D75" i="1"/>
  <c r="Z69" i="1"/>
  <c r="AE68" i="1"/>
  <c r="AH68" i="1"/>
  <c r="W70" i="1"/>
  <c r="AA70" i="1" s="1"/>
  <c r="AM70" i="1" s="1"/>
  <c r="AD70" i="1"/>
  <c r="AE70" i="1" s="1"/>
  <c r="K73" i="1"/>
  <c r="Q73" i="1"/>
  <c r="R73" i="1" s="1"/>
  <c r="I73" i="1"/>
  <c r="J73" i="1"/>
  <c r="L72" i="1"/>
  <c r="N72" i="1" s="1"/>
  <c r="O72" i="1" s="1"/>
  <c r="M72" i="1" l="1"/>
  <c r="P72" i="1" s="1"/>
  <c r="S72" i="1" s="1"/>
  <c r="AH70" i="1"/>
  <c r="T71" i="1"/>
  <c r="AN68" i="1"/>
  <c r="AO68" i="1"/>
  <c r="AN70" i="1"/>
  <c r="AO70" i="1"/>
  <c r="Y70" i="1"/>
  <c r="Z70" i="1"/>
  <c r="L73" i="1"/>
  <c r="N73" i="1" s="1"/>
  <c r="O73" i="1" s="1"/>
  <c r="W71" i="1"/>
  <c r="AA71" i="1" s="1"/>
  <c r="AM71" i="1" s="1"/>
  <c r="AD71" i="1"/>
  <c r="AE71" i="1" s="1"/>
  <c r="K74" i="1"/>
  <c r="J74" i="1"/>
  <c r="I74" i="1"/>
  <c r="Q74" i="1"/>
  <c r="R74" i="1" s="1"/>
  <c r="AF70" i="1"/>
  <c r="AG70" i="1" s="1"/>
  <c r="AF68" i="1"/>
  <c r="AG68" i="1" s="1"/>
  <c r="M73" i="1"/>
  <c r="P73" i="1" s="1"/>
  <c r="S73" i="1" s="1"/>
  <c r="U73" i="1"/>
  <c r="V73" i="1" s="1"/>
  <c r="F75" i="1"/>
  <c r="G75" i="1" s="1"/>
  <c r="D76" i="1"/>
  <c r="T72" i="1"/>
  <c r="X72" i="1"/>
  <c r="AB72" i="1"/>
  <c r="AC72" i="1" s="1"/>
  <c r="AL71" i="1" l="1"/>
  <c r="AK71" i="1"/>
  <c r="AK72" i="1"/>
  <c r="AL72" i="1"/>
  <c r="AO71" i="1"/>
  <c r="AN71" i="1"/>
  <c r="Y71" i="1"/>
  <c r="Z71" i="1"/>
  <c r="X73" i="1"/>
  <c r="AB73" i="1"/>
  <c r="AC73" i="1" s="1"/>
  <c r="AF71" i="1"/>
  <c r="AG71" i="1" s="1"/>
  <c r="D77" i="1"/>
  <c r="F76" i="1"/>
  <c r="G76" i="1" s="1"/>
  <c r="L74" i="1"/>
  <c r="N74" i="1" s="1"/>
  <c r="O74" i="1" s="1"/>
  <c r="W72" i="1"/>
  <c r="AA72" i="1" s="1"/>
  <c r="AM72" i="1" s="1"/>
  <c r="AD72" i="1"/>
  <c r="AE72" i="1" s="1"/>
  <c r="AH71" i="1"/>
  <c r="K75" i="1"/>
  <c r="J75" i="1"/>
  <c r="I75" i="1"/>
  <c r="Q75" i="1"/>
  <c r="R75" i="1" s="1"/>
  <c r="T73" i="1"/>
  <c r="U74" i="1"/>
  <c r="V74" i="1" s="1"/>
  <c r="AK73" i="1" l="1"/>
  <c r="AL73" i="1"/>
  <c r="AN72" i="1"/>
  <c r="AO72" i="1"/>
  <c r="AB74" i="1"/>
  <c r="AC74" i="1" s="1"/>
  <c r="X74" i="1"/>
  <c r="AF72" i="1"/>
  <c r="AG72" i="1" s="1"/>
  <c r="D78" i="1"/>
  <c r="F77" i="1"/>
  <c r="G77" i="1" s="1"/>
  <c r="AH72" i="1"/>
  <c r="K76" i="1"/>
  <c r="J76" i="1"/>
  <c r="I76" i="1"/>
  <c r="Q76" i="1"/>
  <c r="R76" i="1" s="1"/>
  <c r="W73" i="1"/>
  <c r="AA73" i="1" s="1"/>
  <c r="AM73" i="1" s="1"/>
  <c r="AD73" i="1"/>
  <c r="AE73" i="1" s="1"/>
  <c r="Z72" i="1"/>
  <c r="U75" i="1"/>
  <c r="V75" i="1" s="1"/>
  <c r="Y72" i="1"/>
  <c r="M74" i="1"/>
  <c r="P74" i="1" s="1"/>
  <c r="L75" i="1"/>
  <c r="M75" i="1" s="1"/>
  <c r="P75" i="1" s="1"/>
  <c r="AO73" i="1" l="1"/>
  <c r="AN73" i="1"/>
  <c r="Z73" i="1"/>
  <c r="AH73" i="1"/>
  <c r="S75" i="1"/>
  <c r="T75" i="1"/>
  <c r="X75" i="1"/>
  <c r="AB75" i="1"/>
  <c r="AC75" i="1" s="1"/>
  <c r="AF73" i="1"/>
  <c r="AG73" i="1" s="1"/>
  <c r="F78" i="1"/>
  <c r="G78" i="1" s="1"/>
  <c r="D79" i="1"/>
  <c r="S74" i="1"/>
  <c r="T74" i="1"/>
  <c r="K77" i="1"/>
  <c r="J77" i="1"/>
  <c r="I77" i="1"/>
  <c r="Q77" i="1"/>
  <c r="R77" i="1" s="1"/>
  <c r="N75" i="1"/>
  <c r="O75" i="1" s="1"/>
  <c r="U76" i="1"/>
  <c r="V76" i="1" s="1"/>
  <c r="Y73" i="1"/>
  <c r="L76" i="1"/>
  <c r="M76" i="1" s="1"/>
  <c r="P76" i="1" s="1"/>
  <c r="N76" i="1"/>
  <c r="O76" i="1" s="1"/>
  <c r="AL75" i="1" l="1"/>
  <c r="AK75" i="1"/>
  <c r="AK74" i="1"/>
  <c r="AL74" i="1"/>
  <c r="S76" i="1"/>
  <c r="T76" i="1"/>
  <c r="L77" i="1"/>
  <c r="N77" i="1" s="1"/>
  <c r="O77" i="1" s="1"/>
  <c r="K78" i="1"/>
  <c r="Q78" i="1"/>
  <c r="R78" i="1" s="1"/>
  <c r="J78" i="1"/>
  <c r="I78" i="1"/>
  <c r="U77" i="1"/>
  <c r="V77" i="1" s="1"/>
  <c r="W75" i="1"/>
  <c r="AA75" i="1" s="1"/>
  <c r="AM75" i="1" s="1"/>
  <c r="AD75" i="1"/>
  <c r="AE75" i="1" s="1"/>
  <c r="F79" i="1"/>
  <c r="G79" i="1" s="1"/>
  <c r="D80" i="1"/>
  <c r="X76" i="1"/>
  <c r="AB76" i="1"/>
  <c r="AC76" i="1" s="1"/>
  <c r="W74" i="1"/>
  <c r="AD74" i="1"/>
  <c r="AO75" i="1" l="1"/>
  <c r="AN75" i="1"/>
  <c r="AK76" i="1"/>
  <c r="AL76" i="1"/>
  <c r="M77" i="1"/>
  <c r="P77" i="1" s="1"/>
  <c r="S77" i="1" s="1"/>
  <c r="AE74" i="1"/>
  <c r="AH74" i="1"/>
  <c r="AF75" i="1"/>
  <c r="AG75" i="1" s="1"/>
  <c r="Y75" i="1"/>
  <c r="L78" i="1"/>
  <c r="M78" i="1" s="1"/>
  <c r="P78" i="1" s="1"/>
  <c r="U78" i="1"/>
  <c r="V78" i="1" s="1"/>
  <c r="W76" i="1"/>
  <c r="AA76" i="1" s="1"/>
  <c r="AM76" i="1" s="1"/>
  <c r="AD76" i="1"/>
  <c r="AE76" i="1" s="1"/>
  <c r="F80" i="1"/>
  <c r="G80" i="1" s="1"/>
  <c r="D81" i="1"/>
  <c r="K79" i="1"/>
  <c r="J79" i="1"/>
  <c r="I79" i="1"/>
  <c r="Q79" i="1"/>
  <c r="R79" i="1" s="1"/>
  <c r="AA74" i="1"/>
  <c r="AM74" i="1" s="1"/>
  <c r="Z74" i="1"/>
  <c r="Y74" i="1"/>
  <c r="Z75" i="1"/>
  <c r="AB77" i="1"/>
  <c r="AC77" i="1" s="1"/>
  <c r="X77" i="1"/>
  <c r="AH75" i="1"/>
  <c r="AO74" i="1" l="1"/>
  <c r="AN74" i="1"/>
  <c r="AO76" i="1"/>
  <c r="AN76" i="1"/>
  <c r="T77" i="1"/>
  <c r="S78" i="1"/>
  <c r="T78" i="1"/>
  <c r="D82" i="1"/>
  <c r="F81" i="1"/>
  <c r="G81" i="1" s="1"/>
  <c r="U79" i="1"/>
  <c r="V79" i="1" s="1"/>
  <c r="K80" i="1"/>
  <c r="I80" i="1"/>
  <c r="J80" i="1"/>
  <c r="Q80" i="1"/>
  <c r="R80" i="1" s="1"/>
  <c r="N78" i="1"/>
  <c r="O78" i="1" s="1"/>
  <c r="AH76" i="1"/>
  <c r="L79" i="1"/>
  <c r="M79" i="1" s="1"/>
  <c r="P79" i="1" s="1"/>
  <c r="AF76" i="1"/>
  <c r="AG76" i="1" s="1"/>
  <c r="Y76" i="1"/>
  <c r="Z76" i="1"/>
  <c r="X78" i="1"/>
  <c r="AB78" i="1"/>
  <c r="AC78" i="1" s="1"/>
  <c r="AF74" i="1"/>
  <c r="AG74" i="1" s="1"/>
  <c r="AK78" i="1" l="1"/>
  <c r="AL78" i="1"/>
  <c r="AK77" i="1"/>
  <c r="AL77" i="1"/>
  <c r="W77" i="1"/>
  <c r="AA77" i="1" s="1"/>
  <c r="AM77" i="1" s="1"/>
  <c r="AD77" i="1"/>
  <c r="AE77" i="1" s="1"/>
  <c r="AF77" i="1" s="1"/>
  <c r="AG77" i="1" s="1"/>
  <c r="N79" i="1"/>
  <c r="O79" i="1" s="1"/>
  <c r="S79" i="1"/>
  <c r="T79" i="1"/>
  <c r="D83" i="1"/>
  <c r="F82" i="1"/>
  <c r="G82" i="1" s="1"/>
  <c r="U80" i="1"/>
  <c r="V80" i="1" s="1"/>
  <c r="AB79" i="1"/>
  <c r="AC79" i="1" s="1"/>
  <c r="X79" i="1"/>
  <c r="K81" i="1"/>
  <c r="Q81" i="1"/>
  <c r="R81" i="1" s="1"/>
  <c r="J81" i="1"/>
  <c r="I81" i="1"/>
  <c r="W78" i="1"/>
  <c r="AA78" i="1" s="1"/>
  <c r="AM78" i="1" s="1"/>
  <c r="AD78" i="1"/>
  <c r="AE78" i="1" s="1"/>
  <c r="L80" i="1"/>
  <c r="N80" i="1" s="1"/>
  <c r="O80" i="1" s="1"/>
  <c r="AN78" i="1" l="1"/>
  <c r="AO78" i="1"/>
  <c r="AH77" i="1"/>
  <c r="Y77" i="1"/>
  <c r="AL79" i="1"/>
  <c r="AK79" i="1"/>
  <c r="AN77" i="1"/>
  <c r="AO77" i="1"/>
  <c r="Z77" i="1"/>
  <c r="M80" i="1"/>
  <c r="P80" i="1" s="1"/>
  <c r="S80" i="1" s="1"/>
  <c r="AF78" i="1"/>
  <c r="AG78" i="1" s="1"/>
  <c r="AH78" i="1"/>
  <c r="X80" i="1"/>
  <c r="AB80" i="1"/>
  <c r="AC80" i="1" s="1"/>
  <c r="U81" i="1"/>
  <c r="V81" i="1" s="1"/>
  <c r="Z78" i="1"/>
  <c r="W79" i="1"/>
  <c r="AA79" i="1" s="1"/>
  <c r="AM79" i="1" s="1"/>
  <c r="AD79" i="1"/>
  <c r="AE79" i="1" s="1"/>
  <c r="F83" i="1"/>
  <c r="G83" i="1" s="1"/>
  <c r="D84" i="1"/>
  <c r="T80" i="1"/>
  <c r="L81" i="1"/>
  <c r="N81" i="1" s="1"/>
  <c r="O81" i="1" s="1"/>
  <c r="Y78" i="1"/>
  <c r="K82" i="1"/>
  <c r="I82" i="1"/>
  <c r="Q82" i="1"/>
  <c r="R82" i="1" s="1"/>
  <c r="J82" i="1"/>
  <c r="AL80" i="1" l="1"/>
  <c r="AK80" i="1"/>
  <c r="AN79" i="1"/>
  <c r="AO79" i="1"/>
  <c r="Y79" i="1"/>
  <c r="Z79" i="1"/>
  <c r="AH79" i="1"/>
  <c r="U82" i="1"/>
  <c r="V82" i="1" s="1"/>
  <c r="AB81" i="1"/>
  <c r="AC81" i="1" s="1"/>
  <c r="X81" i="1"/>
  <c r="F84" i="1"/>
  <c r="G84" i="1" s="1"/>
  <c r="D85" i="1"/>
  <c r="K83" i="1"/>
  <c r="I83" i="1"/>
  <c r="Q83" i="1"/>
  <c r="R83" i="1" s="1"/>
  <c r="J83" i="1"/>
  <c r="W80" i="1"/>
  <c r="AA80" i="1" s="1"/>
  <c r="AM80" i="1" s="1"/>
  <c r="AD80" i="1"/>
  <c r="AE80" i="1" s="1"/>
  <c r="M81" i="1"/>
  <c r="P81" i="1" s="1"/>
  <c r="AF79" i="1"/>
  <c r="AG79" i="1" s="1"/>
  <c r="L82" i="1"/>
  <c r="M82" i="1" s="1"/>
  <c r="P82" i="1" s="1"/>
  <c r="AO80" i="1" l="1"/>
  <c r="AN80" i="1"/>
  <c r="S82" i="1"/>
  <c r="T82" i="1"/>
  <c r="AF80" i="1"/>
  <c r="AG80" i="1" s="1"/>
  <c r="O83" i="1"/>
  <c r="N82" i="1"/>
  <c r="O82" i="1" s="1"/>
  <c r="Y80" i="1"/>
  <c r="AH80" i="1"/>
  <c r="L83" i="1"/>
  <c r="N83" i="1"/>
  <c r="M83" i="1"/>
  <c r="P83" i="1" s="1"/>
  <c r="S83" i="1" s="1"/>
  <c r="F85" i="1"/>
  <c r="G85" i="1" s="1"/>
  <c r="D86" i="1"/>
  <c r="K84" i="1"/>
  <c r="J84" i="1"/>
  <c r="I84" i="1"/>
  <c r="Q84" i="1"/>
  <c r="R84" i="1" s="1"/>
  <c r="Z80" i="1"/>
  <c r="S81" i="1"/>
  <c r="T81" i="1"/>
  <c r="U83" i="1"/>
  <c r="V83" i="1" s="1"/>
  <c r="X82" i="1"/>
  <c r="AB82" i="1"/>
  <c r="AC82" i="1" s="1"/>
  <c r="AK82" i="1" l="1"/>
  <c r="AL82" i="1"/>
  <c r="AK81" i="1"/>
  <c r="AL81" i="1"/>
  <c r="AB83" i="1"/>
  <c r="AC83" i="1" s="1"/>
  <c r="X83" i="1"/>
  <c r="L84" i="1"/>
  <c r="M84" i="1" s="1"/>
  <c r="P84" i="1" s="1"/>
  <c r="S84" i="1" s="1"/>
  <c r="N84" i="1"/>
  <c r="O84" i="1" s="1"/>
  <c r="W81" i="1"/>
  <c r="AD81" i="1"/>
  <c r="D87" i="1"/>
  <c r="F86" i="1"/>
  <c r="G86" i="1" s="1"/>
  <c r="K85" i="1"/>
  <c r="Q85" i="1"/>
  <c r="R85" i="1" s="1"/>
  <c r="J85" i="1"/>
  <c r="I85" i="1"/>
  <c r="W82" i="1"/>
  <c r="AA82" i="1" s="1"/>
  <c r="AM82" i="1" s="1"/>
  <c r="AD82" i="1"/>
  <c r="AE82" i="1" s="1"/>
  <c r="U84" i="1"/>
  <c r="V84" i="1" s="1"/>
  <c r="T83" i="1"/>
  <c r="AK83" i="1" l="1"/>
  <c r="AL83" i="1"/>
  <c r="AN82" i="1"/>
  <c r="AO82" i="1"/>
  <c r="AH82" i="1"/>
  <c r="K86" i="1"/>
  <c r="J86" i="1"/>
  <c r="I86" i="1"/>
  <c r="Q86" i="1"/>
  <c r="R86" i="1" s="1"/>
  <c r="Y82" i="1"/>
  <c r="W83" i="1"/>
  <c r="AA83" i="1" s="1"/>
  <c r="AM83" i="1" s="1"/>
  <c r="AD83" i="1"/>
  <c r="AE83" i="1" s="1"/>
  <c r="AA81" i="1"/>
  <c r="AM81" i="1" s="1"/>
  <c r="Y81" i="1"/>
  <c r="Z81" i="1"/>
  <c r="T84" i="1"/>
  <c r="L85" i="1"/>
  <c r="M85" i="1" s="1"/>
  <c r="P85" i="1" s="1"/>
  <c r="Z82" i="1"/>
  <c r="F87" i="1"/>
  <c r="G87" i="1" s="1"/>
  <c r="D88" i="1"/>
  <c r="AE81" i="1"/>
  <c r="AH81" i="1"/>
  <c r="X84" i="1"/>
  <c r="AB84" i="1"/>
  <c r="AC84" i="1" s="1"/>
  <c r="U85" i="1"/>
  <c r="V85" i="1" s="1"/>
  <c r="AF82" i="1"/>
  <c r="AG82" i="1" s="1"/>
  <c r="AO81" i="1" l="1"/>
  <c r="AN81" i="1"/>
  <c r="AN83" i="1"/>
  <c r="AO83" i="1"/>
  <c r="N85" i="1"/>
  <c r="O85" i="1" s="1"/>
  <c r="AL84" i="1"/>
  <c r="AK84" i="1"/>
  <c r="Y83" i="1"/>
  <c r="S85" i="1"/>
  <c r="T85" i="1"/>
  <c r="K87" i="1"/>
  <c r="Q87" i="1"/>
  <c r="R87" i="1" s="1"/>
  <c r="J87" i="1"/>
  <c r="I87" i="1"/>
  <c r="AF83" i="1"/>
  <c r="AG83" i="1" s="1"/>
  <c r="X85" i="1"/>
  <c r="AB85" i="1"/>
  <c r="AC85" i="1" s="1"/>
  <c r="AH83" i="1"/>
  <c r="U86" i="1"/>
  <c r="V86" i="1" s="1"/>
  <c r="W84" i="1"/>
  <c r="AA84" i="1" s="1"/>
  <c r="AM84" i="1" s="1"/>
  <c r="AD84" i="1"/>
  <c r="AE84" i="1" s="1"/>
  <c r="AF81" i="1"/>
  <c r="AG81" i="1" s="1"/>
  <c r="L86" i="1"/>
  <c r="N86" i="1" s="1"/>
  <c r="O86" i="1" s="1"/>
  <c r="Z83" i="1"/>
  <c r="D89" i="1"/>
  <c r="F88" i="1"/>
  <c r="G88" i="1" s="1"/>
  <c r="AN84" i="1" l="1"/>
  <c r="AO84" i="1"/>
  <c r="AK85" i="1"/>
  <c r="AL85" i="1"/>
  <c r="Z84" i="1"/>
  <c r="X86" i="1"/>
  <c r="AB86" i="1"/>
  <c r="AC86" i="1" s="1"/>
  <c r="M86" i="1"/>
  <c r="P86" i="1" s="1"/>
  <c r="U87" i="1"/>
  <c r="V87" i="1" s="1"/>
  <c r="K88" i="1"/>
  <c r="J88" i="1"/>
  <c r="Q88" i="1"/>
  <c r="R88" i="1" s="1"/>
  <c r="I88" i="1"/>
  <c r="W85" i="1"/>
  <c r="AA85" i="1" s="1"/>
  <c r="AM85" i="1" s="1"/>
  <c r="AD85" i="1"/>
  <c r="AE85" i="1" s="1"/>
  <c r="L87" i="1"/>
  <c r="N87" i="1" s="1"/>
  <c r="O87" i="1" s="1"/>
  <c r="AF84" i="1"/>
  <c r="AG84" i="1" s="1"/>
  <c r="Y84" i="1"/>
  <c r="D90" i="1"/>
  <c r="F89" i="1"/>
  <c r="G89" i="1" s="1"/>
  <c r="AH84" i="1"/>
  <c r="AN85" i="1" l="1"/>
  <c r="AO85" i="1"/>
  <c r="Y85" i="1"/>
  <c r="Z85" i="1"/>
  <c r="M87" i="1"/>
  <c r="P87" i="1" s="1"/>
  <c r="S87" i="1" s="1"/>
  <c r="K89" i="1"/>
  <c r="I89" i="1"/>
  <c r="Q89" i="1"/>
  <c r="R89" i="1" s="1"/>
  <c r="J89" i="1"/>
  <c r="D91" i="1"/>
  <c r="F90" i="1"/>
  <c r="G90" i="1" s="1"/>
  <c r="AB87" i="1"/>
  <c r="AC87" i="1" s="1"/>
  <c r="X87" i="1"/>
  <c r="U88" i="1"/>
  <c r="V88" i="1" s="1"/>
  <c r="T87" i="1"/>
  <c r="AF85" i="1"/>
  <c r="AG85" i="1" s="1"/>
  <c r="S86" i="1"/>
  <c r="T86" i="1"/>
  <c r="AH85" i="1"/>
  <c r="L88" i="1"/>
  <c r="M88" i="1" s="1"/>
  <c r="P88" i="1" s="1"/>
  <c r="AL87" i="1" l="1"/>
  <c r="AK87" i="1"/>
  <c r="AK86" i="1"/>
  <c r="AL86" i="1"/>
  <c r="S88" i="1"/>
  <c r="T88" i="1"/>
  <c r="AH87" i="1"/>
  <c r="F91" i="1"/>
  <c r="G91" i="1" s="1"/>
  <c r="D92" i="1"/>
  <c r="N88" i="1"/>
  <c r="O88" i="1" s="1"/>
  <c r="L89" i="1"/>
  <c r="M89" i="1" s="1"/>
  <c r="P89" i="1" s="1"/>
  <c r="X88" i="1"/>
  <c r="AB88" i="1"/>
  <c r="AC88" i="1" s="1"/>
  <c r="W86" i="1"/>
  <c r="AD86" i="1"/>
  <c r="K90" i="1"/>
  <c r="Q90" i="1"/>
  <c r="R90" i="1" s="1"/>
  <c r="J90" i="1"/>
  <c r="I90" i="1"/>
  <c r="W87" i="1"/>
  <c r="AA87" i="1" s="1"/>
  <c r="AM87" i="1" s="1"/>
  <c r="AD87" i="1"/>
  <c r="AE87" i="1" s="1"/>
  <c r="U89" i="1"/>
  <c r="V89" i="1" s="1"/>
  <c r="AL88" i="1" l="1"/>
  <c r="AK88" i="1"/>
  <c r="AO87" i="1"/>
  <c r="AN87" i="1"/>
  <c r="Z87" i="1"/>
  <c r="Y87" i="1"/>
  <c r="S89" i="1"/>
  <c r="T89" i="1"/>
  <c r="L90" i="1"/>
  <c r="N90" i="1" s="1"/>
  <c r="O90" i="1" s="1"/>
  <c r="N89" i="1"/>
  <c r="O89" i="1" s="1"/>
  <c r="K91" i="1"/>
  <c r="J91" i="1"/>
  <c r="Q91" i="1"/>
  <c r="R91" i="1" s="1"/>
  <c r="I91" i="1"/>
  <c r="AE86" i="1"/>
  <c r="AH86" i="1"/>
  <c r="AA86" i="1"/>
  <c r="AM86" i="1" s="1"/>
  <c r="Z86" i="1"/>
  <c r="Y86" i="1"/>
  <c r="W88" i="1"/>
  <c r="AA88" i="1" s="1"/>
  <c r="AM88" i="1" s="1"/>
  <c r="AD88" i="1"/>
  <c r="AE88" i="1" s="1"/>
  <c r="U90" i="1"/>
  <c r="V90" i="1" s="1"/>
  <c r="D93" i="1"/>
  <c r="F92" i="1"/>
  <c r="G92" i="1" s="1"/>
  <c r="X89" i="1"/>
  <c r="AB89" i="1"/>
  <c r="AC89" i="1" s="1"/>
  <c r="AF87" i="1"/>
  <c r="AG87" i="1" s="1"/>
  <c r="Z88" i="1"/>
  <c r="Y88" i="1" l="1"/>
  <c r="AO88" i="1"/>
  <c r="AN88" i="1"/>
  <c r="AH88" i="1"/>
  <c r="AL89" i="1"/>
  <c r="AK89" i="1"/>
  <c r="AN86" i="1"/>
  <c r="AO86" i="1"/>
  <c r="K92" i="1"/>
  <c r="I92" i="1"/>
  <c r="Q92" i="1"/>
  <c r="R92" i="1" s="1"/>
  <c r="J92" i="1"/>
  <c r="F93" i="1"/>
  <c r="G93" i="1" s="1"/>
  <c r="D94" i="1"/>
  <c r="M90" i="1"/>
  <c r="P90" i="1" s="1"/>
  <c r="AF86" i="1"/>
  <c r="AG86" i="1" s="1"/>
  <c r="L91" i="1"/>
  <c r="M91" i="1" s="1"/>
  <c r="P91" i="1" s="1"/>
  <c r="N91" i="1"/>
  <c r="O91" i="1" s="1"/>
  <c r="AB90" i="1"/>
  <c r="AC90" i="1" s="1"/>
  <c r="X90" i="1"/>
  <c r="AF88" i="1"/>
  <c r="AG88" i="1" s="1"/>
  <c r="W89" i="1"/>
  <c r="AA89" i="1" s="1"/>
  <c r="AM89" i="1" s="1"/>
  <c r="AD89" i="1"/>
  <c r="AE89" i="1" s="1"/>
  <c r="U91" i="1"/>
  <c r="V91" i="1" s="1"/>
  <c r="AO89" i="1" l="1"/>
  <c r="AN89" i="1"/>
  <c r="AH89" i="1"/>
  <c r="S91" i="1"/>
  <c r="T91" i="1"/>
  <c r="X91" i="1"/>
  <c r="AB91" i="1"/>
  <c r="AC91" i="1" s="1"/>
  <c r="K93" i="1"/>
  <c r="I93" i="1"/>
  <c r="J93" i="1"/>
  <c r="Q93" i="1"/>
  <c r="R93" i="1" s="1"/>
  <c r="L92" i="1"/>
  <c r="N92" i="1" s="1"/>
  <c r="O92" i="1" s="1"/>
  <c r="U92" i="1"/>
  <c r="V92" i="1" s="1"/>
  <c r="M92" i="1"/>
  <c r="P92" i="1" s="1"/>
  <c r="S92" i="1" s="1"/>
  <c r="F94" i="1"/>
  <c r="G94" i="1" s="1"/>
  <c r="D95" i="1"/>
  <c r="AF89" i="1"/>
  <c r="AG89" i="1" s="1"/>
  <c r="Z89" i="1"/>
  <c r="S90" i="1"/>
  <c r="T90" i="1"/>
  <c r="Y89" i="1"/>
  <c r="AL91" i="1" l="1"/>
  <c r="AK91" i="1"/>
  <c r="AK90" i="1"/>
  <c r="AL90" i="1"/>
  <c r="X92" i="1"/>
  <c r="AB92" i="1"/>
  <c r="AC92" i="1" s="1"/>
  <c r="W90" i="1"/>
  <c r="AD90" i="1"/>
  <c r="T92" i="1"/>
  <c r="F95" i="1"/>
  <c r="G95" i="1" s="1"/>
  <c r="D96" i="1"/>
  <c r="W91" i="1"/>
  <c r="AA91" i="1" s="1"/>
  <c r="AM91" i="1" s="1"/>
  <c r="AD91" i="1"/>
  <c r="AE91" i="1" s="1"/>
  <c r="U93" i="1"/>
  <c r="V93" i="1" s="1"/>
  <c r="K94" i="1"/>
  <c r="I94" i="1"/>
  <c r="Q94" i="1"/>
  <c r="R94" i="1" s="1"/>
  <c r="J94" i="1"/>
  <c r="L93" i="1"/>
  <c r="M93" i="1" s="1"/>
  <c r="P93" i="1" s="1"/>
  <c r="N93" i="1" l="1"/>
  <c r="O93" i="1" s="1"/>
  <c r="AN91" i="1"/>
  <c r="AO91" i="1"/>
  <c r="Y91" i="1"/>
  <c r="Z91" i="1"/>
  <c r="AL92" i="1"/>
  <c r="AK92" i="1"/>
  <c r="AH91" i="1"/>
  <c r="S93" i="1"/>
  <c r="T93" i="1"/>
  <c r="AB93" i="1"/>
  <c r="AC93" i="1" s="1"/>
  <c r="X93" i="1"/>
  <c r="AE90" i="1"/>
  <c r="AH90" i="1"/>
  <c r="AF91" i="1"/>
  <c r="AG91" i="1" s="1"/>
  <c r="K95" i="1"/>
  <c r="J95" i="1"/>
  <c r="I95" i="1"/>
  <c r="Q95" i="1"/>
  <c r="R95" i="1" s="1"/>
  <c r="W92" i="1"/>
  <c r="AA92" i="1" s="1"/>
  <c r="AM92" i="1" s="1"/>
  <c r="AD92" i="1"/>
  <c r="AE92" i="1" s="1"/>
  <c r="L94" i="1"/>
  <c r="M94" i="1" s="1"/>
  <c r="P94" i="1" s="1"/>
  <c r="U94" i="1"/>
  <c r="V94" i="1" s="1"/>
  <c r="AA90" i="1"/>
  <c r="AM90" i="1" s="1"/>
  <c r="Z90" i="1"/>
  <c r="Y90" i="1"/>
  <c r="F96" i="1"/>
  <c r="G96" i="1" s="1"/>
  <c r="D97" i="1"/>
  <c r="AK93" i="1" l="1"/>
  <c r="AL93" i="1"/>
  <c r="AN90" i="1"/>
  <c r="AO90" i="1"/>
  <c r="AN92" i="1"/>
  <c r="AO92" i="1"/>
  <c r="AH92" i="1"/>
  <c r="S94" i="1"/>
  <c r="T94" i="1"/>
  <c r="N94" i="1"/>
  <c r="O94" i="1" s="1"/>
  <c r="Z92" i="1"/>
  <c r="AF90" i="1"/>
  <c r="AG90" i="1" s="1"/>
  <c r="Y93" i="1"/>
  <c r="D98" i="1"/>
  <c r="F97" i="1"/>
  <c r="G97" i="1" s="1"/>
  <c r="L95" i="1"/>
  <c r="M95" i="1" s="1"/>
  <c r="P95" i="1" s="1"/>
  <c r="S95" i="1" s="1"/>
  <c r="W93" i="1"/>
  <c r="AA93" i="1" s="1"/>
  <c r="AM93" i="1" s="1"/>
  <c r="AD93" i="1"/>
  <c r="AE93" i="1" s="1"/>
  <c r="AF92" i="1"/>
  <c r="AG92" i="1" s="1"/>
  <c r="U95" i="1"/>
  <c r="V95" i="1" s="1"/>
  <c r="Y92" i="1"/>
  <c r="K96" i="1"/>
  <c r="Q96" i="1"/>
  <c r="R96" i="1" s="1"/>
  <c r="I96" i="1"/>
  <c r="J96" i="1"/>
  <c r="AB94" i="1"/>
  <c r="AC94" i="1" s="1"/>
  <c r="X94" i="1"/>
  <c r="AN93" i="1" l="1"/>
  <c r="AO93" i="1"/>
  <c r="AL94" i="1"/>
  <c r="AK94" i="1"/>
  <c r="N95" i="1"/>
  <c r="O95" i="1" s="1"/>
  <c r="U96" i="1"/>
  <c r="V96" i="1" s="1"/>
  <c r="Z93" i="1"/>
  <c r="AB95" i="1"/>
  <c r="AC95" i="1" s="1"/>
  <c r="X95" i="1"/>
  <c r="T95" i="1"/>
  <c r="D99" i="1"/>
  <c r="F98" i="1"/>
  <c r="G98" i="1" s="1"/>
  <c r="AF93" i="1"/>
  <c r="AG93" i="1" s="1"/>
  <c r="K97" i="1"/>
  <c r="Q97" i="1"/>
  <c r="R97" i="1" s="1"/>
  <c r="J97" i="1"/>
  <c r="I97" i="1"/>
  <c r="W94" i="1"/>
  <c r="AA94" i="1" s="1"/>
  <c r="AM94" i="1" s="1"/>
  <c r="AD94" i="1"/>
  <c r="AE94" i="1" s="1"/>
  <c r="L96" i="1"/>
  <c r="M96" i="1" s="1"/>
  <c r="P96" i="1" s="1"/>
  <c r="AH93" i="1"/>
  <c r="AN94" i="1" l="1"/>
  <c r="AO94" i="1"/>
  <c r="AK95" i="1"/>
  <c r="AL95" i="1"/>
  <c r="S96" i="1"/>
  <c r="T96" i="1"/>
  <c r="U97" i="1"/>
  <c r="V97" i="1" s="1"/>
  <c r="W95" i="1"/>
  <c r="AA95" i="1" s="1"/>
  <c r="AM95" i="1" s="1"/>
  <c r="AD95" i="1"/>
  <c r="AE95" i="1" s="1"/>
  <c r="N96" i="1"/>
  <c r="O96" i="1" s="1"/>
  <c r="AF94" i="1"/>
  <c r="AG94" i="1" s="1"/>
  <c r="Y94" i="1"/>
  <c r="K98" i="1"/>
  <c r="J98" i="1"/>
  <c r="I98" i="1"/>
  <c r="Q98" i="1"/>
  <c r="R98" i="1" s="1"/>
  <c r="Z94" i="1"/>
  <c r="AH94" i="1"/>
  <c r="X96" i="1"/>
  <c r="AB96" i="1"/>
  <c r="AC96" i="1" s="1"/>
  <c r="L97" i="1"/>
  <c r="M97" i="1" s="1"/>
  <c r="P97" i="1" s="1"/>
  <c r="S97" i="1" s="1"/>
  <c r="F99" i="1"/>
  <c r="G99" i="1" s="1"/>
  <c r="D100" i="1"/>
  <c r="AK96" i="1" l="1"/>
  <c r="AL96" i="1"/>
  <c r="AO95" i="1"/>
  <c r="AN95" i="1"/>
  <c r="N97" i="1"/>
  <c r="O97" i="1" s="1"/>
  <c r="X97" i="1"/>
  <c r="AB97" i="1"/>
  <c r="AC97" i="1" s="1"/>
  <c r="L98" i="1"/>
  <c r="N98" i="1"/>
  <c r="O98" i="1"/>
  <c r="U98" i="1"/>
  <c r="V98" i="1" s="1"/>
  <c r="Z95" i="1"/>
  <c r="W96" i="1"/>
  <c r="AA96" i="1" s="1"/>
  <c r="AM96" i="1" s="1"/>
  <c r="AD96" i="1"/>
  <c r="AE96" i="1" s="1"/>
  <c r="AF95" i="1"/>
  <c r="AG95" i="1" s="1"/>
  <c r="AH95" i="1"/>
  <c r="T97" i="1"/>
  <c r="F100" i="1"/>
  <c r="G100" i="1" s="1"/>
  <c r="D101" i="1"/>
  <c r="K99" i="1"/>
  <c r="J99" i="1"/>
  <c r="I99" i="1"/>
  <c r="Q99" i="1"/>
  <c r="R99" i="1" s="1"/>
  <c r="M98" i="1"/>
  <c r="P98" i="1" s="1"/>
  <c r="S98" i="1" s="1"/>
  <c r="Y95" i="1"/>
  <c r="Z96" i="1" l="1"/>
  <c r="AO96" i="1"/>
  <c r="AN96" i="1"/>
  <c r="AL97" i="1"/>
  <c r="AK97" i="1"/>
  <c r="Y96" i="1"/>
  <c r="L99" i="1"/>
  <c r="M99" i="1" s="1"/>
  <c r="P99" i="1" s="1"/>
  <c r="U99" i="1"/>
  <c r="V99" i="1" s="1"/>
  <c r="AF96" i="1"/>
  <c r="AG96" i="1" s="1"/>
  <c r="F101" i="1"/>
  <c r="G101" i="1" s="1"/>
  <c r="D102" i="1"/>
  <c r="K100" i="1"/>
  <c r="Q100" i="1"/>
  <c r="R100" i="1" s="1"/>
  <c r="J100" i="1"/>
  <c r="I100" i="1"/>
  <c r="T98" i="1"/>
  <c r="W97" i="1"/>
  <c r="AA97" i="1" s="1"/>
  <c r="AM97" i="1" s="1"/>
  <c r="AD97" i="1"/>
  <c r="AE97" i="1" s="1"/>
  <c r="X98" i="1"/>
  <c r="AB98" i="1"/>
  <c r="AC98" i="1" s="1"/>
  <c r="AH96" i="1"/>
  <c r="AO97" i="1" l="1"/>
  <c r="AN97" i="1"/>
  <c r="AL98" i="1"/>
  <c r="AK98" i="1"/>
  <c r="N99" i="1"/>
  <c r="O99" i="1" s="1"/>
  <c r="Y97" i="1"/>
  <c r="S99" i="1"/>
  <c r="T99" i="1"/>
  <c r="W98" i="1"/>
  <c r="AA98" i="1" s="1"/>
  <c r="AM98" i="1" s="1"/>
  <c r="AD98" i="1"/>
  <c r="AE98" i="1" s="1"/>
  <c r="AF97" i="1"/>
  <c r="AG97" i="1" s="1"/>
  <c r="U100" i="1"/>
  <c r="V100" i="1" s="1"/>
  <c r="AH97" i="1"/>
  <c r="F102" i="1"/>
  <c r="G102" i="1" s="1"/>
  <c r="D103" i="1"/>
  <c r="L100" i="1"/>
  <c r="N100" i="1" s="1"/>
  <c r="O100" i="1" s="1"/>
  <c r="AB99" i="1"/>
  <c r="AC99" i="1" s="1"/>
  <c r="X99" i="1"/>
  <c r="Z97" i="1"/>
  <c r="K101" i="1"/>
  <c r="I101" i="1"/>
  <c r="Q101" i="1"/>
  <c r="R101" i="1" s="1"/>
  <c r="J101" i="1"/>
  <c r="AN98" i="1" l="1"/>
  <c r="AO98" i="1"/>
  <c r="AK99" i="1"/>
  <c r="AL99" i="1"/>
  <c r="Y98" i="1"/>
  <c r="Z98" i="1"/>
  <c r="AH98" i="1"/>
  <c r="U101" i="1"/>
  <c r="V101" i="1" s="1"/>
  <c r="M100" i="1"/>
  <c r="P100" i="1" s="1"/>
  <c r="K102" i="1"/>
  <c r="Q102" i="1"/>
  <c r="R102" i="1" s="1"/>
  <c r="I102" i="1"/>
  <c r="J102" i="1"/>
  <c r="AB100" i="1"/>
  <c r="AC100" i="1" s="1"/>
  <c r="X100" i="1"/>
  <c r="AF98" i="1"/>
  <c r="AG98" i="1" s="1"/>
  <c r="F103" i="1"/>
  <c r="G103" i="1" s="1"/>
  <c r="D104" i="1"/>
  <c r="W99" i="1"/>
  <c r="AA99" i="1" s="1"/>
  <c r="AM99" i="1" s="1"/>
  <c r="AD99" i="1"/>
  <c r="AE99" i="1" s="1"/>
  <c r="L101" i="1"/>
  <c r="M101" i="1" s="1"/>
  <c r="P101" i="1" s="1"/>
  <c r="AN99" i="1" l="1"/>
  <c r="AO99" i="1"/>
  <c r="Y99" i="1"/>
  <c r="Z99" i="1"/>
  <c r="S101" i="1"/>
  <c r="T101" i="1"/>
  <c r="N101" i="1"/>
  <c r="O101" i="1" s="1"/>
  <c r="U102" i="1"/>
  <c r="V102" i="1" s="1"/>
  <c r="S100" i="1"/>
  <c r="T100" i="1"/>
  <c r="K103" i="1"/>
  <c r="J103" i="1"/>
  <c r="Q103" i="1"/>
  <c r="R103" i="1" s="1"/>
  <c r="I103" i="1"/>
  <c r="AF99" i="1"/>
  <c r="AG99" i="1" s="1"/>
  <c r="AH99" i="1"/>
  <c r="D105" i="1"/>
  <c r="F104" i="1"/>
  <c r="G104" i="1" s="1"/>
  <c r="L102" i="1"/>
  <c r="M102" i="1" s="1"/>
  <c r="P102" i="1" s="1"/>
  <c r="X101" i="1"/>
  <c r="AB101" i="1"/>
  <c r="AC101" i="1" s="1"/>
  <c r="AK100" i="1" l="1"/>
  <c r="AL100" i="1"/>
  <c r="AK101" i="1"/>
  <c r="AL101" i="1"/>
  <c r="N102" i="1"/>
  <c r="O102" i="1" s="1"/>
  <c r="S102" i="1"/>
  <c r="T102" i="1"/>
  <c r="U103" i="1"/>
  <c r="V103" i="1" s="1"/>
  <c r="D106" i="1"/>
  <c r="F105" i="1"/>
  <c r="G105" i="1" s="1"/>
  <c r="L103" i="1"/>
  <c r="N103" i="1" s="1"/>
  <c r="O103" i="1" s="1"/>
  <c r="W101" i="1"/>
  <c r="AA101" i="1" s="1"/>
  <c r="AM101" i="1" s="1"/>
  <c r="AD101" i="1"/>
  <c r="AE101" i="1" s="1"/>
  <c r="AB102" i="1"/>
  <c r="AC102" i="1" s="1"/>
  <c r="X102" i="1"/>
  <c r="K104" i="1"/>
  <c r="J104" i="1"/>
  <c r="I104" i="1"/>
  <c r="Q104" i="1"/>
  <c r="R104" i="1" s="1"/>
  <c r="W100" i="1"/>
  <c r="AD100" i="1"/>
  <c r="AK102" i="1" l="1"/>
  <c r="AL102" i="1"/>
  <c r="AN101" i="1"/>
  <c r="AO101" i="1"/>
  <c r="M103" i="1"/>
  <c r="P103" i="1" s="1"/>
  <c r="D107" i="1"/>
  <c r="F106" i="1"/>
  <c r="G106" i="1" s="1"/>
  <c r="X103" i="1"/>
  <c r="AB103" i="1"/>
  <c r="AC103" i="1" s="1"/>
  <c r="AH101" i="1"/>
  <c r="Z101" i="1"/>
  <c r="L104" i="1"/>
  <c r="N104" i="1" s="1"/>
  <c r="O104" i="1" s="1"/>
  <c r="W102" i="1"/>
  <c r="AA102" i="1" s="1"/>
  <c r="AM102" i="1" s="1"/>
  <c r="AD102" i="1"/>
  <c r="AE102" i="1" s="1"/>
  <c r="AE100" i="1"/>
  <c r="AH100" i="1"/>
  <c r="AA100" i="1"/>
  <c r="AM100" i="1" s="1"/>
  <c r="Z100" i="1"/>
  <c r="Y100" i="1"/>
  <c r="AF101" i="1"/>
  <c r="AG101" i="1" s="1"/>
  <c r="U104" i="1"/>
  <c r="V104" i="1" s="1"/>
  <c r="Y101" i="1"/>
  <c r="K105" i="1"/>
  <c r="I105" i="1"/>
  <c r="J105" i="1"/>
  <c r="Q105" i="1"/>
  <c r="R105" i="1" s="1"/>
  <c r="AN102" i="1" l="1"/>
  <c r="AO102" i="1"/>
  <c r="AO100" i="1"/>
  <c r="AN100" i="1"/>
  <c r="S103" i="1"/>
  <c r="T103" i="1"/>
  <c r="AF102" i="1"/>
  <c r="AG102" i="1" s="1"/>
  <c r="U105" i="1"/>
  <c r="V105" i="1" s="1"/>
  <c r="AH102" i="1"/>
  <c r="M104" i="1"/>
  <c r="P104" i="1" s="1"/>
  <c r="Y102" i="1"/>
  <c r="X104" i="1"/>
  <c r="AB104" i="1"/>
  <c r="AC104" i="1" s="1"/>
  <c r="L105" i="1"/>
  <c r="M105" i="1" s="1"/>
  <c r="P105" i="1" s="1"/>
  <c r="K106" i="1"/>
  <c r="J106" i="1"/>
  <c r="Q106" i="1"/>
  <c r="R106" i="1" s="1"/>
  <c r="I106" i="1"/>
  <c r="D108" i="1"/>
  <c r="F107" i="1"/>
  <c r="G107" i="1" s="1"/>
  <c r="AF100" i="1"/>
  <c r="AG100" i="1" s="1"/>
  <c r="Z102" i="1"/>
  <c r="W103" i="1" l="1"/>
  <c r="AL103" i="1"/>
  <c r="AK103" i="1"/>
  <c r="AD103" i="1"/>
  <c r="S105" i="1"/>
  <c r="T105" i="1"/>
  <c r="N105" i="1"/>
  <c r="O105" i="1" s="1"/>
  <c r="U106" i="1"/>
  <c r="V106" i="1" s="1"/>
  <c r="X105" i="1"/>
  <c r="AB105" i="1"/>
  <c r="AC105" i="1" s="1"/>
  <c r="K107" i="1"/>
  <c r="Q107" i="1"/>
  <c r="R107" i="1" s="1"/>
  <c r="J107" i="1"/>
  <c r="I107" i="1"/>
  <c r="D109" i="1"/>
  <c r="F108" i="1"/>
  <c r="G108" i="1" s="1"/>
  <c r="L106" i="1"/>
  <c r="N106" i="1" s="1"/>
  <c r="O106" i="1" s="1"/>
  <c r="S104" i="1"/>
  <c r="T104" i="1"/>
  <c r="AK105" i="1" l="1"/>
  <c r="AL105" i="1"/>
  <c r="AL104" i="1"/>
  <c r="AK104" i="1"/>
  <c r="AA103" i="1"/>
  <c r="AM103" i="1" s="1"/>
  <c r="Y103" i="1"/>
  <c r="Z103" i="1"/>
  <c r="M106" i="1"/>
  <c r="P106" i="1" s="1"/>
  <c r="S106" i="1" s="1"/>
  <c r="T106" i="1"/>
  <c r="AE103" i="1"/>
  <c r="AF103" i="1" s="1"/>
  <c r="AG103" i="1" s="1"/>
  <c r="AH103" i="1"/>
  <c r="K108" i="1"/>
  <c r="Q108" i="1"/>
  <c r="R108" i="1" s="1"/>
  <c r="J108" i="1"/>
  <c r="I108" i="1"/>
  <c r="W104" i="1"/>
  <c r="AD104" i="1"/>
  <c r="F109" i="1"/>
  <c r="G109" i="1" s="1"/>
  <c r="D110" i="1"/>
  <c r="L107" i="1"/>
  <c r="M107" i="1" s="1"/>
  <c r="P107" i="1" s="1"/>
  <c r="N107" i="1"/>
  <c r="O107" i="1" s="1"/>
  <c r="W105" i="1"/>
  <c r="AA105" i="1" s="1"/>
  <c r="AM105" i="1" s="1"/>
  <c r="AD105" i="1"/>
  <c r="AE105" i="1" s="1"/>
  <c r="W106" i="1"/>
  <c r="AA106" i="1" s="1"/>
  <c r="AM106" i="1" s="1"/>
  <c r="X106" i="1"/>
  <c r="AB106" i="1"/>
  <c r="AC106" i="1" s="1"/>
  <c r="U107" i="1"/>
  <c r="V107" i="1" s="1"/>
  <c r="AN105" i="1" l="1"/>
  <c r="AO105" i="1"/>
  <c r="AO103" i="1"/>
  <c r="AN103" i="1"/>
  <c r="AK106" i="1"/>
  <c r="AL106" i="1"/>
  <c r="AN106" i="1"/>
  <c r="AO106" i="1"/>
  <c r="S107" i="1"/>
  <c r="T107" i="1"/>
  <c r="Z105" i="1"/>
  <c r="Y105" i="1"/>
  <c r="AF105" i="1"/>
  <c r="AG105" i="1" s="1"/>
  <c r="W107" i="1"/>
  <c r="AA107" i="1" s="1"/>
  <c r="AM107" i="1" s="1"/>
  <c r="AH105" i="1"/>
  <c r="AB107" i="1"/>
  <c r="AC107" i="1" s="1"/>
  <c r="X107" i="1"/>
  <c r="AA104" i="1"/>
  <c r="AM104" i="1" s="1"/>
  <c r="Y104" i="1"/>
  <c r="Z104" i="1"/>
  <c r="AE104" i="1"/>
  <c r="AH104" i="1"/>
  <c r="L108" i="1"/>
  <c r="M108" i="1" s="1"/>
  <c r="P108" i="1" s="1"/>
  <c r="N108" i="1"/>
  <c r="O108" i="1" s="1"/>
  <c r="Z106" i="1"/>
  <c r="Y106" i="1"/>
  <c r="D111" i="1"/>
  <c r="F110" i="1"/>
  <c r="G110" i="1" s="1"/>
  <c r="U108" i="1"/>
  <c r="V108" i="1" s="1"/>
  <c r="AD106" i="1"/>
  <c r="AE106" i="1" s="1"/>
  <c r="K109" i="1"/>
  <c r="I109" i="1"/>
  <c r="Q109" i="1"/>
  <c r="R109" i="1" s="1"/>
  <c r="J109" i="1"/>
  <c r="AO104" i="1" l="1"/>
  <c r="AN104" i="1"/>
  <c r="AN107" i="1"/>
  <c r="AO107" i="1"/>
  <c r="AK107" i="1"/>
  <c r="AL107" i="1"/>
  <c r="S108" i="1"/>
  <c r="T108" i="1"/>
  <c r="AF106" i="1"/>
  <c r="AG106" i="1" s="1"/>
  <c r="Y107" i="1"/>
  <c r="Z107" i="1"/>
  <c r="K110" i="1"/>
  <c r="I110" i="1"/>
  <c r="Q110" i="1"/>
  <c r="R110" i="1" s="1"/>
  <c r="J110" i="1"/>
  <c r="AF104" i="1"/>
  <c r="AG104" i="1" s="1"/>
  <c r="AD107" i="1"/>
  <c r="AE107" i="1" s="1"/>
  <c r="L109" i="1"/>
  <c r="N109" i="1" s="1"/>
  <c r="O109" i="1" s="1"/>
  <c r="F111" i="1"/>
  <c r="G111" i="1" s="1"/>
  <c r="D112" i="1"/>
  <c r="U109" i="1"/>
  <c r="V109" i="1" s="1"/>
  <c r="AB108" i="1"/>
  <c r="AC108" i="1" s="1"/>
  <c r="X108" i="1"/>
  <c r="AH106" i="1"/>
  <c r="AK108" i="1" l="1"/>
  <c r="AL108" i="1"/>
  <c r="AH107" i="1"/>
  <c r="D113" i="1"/>
  <c r="F112" i="1"/>
  <c r="G112" i="1" s="1"/>
  <c r="K111" i="1"/>
  <c r="J111" i="1"/>
  <c r="Q111" i="1"/>
  <c r="R111" i="1" s="1"/>
  <c r="I111" i="1"/>
  <c r="W108" i="1"/>
  <c r="AA108" i="1" s="1"/>
  <c r="AM108" i="1" s="1"/>
  <c r="AD108" i="1"/>
  <c r="AE108" i="1" s="1"/>
  <c r="AF107" i="1"/>
  <c r="AG107" i="1" s="1"/>
  <c r="X109" i="1"/>
  <c r="AB109" i="1"/>
  <c r="AC109" i="1" s="1"/>
  <c r="L110" i="1"/>
  <c r="N110" i="1" s="1"/>
  <c r="O110" i="1" s="1"/>
  <c r="U110" i="1"/>
  <c r="V110" i="1" s="1"/>
  <c r="M109" i="1"/>
  <c r="P109" i="1" s="1"/>
  <c r="M110" i="1" l="1"/>
  <c r="P110" i="1" s="1"/>
  <c r="S110" i="1" s="1"/>
  <c r="AN108" i="1"/>
  <c r="AO108" i="1"/>
  <c r="K112" i="1"/>
  <c r="Q112" i="1"/>
  <c r="R112" i="1" s="1"/>
  <c r="J112" i="1"/>
  <c r="I112" i="1"/>
  <c r="F113" i="1"/>
  <c r="G113" i="1" s="1"/>
  <c r="D114" i="1"/>
  <c r="AF108" i="1"/>
  <c r="AG108" i="1" s="1"/>
  <c r="AH108" i="1"/>
  <c r="T110" i="1"/>
  <c r="Z108" i="1"/>
  <c r="Y108" i="1"/>
  <c r="L111" i="1"/>
  <c r="M111" i="1" s="1"/>
  <c r="P111" i="1" s="1"/>
  <c r="S111" i="1" s="1"/>
  <c r="S109" i="1"/>
  <c r="T109" i="1"/>
  <c r="X110" i="1"/>
  <c r="AB110" i="1"/>
  <c r="AC110" i="1" s="1"/>
  <c r="U111" i="1"/>
  <c r="V111" i="1" s="1"/>
  <c r="AK109" i="1" l="1"/>
  <c r="AL109" i="1"/>
  <c r="AK110" i="1"/>
  <c r="AL110" i="1"/>
  <c r="N111" i="1"/>
  <c r="O111" i="1" s="1"/>
  <c r="X111" i="1"/>
  <c r="AB111" i="1"/>
  <c r="AC111" i="1" s="1"/>
  <c r="D115" i="1"/>
  <c r="F114" i="1"/>
  <c r="G114" i="1" s="1"/>
  <c r="K113" i="1"/>
  <c r="Q113" i="1"/>
  <c r="R113" i="1" s="1"/>
  <c r="I113" i="1"/>
  <c r="J113" i="1"/>
  <c r="W109" i="1"/>
  <c r="AD109" i="1"/>
  <c r="W110" i="1"/>
  <c r="AA110" i="1" s="1"/>
  <c r="AM110" i="1" s="1"/>
  <c r="AD110" i="1"/>
  <c r="AE110" i="1" s="1"/>
  <c r="L112" i="1"/>
  <c r="N112" i="1" s="1"/>
  <c r="O112" i="1" s="1"/>
  <c r="U112" i="1"/>
  <c r="V112" i="1" s="1"/>
  <c r="T111" i="1"/>
  <c r="AN110" i="1" l="1"/>
  <c r="AO110" i="1"/>
  <c r="AL111" i="1"/>
  <c r="AK111" i="1"/>
  <c r="M112" i="1"/>
  <c r="P112" i="1" s="1"/>
  <c r="S112" i="1" s="1"/>
  <c r="Y110" i="1"/>
  <c r="W111" i="1"/>
  <c r="AA111" i="1" s="1"/>
  <c r="AM111" i="1" s="1"/>
  <c r="AD111" i="1"/>
  <c r="AE111" i="1" s="1"/>
  <c r="AH110" i="1"/>
  <c r="AF110" i="1"/>
  <c r="AG110" i="1" s="1"/>
  <c r="AE109" i="1"/>
  <c r="AH109" i="1"/>
  <c r="K114" i="1"/>
  <c r="I114" i="1"/>
  <c r="J114" i="1"/>
  <c r="Q114" i="1"/>
  <c r="R114" i="1" s="1"/>
  <c r="AA109" i="1"/>
  <c r="AM109" i="1" s="1"/>
  <c r="Y109" i="1"/>
  <c r="Z109" i="1"/>
  <c r="D116" i="1"/>
  <c r="F115" i="1"/>
  <c r="G115" i="1" s="1"/>
  <c r="U113" i="1"/>
  <c r="V113" i="1" s="1"/>
  <c r="Z110" i="1"/>
  <c r="X112" i="1"/>
  <c r="AB112" i="1"/>
  <c r="AC112" i="1" s="1"/>
  <c r="L113" i="1"/>
  <c r="M113" i="1" s="1"/>
  <c r="P113" i="1" s="1"/>
  <c r="Y111" i="1"/>
  <c r="T112" i="1" l="1"/>
  <c r="AN109" i="1"/>
  <c r="AO109" i="1"/>
  <c r="AO111" i="1"/>
  <c r="AN111" i="1"/>
  <c r="N113" i="1"/>
  <c r="O113" i="1" s="1"/>
  <c r="Z111" i="1"/>
  <c r="S113" i="1"/>
  <c r="T113" i="1"/>
  <c r="W113" i="1"/>
  <c r="AA113" i="1" s="1"/>
  <c r="AM113" i="1" s="1"/>
  <c r="W112" i="1"/>
  <c r="AA112" i="1" s="1"/>
  <c r="AM112" i="1" s="1"/>
  <c r="AD112" i="1"/>
  <c r="AE112" i="1" s="1"/>
  <c r="K115" i="1"/>
  <c r="J115" i="1"/>
  <c r="I115" i="1"/>
  <c r="Q115" i="1"/>
  <c r="R115" i="1" s="1"/>
  <c r="U114" i="1"/>
  <c r="V114" i="1" s="1"/>
  <c r="AH111" i="1"/>
  <c r="X113" i="1"/>
  <c r="AB113" i="1"/>
  <c r="AC113" i="1" s="1"/>
  <c r="L114" i="1"/>
  <c r="M114" i="1" s="1"/>
  <c r="P114" i="1" s="1"/>
  <c r="S114" i="1" s="1"/>
  <c r="AF111" i="1"/>
  <c r="AG111" i="1" s="1"/>
  <c r="D117" i="1"/>
  <c r="F116" i="1"/>
  <c r="G116" i="1" s="1"/>
  <c r="AF109" i="1"/>
  <c r="AG109" i="1" s="1"/>
  <c r="AK113" i="1" l="1"/>
  <c r="AL113" i="1"/>
  <c r="AO112" i="1"/>
  <c r="AN112" i="1"/>
  <c r="AN113" i="1"/>
  <c r="AO113" i="1"/>
  <c r="AK112" i="1"/>
  <c r="AL112" i="1"/>
  <c r="N114" i="1"/>
  <c r="O114" i="1" s="1"/>
  <c r="AH112" i="1"/>
  <c r="Z113" i="1"/>
  <c r="Y113" i="1"/>
  <c r="F117" i="1"/>
  <c r="G117" i="1" s="1"/>
  <c r="D118" i="1"/>
  <c r="K116" i="1"/>
  <c r="J116" i="1"/>
  <c r="Q116" i="1"/>
  <c r="R116" i="1" s="1"/>
  <c r="I116" i="1"/>
  <c r="T114" i="1"/>
  <c r="X114" i="1"/>
  <c r="AB114" i="1"/>
  <c r="AC114" i="1" s="1"/>
  <c r="U115" i="1"/>
  <c r="V115" i="1" s="1"/>
  <c r="T115" i="1"/>
  <c r="Z112" i="1"/>
  <c r="L115" i="1"/>
  <c r="N115" i="1"/>
  <c r="O115" i="1" s="1"/>
  <c r="AF112" i="1"/>
  <c r="AG112" i="1" s="1"/>
  <c r="AD113" i="1"/>
  <c r="AE113" i="1" s="1"/>
  <c r="M115" i="1"/>
  <c r="P115" i="1" s="1"/>
  <c r="S115" i="1" s="1"/>
  <c r="Y112" i="1"/>
  <c r="AL115" i="1" l="1"/>
  <c r="AK115" i="1"/>
  <c r="AK114" i="1"/>
  <c r="AL114" i="1"/>
  <c r="U116" i="1"/>
  <c r="V116" i="1" s="1"/>
  <c r="W115" i="1"/>
  <c r="AA115" i="1" s="1"/>
  <c r="AM115" i="1" s="1"/>
  <c r="L116" i="1"/>
  <c r="N116" i="1" s="1"/>
  <c r="O116" i="1" s="1"/>
  <c r="AF113" i="1"/>
  <c r="AG113" i="1" s="1"/>
  <c r="X115" i="1"/>
  <c r="AB115" i="1"/>
  <c r="AC115" i="1" s="1"/>
  <c r="AD115" i="1" s="1"/>
  <c r="AE115" i="1" s="1"/>
  <c r="F118" i="1"/>
  <c r="G118" i="1" s="1"/>
  <c r="D119" i="1"/>
  <c r="K117" i="1"/>
  <c r="J117" i="1"/>
  <c r="Q117" i="1"/>
  <c r="R117" i="1" s="1"/>
  <c r="I117" i="1"/>
  <c r="W114" i="1"/>
  <c r="AA114" i="1" s="1"/>
  <c r="AM114" i="1" s="1"/>
  <c r="AD114" i="1"/>
  <c r="AE114" i="1" s="1"/>
  <c r="AH113" i="1"/>
  <c r="AO115" i="1" l="1"/>
  <c r="AN115" i="1"/>
  <c r="AO114" i="1"/>
  <c r="AN114" i="1"/>
  <c r="M116" i="1"/>
  <c r="P116" i="1" s="1"/>
  <c r="S116" i="1" s="1"/>
  <c r="Y114" i="1"/>
  <c r="Z114" i="1"/>
  <c r="AF114" i="1"/>
  <c r="AG114" i="1" s="1"/>
  <c r="F119" i="1"/>
  <c r="G119" i="1" s="1"/>
  <c r="D120" i="1"/>
  <c r="AH114" i="1"/>
  <c r="U117" i="1"/>
  <c r="V117" i="1" s="1"/>
  <c r="AH115" i="1"/>
  <c r="K118" i="1"/>
  <c r="I118" i="1"/>
  <c r="J118" i="1"/>
  <c r="Q118" i="1"/>
  <c r="R118" i="1" s="1"/>
  <c r="AF115" i="1"/>
  <c r="AG115" i="1" s="1"/>
  <c r="L117" i="1"/>
  <c r="N117" i="1" s="1"/>
  <c r="O117" i="1" s="1"/>
  <c r="Y115" i="1"/>
  <c r="Z115" i="1"/>
  <c r="X116" i="1"/>
  <c r="AB116" i="1"/>
  <c r="AC116" i="1" s="1"/>
  <c r="M117" i="1" l="1"/>
  <c r="P117" i="1" s="1"/>
  <c r="S117" i="1" s="1"/>
  <c r="T116" i="1"/>
  <c r="T117" i="1"/>
  <c r="X117" i="1"/>
  <c r="AB117" i="1"/>
  <c r="AC117" i="1" s="1"/>
  <c r="F120" i="1"/>
  <c r="G120" i="1" s="1"/>
  <c r="D121" i="1"/>
  <c r="K119" i="1"/>
  <c r="I119" i="1"/>
  <c r="Q119" i="1"/>
  <c r="R119" i="1" s="1"/>
  <c r="J119" i="1"/>
  <c r="W116" i="1"/>
  <c r="AA116" i="1" s="1"/>
  <c r="AM116" i="1" s="1"/>
  <c r="AD116" i="1"/>
  <c r="AE116" i="1" s="1"/>
  <c r="W117" i="1"/>
  <c r="AA117" i="1" s="1"/>
  <c r="AM117" i="1" s="1"/>
  <c r="AD117" i="1"/>
  <c r="AE117" i="1" s="1"/>
  <c r="Z116" i="1"/>
  <c r="U118" i="1"/>
  <c r="V118" i="1" s="1"/>
  <c r="L118" i="1"/>
  <c r="M118" i="1" s="1"/>
  <c r="P118" i="1" s="1"/>
  <c r="AN117" i="1" l="1"/>
  <c r="AO117" i="1"/>
  <c r="AK117" i="1"/>
  <c r="AL117" i="1"/>
  <c r="AK116" i="1"/>
  <c r="AL116" i="1"/>
  <c r="AN116" i="1"/>
  <c r="AO116" i="1"/>
  <c r="S118" i="1"/>
  <c r="T118" i="1"/>
  <c r="D122" i="1"/>
  <c r="F121" i="1"/>
  <c r="G121" i="1" s="1"/>
  <c r="N118" i="1"/>
  <c r="O118" i="1" s="1"/>
  <c r="K120" i="1"/>
  <c r="Q120" i="1"/>
  <c r="R120" i="1" s="1"/>
  <c r="I120" i="1"/>
  <c r="J120" i="1"/>
  <c r="AH117" i="1"/>
  <c r="U119" i="1"/>
  <c r="V119" i="1" s="1"/>
  <c r="AF117" i="1"/>
  <c r="AG117" i="1" s="1"/>
  <c r="AF116" i="1"/>
  <c r="AG116" i="1" s="1"/>
  <c r="X118" i="1"/>
  <c r="AB118" i="1"/>
  <c r="AC118" i="1" s="1"/>
  <c r="L119" i="1"/>
  <c r="M119" i="1" s="1"/>
  <c r="P119" i="1" s="1"/>
  <c r="Z117" i="1"/>
  <c r="Y117" i="1"/>
  <c r="Y116" i="1"/>
  <c r="AH116" i="1"/>
  <c r="AK118" i="1" l="1"/>
  <c r="AL118" i="1"/>
  <c r="S119" i="1"/>
  <c r="T119" i="1"/>
  <c r="U120" i="1"/>
  <c r="V120" i="1" s="1"/>
  <c r="X119" i="1"/>
  <c r="AB119" i="1"/>
  <c r="AC119" i="1" s="1"/>
  <c r="K121" i="1"/>
  <c r="J121" i="1"/>
  <c r="Q121" i="1"/>
  <c r="R121" i="1" s="1"/>
  <c r="I121" i="1"/>
  <c r="N119" i="1"/>
  <c r="O119" i="1" s="1"/>
  <c r="D123" i="1"/>
  <c r="F122" i="1"/>
  <c r="G122" i="1" s="1"/>
  <c r="L120" i="1"/>
  <c r="N120" i="1" s="1"/>
  <c r="O120" i="1" s="1"/>
  <c r="W118" i="1"/>
  <c r="AA118" i="1" s="1"/>
  <c r="AM118" i="1" s="1"/>
  <c r="AD118" i="1"/>
  <c r="AE118" i="1" s="1"/>
  <c r="AK119" i="1" l="1"/>
  <c r="AL119" i="1"/>
  <c r="AN118" i="1"/>
  <c r="AO118" i="1"/>
  <c r="Y118" i="1"/>
  <c r="M120" i="1"/>
  <c r="P120" i="1" s="1"/>
  <c r="S120" i="1" s="1"/>
  <c r="AH118" i="1"/>
  <c r="K122" i="1"/>
  <c r="I122" i="1"/>
  <c r="Q122" i="1"/>
  <c r="R122" i="1" s="1"/>
  <c r="J122" i="1"/>
  <c r="AF118" i="1"/>
  <c r="AG118" i="1" s="1"/>
  <c r="M121" i="1"/>
  <c r="P121" i="1" s="1"/>
  <c r="S121" i="1" s="1"/>
  <c r="U121" i="1"/>
  <c r="V121" i="1" s="1"/>
  <c r="F123" i="1"/>
  <c r="G123" i="1" s="1"/>
  <c r="D124" i="1"/>
  <c r="X120" i="1"/>
  <c r="AB120" i="1"/>
  <c r="AC120" i="1" s="1"/>
  <c r="L121" i="1"/>
  <c r="N121" i="1"/>
  <c r="O121" i="1" s="1"/>
  <c r="W119" i="1"/>
  <c r="AA119" i="1" s="1"/>
  <c r="AM119" i="1" s="1"/>
  <c r="AD119" i="1"/>
  <c r="AE119" i="1" s="1"/>
  <c r="Z118" i="1"/>
  <c r="AO119" i="1" l="1"/>
  <c r="AN119" i="1"/>
  <c r="T121" i="1"/>
  <c r="T120" i="1"/>
  <c r="W120" i="1" s="1"/>
  <c r="AA120" i="1" s="1"/>
  <c r="AM120" i="1" s="1"/>
  <c r="U122" i="1"/>
  <c r="V122" i="1" s="1"/>
  <c r="K123" i="1"/>
  <c r="J123" i="1"/>
  <c r="Q123" i="1"/>
  <c r="R123" i="1" s="1"/>
  <c r="I123" i="1"/>
  <c r="W121" i="1"/>
  <c r="AA121" i="1" s="1"/>
  <c r="AM121" i="1" s="1"/>
  <c r="Y119" i="1"/>
  <c r="L122" i="1"/>
  <c r="N122" i="1" s="1"/>
  <c r="O122" i="1" s="1"/>
  <c r="F124" i="1"/>
  <c r="G124" i="1" s="1"/>
  <c r="D125" i="1"/>
  <c r="AF119" i="1"/>
  <c r="AG119" i="1" s="1"/>
  <c r="X121" i="1"/>
  <c r="AB121" i="1"/>
  <c r="AC121" i="1" s="1"/>
  <c r="AD120" i="1"/>
  <c r="AE120" i="1" s="1"/>
  <c r="Z119" i="1"/>
  <c r="AH119" i="1"/>
  <c r="AO120" i="1" l="1"/>
  <c r="AN120" i="1"/>
  <c r="M122" i="1"/>
  <c r="P122" i="1" s="1"/>
  <c r="S122" i="1" s="1"/>
  <c r="AK120" i="1"/>
  <c r="AL120" i="1"/>
  <c r="AL121" i="1"/>
  <c r="AK121" i="1"/>
  <c r="AN121" i="1"/>
  <c r="AO121" i="1"/>
  <c r="AF120" i="1"/>
  <c r="AG120" i="1" s="1"/>
  <c r="K124" i="1"/>
  <c r="I124" i="1"/>
  <c r="Q124" i="1"/>
  <c r="R124" i="1" s="1"/>
  <c r="J124" i="1"/>
  <c r="U123" i="1"/>
  <c r="V123" i="1" s="1"/>
  <c r="Y121" i="1"/>
  <c r="Z121" i="1"/>
  <c r="Y120" i="1"/>
  <c r="L123" i="1"/>
  <c r="N123" i="1"/>
  <c r="O123" i="1" s="1"/>
  <c r="T122" i="1"/>
  <c r="M123" i="1"/>
  <c r="P123" i="1" s="1"/>
  <c r="S123" i="1" s="1"/>
  <c r="Z120" i="1"/>
  <c r="AH120" i="1"/>
  <c r="F125" i="1"/>
  <c r="G125" i="1" s="1"/>
  <c r="D126" i="1"/>
  <c r="AD121" i="1"/>
  <c r="AE121" i="1" s="1"/>
  <c r="X122" i="1"/>
  <c r="AB122" i="1"/>
  <c r="AC122" i="1" s="1"/>
  <c r="AL122" i="1" l="1"/>
  <c r="AK122" i="1"/>
  <c r="AH121" i="1"/>
  <c r="AF121" i="1"/>
  <c r="AG121" i="1" s="1"/>
  <c r="L124" i="1"/>
  <c r="M124" i="1" s="1"/>
  <c r="P124" i="1" s="1"/>
  <c r="F126" i="1"/>
  <c r="G126" i="1" s="1"/>
  <c r="D127" i="1"/>
  <c r="X123" i="1"/>
  <c r="AB123" i="1"/>
  <c r="AC123" i="1" s="1"/>
  <c r="T123" i="1"/>
  <c r="W122" i="1"/>
  <c r="AA122" i="1" s="1"/>
  <c r="AM122" i="1" s="1"/>
  <c r="AD122" i="1"/>
  <c r="AE122" i="1" s="1"/>
  <c r="U124" i="1"/>
  <c r="V124" i="1" s="1"/>
  <c r="K125" i="1"/>
  <c r="I125" i="1"/>
  <c r="Q125" i="1"/>
  <c r="R125" i="1" s="1"/>
  <c r="J125" i="1"/>
  <c r="AO122" i="1" l="1"/>
  <c r="AN122" i="1"/>
  <c r="AK123" i="1"/>
  <c r="AL123" i="1"/>
  <c r="S124" i="1"/>
  <c r="T124" i="1"/>
  <c r="AF122" i="1"/>
  <c r="AG122" i="1" s="1"/>
  <c r="N124" i="1"/>
  <c r="O124" i="1" s="1"/>
  <c r="W123" i="1"/>
  <c r="AA123" i="1" s="1"/>
  <c r="AM123" i="1" s="1"/>
  <c r="AD123" i="1"/>
  <c r="AE123" i="1" s="1"/>
  <c r="X124" i="1"/>
  <c r="AB124" i="1"/>
  <c r="AC124" i="1" s="1"/>
  <c r="K126" i="1"/>
  <c r="I126" i="1"/>
  <c r="J126" i="1"/>
  <c r="Q126" i="1"/>
  <c r="R126" i="1" s="1"/>
  <c r="L125" i="1"/>
  <c r="M125" i="1" s="1"/>
  <c r="P125" i="1" s="1"/>
  <c r="Z122" i="1"/>
  <c r="U125" i="1"/>
  <c r="V125" i="1" s="1"/>
  <c r="Y122" i="1"/>
  <c r="F127" i="1"/>
  <c r="G127" i="1" s="1"/>
  <c r="D128" i="1"/>
  <c r="AH122" i="1"/>
  <c r="N125" i="1" l="1"/>
  <c r="O125" i="1" s="1"/>
  <c r="AN123" i="1"/>
  <c r="AO123" i="1"/>
  <c r="AK124" i="1"/>
  <c r="AL124" i="1"/>
  <c r="AH123" i="1"/>
  <c r="S125" i="1"/>
  <c r="T125" i="1"/>
  <c r="Y123" i="1"/>
  <c r="AF123" i="1"/>
  <c r="AG123" i="1" s="1"/>
  <c r="Z123" i="1"/>
  <c r="X125" i="1"/>
  <c r="AB125" i="1"/>
  <c r="AC125" i="1" s="1"/>
  <c r="W124" i="1"/>
  <c r="AA124" i="1" s="1"/>
  <c r="AM124" i="1" s="1"/>
  <c r="AD124" i="1"/>
  <c r="AE124" i="1" s="1"/>
  <c r="U126" i="1"/>
  <c r="V126" i="1" s="1"/>
  <c r="L126" i="1"/>
  <c r="M126" i="1" s="1"/>
  <c r="P126" i="1" s="1"/>
  <c r="F128" i="1"/>
  <c r="G128" i="1" s="1"/>
  <c r="D129" i="1"/>
  <c r="K127" i="1"/>
  <c r="Q127" i="1"/>
  <c r="R127" i="1" s="1"/>
  <c r="J127" i="1"/>
  <c r="I127" i="1"/>
  <c r="AN124" i="1" l="1"/>
  <c r="AO124" i="1"/>
  <c r="AK125" i="1"/>
  <c r="AL125" i="1"/>
  <c r="Z124" i="1"/>
  <c r="Y124" i="1"/>
  <c r="S126" i="1"/>
  <c r="T126" i="1"/>
  <c r="X126" i="1"/>
  <c r="AB126" i="1"/>
  <c r="AC126" i="1" s="1"/>
  <c r="AF124" i="1"/>
  <c r="AG124" i="1" s="1"/>
  <c r="K128" i="1"/>
  <c r="Q128" i="1"/>
  <c r="R128" i="1" s="1"/>
  <c r="J128" i="1"/>
  <c r="I128" i="1"/>
  <c r="W125" i="1"/>
  <c r="AA125" i="1" s="1"/>
  <c r="AM125" i="1" s="1"/>
  <c r="AD125" i="1"/>
  <c r="AE125" i="1" s="1"/>
  <c r="L127" i="1"/>
  <c r="N127" i="1" s="1"/>
  <c r="O127" i="1" s="1"/>
  <c r="U127" i="1"/>
  <c r="V127" i="1" s="1"/>
  <c r="F129" i="1"/>
  <c r="G129" i="1" s="1"/>
  <c r="D130" i="1"/>
  <c r="AH124" i="1"/>
  <c r="N126" i="1"/>
  <c r="O126" i="1" s="1"/>
  <c r="AN125" i="1" l="1"/>
  <c r="AO125" i="1"/>
  <c r="AK126" i="1"/>
  <c r="AL126" i="1"/>
  <c r="AF125" i="1"/>
  <c r="AG125" i="1" s="1"/>
  <c r="X127" i="1"/>
  <c r="AB127" i="1"/>
  <c r="AC127" i="1" s="1"/>
  <c r="AH125" i="1"/>
  <c r="U128" i="1"/>
  <c r="V128" i="1" s="1"/>
  <c r="Y125" i="1"/>
  <c r="W126" i="1"/>
  <c r="AA126" i="1" s="1"/>
  <c r="AM126" i="1" s="1"/>
  <c r="AD126" i="1"/>
  <c r="AE126" i="1" s="1"/>
  <c r="F130" i="1"/>
  <c r="G130" i="1" s="1"/>
  <c r="D131" i="1"/>
  <c r="K129" i="1"/>
  <c r="Q129" i="1"/>
  <c r="R129" i="1" s="1"/>
  <c r="I129" i="1"/>
  <c r="J129" i="1"/>
  <c r="L128" i="1"/>
  <c r="M128" i="1" s="1"/>
  <c r="P128" i="1" s="1"/>
  <c r="M127" i="1"/>
  <c r="P127" i="1" s="1"/>
  <c r="Z125" i="1"/>
  <c r="AO126" i="1" l="1"/>
  <c r="AN126" i="1"/>
  <c r="Y126" i="1"/>
  <c r="Z126" i="1"/>
  <c r="S128" i="1"/>
  <c r="T128" i="1"/>
  <c r="U129" i="1"/>
  <c r="V129" i="1" s="1"/>
  <c r="N128" i="1"/>
  <c r="O128" i="1" s="1"/>
  <c r="X128" i="1"/>
  <c r="AB128" i="1"/>
  <c r="AC128" i="1" s="1"/>
  <c r="AH126" i="1"/>
  <c r="L129" i="1"/>
  <c r="M129" i="1" s="1"/>
  <c r="P129" i="1" s="1"/>
  <c r="N129" i="1"/>
  <c r="O129" i="1" s="1"/>
  <c r="S127" i="1"/>
  <c r="T127" i="1"/>
  <c r="D132" i="1"/>
  <c r="F131" i="1"/>
  <c r="G131" i="1" s="1"/>
  <c r="K130" i="1"/>
  <c r="I130" i="1"/>
  <c r="J130" i="1"/>
  <c r="Q130" i="1"/>
  <c r="R130" i="1" s="1"/>
  <c r="AF126" i="1"/>
  <c r="AG126" i="1" s="1"/>
  <c r="AL127" i="1" l="1"/>
  <c r="AK127" i="1"/>
  <c r="AL128" i="1"/>
  <c r="AK128" i="1"/>
  <c r="S129" i="1"/>
  <c r="T129" i="1"/>
  <c r="W127" i="1"/>
  <c r="AD127" i="1"/>
  <c r="U130" i="1"/>
  <c r="V130" i="1" s="1"/>
  <c r="X129" i="1"/>
  <c r="AB129" i="1"/>
  <c r="AC129" i="1" s="1"/>
  <c r="K131" i="1"/>
  <c r="J131" i="1"/>
  <c r="Q131" i="1"/>
  <c r="R131" i="1" s="1"/>
  <c r="I131" i="1"/>
  <c r="W128" i="1"/>
  <c r="AA128" i="1" s="1"/>
  <c r="AM128" i="1" s="1"/>
  <c r="AD128" i="1"/>
  <c r="AE128" i="1" s="1"/>
  <c r="L130" i="1"/>
  <c r="N130" i="1" s="1"/>
  <c r="O130" i="1" s="1"/>
  <c r="D133" i="1"/>
  <c r="F132" i="1"/>
  <c r="G132" i="1" s="1"/>
  <c r="AO128" i="1" l="1"/>
  <c r="AN128" i="1"/>
  <c r="AL129" i="1"/>
  <c r="AK129" i="1"/>
  <c r="M130" i="1"/>
  <c r="P130" i="1" s="1"/>
  <c r="AH128" i="1"/>
  <c r="X130" i="1"/>
  <c r="AB130" i="1"/>
  <c r="AC130" i="1" s="1"/>
  <c r="L131" i="1"/>
  <c r="N131" i="1" s="1"/>
  <c r="O131" i="1" s="1"/>
  <c r="Z128" i="1"/>
  <c r="K132" i="1"/>
  <c r="J132" i="1"/>
  <c r="I132" i="1"/>
  <c r="Q132" i="1"/>
  <c r="R132" i="1" s="1"/>
  <c r="U131" i="1"/>
  <c r="V131" i="1" s="1"/>
  <c r="AE127" i="1"/>
  <c r="AH127" i="1"/>
  <c r="W129" i="1"/>
  <c r="AA129" i="1" s="1"/>
  <c r="AM129" i="1" s="1"/>
  <c r="AD129" i="1"/>
  <c r="AE129" i="1" s="1"/>
  <c r="F133" i="1"/>
  <c r="G133" i="1" s="1"/>
  <c r="D134" i="1"/>
  <c r="AA127" i="1"/>
  <c r="AM127" i="1" s="1"/>
  <c r="Y127" i="1"/>
  <c r="Z127" i="1"/>
  <c r="AF128" i="1"/>
  <c r="AG128" i="1" s="1"/>
  <c r="Y128" i="1"/>
  <c r="AO127" i="1" l="1"/>
  <c r="AN127" i="1"/>
  <c r="AN129" i="1"/>
  <c r="AO129" i="1"/>
  <c r="S130" i="1"/>
  <c r="T130" i="1"/>
  <c r="AH129" i="1"/>
  <c r="Y129" i="1"/>
  <c r="D135" i="1"/>
  <c r="F134" i="1"/>
  <c r="G134" i="1" s="1"/>
  <c r="M131" i="1"/>
  <c r="P131" i="1" s="1"/>
  <c r="AF127" i="1"/>
  <c r="AG127" i="1" s="1"/>
  <c r="AF129" i="1"/>
  <c r="AG129" i="1" s="1"/>
  <c r="K133" i="1"/>
  <c r="J133" i="1"/>
  <c r="Q133" i="1"/>
  <c r="R133" i="1" s="1"/>
  <c r="I133" i="1"/>
  <c r="L132" i="1"/>
  <c r="N132" i="1" s="1"/>
  <c r="O132" i="1" s="1"/>
  <c r="X131" i="1"/>
  <c r="AB131" i="1"/>
  <c r="AC131" i="1" s="1"/>
  <c r="Z129" i="1"/>
  <c r="U132" i="1"/>
  <c r="V132" i="1" s="1"/>
  <c r="AL130" i="1" l="1"/>
  <c r="AK130" i="1"/>
  <c r="AD130" i="1"/>
  <c r="W130" i="1"/>
  <c r="X132" i="1"/>
  <c r="AB132" i="1"/>
  <c r="AC132" i="1" s="1"/>
  <c r="U133" i="1"/>
  <c r="V133" i="1" s="1"/>
  <c r="S131" i="1"/>
  <c r="T131" i="1"/>
  <c r="L133" i="1"/>
  <c r="M133" i="1" s="1"/>
  <c r="P133" i="1" s="1"/>
  <c r="M132" i="1"/>
  <c r="P132" i="1" s="1"/>
  <c r="K134" i="1"/>
  <c r="Q134" i="1"/>
  <c r="R134" i="1" s="1"/>
  <c r="J134" i="1"/>
  <c r="I134" i="1"/>
  <c r="F135" i="1"/>
  <c r="G135" i="1" s="1"/>
  <c r="D136" i="1"/>
  <c r="AK131" i="1" l="1"/>
  <c r="AL131" i="1"/>
  <c r="AA130" i="1"/>
  <c r="AM130" i="1" s="1"/>
  <c r="Y130" i="1"/>
  <c r="Z130" i="1"/>
  <c r="AE130" i="1"/>
  <c r="AF130" i="1" s="1"/>
  <c r="AG130" i="1" s="1"/>
  <c r="AH130" i="1"/>
  <c r="S133" i="1"/>
  <c r="T133" i="1"/>
  <c r="U134" i="1"/>
  <c r="V134" i="1" s="1"/>
  <c r="W131" i="1"/>
  <c r="AD131" i="1"/>
  <c r="F136" i="1"/>
  <c r="G136" i="1" s="1"/>
  <c r="D137" i="1"/>
  <c r="S132" i="1"/>
  <c r="T132" i="1"/>
  <c r="K135" i="1"/>
  <c r="I135" i="1"/>
  <c r="J135" i="1"/>
  <c r="Q135" i="1"/>
  <c r="R135" i="1" s="1"/>
  <c r="L134" i="1"/>
  <c r="N134" i="1" s="1"/>
  <c r="O134" i="1" s="1"/>
  <c r="N133" i="1"/>
  <c r="O133" i="1" s="1"/>
  <c r="X133" i="1"/>
  <c r="AB133" i="1"/>
  <c r="AC133" i="1" s="1"/>
  <c r="AO130" i="1" l="1"/>
  <c r="AN130" i="1"/>
  <c r="AK133" i="1"/>
  <c r="AL133" i="1"/>
  <c r="AL132" i="1"/>
  <c r="AK132" i="1"/>
  <c r="M134" i="1"/>
  <c r="P134" i="1" s="1"/>
  <c r="S134" i="1" s="1"/>
  <c r="AE131" i="1"/>
  <c r="AH131" i="1"/>
  <c r="L135" i="1"/>
  <c r="M135" i="1" s="1"/>
  <c r="P135" i="1" s="1"/>
  <c r="S135" i="1" s="1"/>
  <c r="W132" i="1"/>
  <c r="AD132" i="1"/>
  <c r="U135" i="1"/>
  <c r="V135" i="1" s="1"/>
  <c r="X134" i="1"/>
  <c r="AB134" i="1"/>
  <c r="AC134" i="1" s="1"/>
  <c r="D138" i="1"/>
  <c r="F137" i="1"/>
  <c r="G137" i="1" s="1"/>
  <c r="W133" i="1"/>
  <c r="AA133" i="1" s="1"/>
  <c r="AM133" i="1" s="1"/>
  <c r="AD133" i="1"/>
  <c r="AE133" i="1" s="1"/>
  <c r="AA131" i="1"/>
  <c r="AM131" i="1" s="1"/>
  <c r="Z131" i="1"/>
  <c r="Y131" i="1"/>
  <c r="K136" i="1"/>
  <c r="J136" i="1"/>
  <c r="I136" i="1"/>
  <c r="Q136" i="1"/>
  <c r="R136" i="1" s="1"/>
  <c r="AO133" i="1" l="1"/>
  <c r="AN133" i="1"/>
  <c r="N135" i="1"/>
  <c r="O135" i="1" s="1"/>
  <c r="AN131" i="1"/>
  <c r="AO131" i="1"/>
  <c r="T134" i="1"/>
  <c r="Y133" i="1"/>
  <c r="Z133" i="1"/>
  <c r="AE132" i="1"/>
  <c r="AH132" i="1"/>
  <c r="AA132" i="1"/>
  <c r="AM132" i="1" s="1"/>
  <c r="Z132" i="1"/>
  <c r="Y132" i="1"/>
  <c r="K137" i="1"/>
  <c r="I137" i="1"/>
  <c r="J137" i="1"/>
  <c r="Q137" i="1"/>
  <c r="R137" i="1" s="1"/>
  <c r="F138" i="1"/>
  <c r="G138" i="1" s="1"/>
  <c r="D139" i="1"/>
  <c r="AH133" i="1"/>
  <c r="T135" i="1"/>
  <c r="AF133" i="1"/>
  <c r="AG133" i="1"/>
  <c r="U136" i="1"/>
  <c r="V136" i="1" s="1"/>
  <c r="L136" i="1"/>
  <c r="N136" i="1" s="1"/>
  <c r="O136" i="1" s="1"/>
  <c r="X135" i="1"/>
  <c r="AB135" i="1"/>
  <c r="AC135" i="1" s="1"/>
  <c r="AF131" i="1"/>
  <c r="AG131" i="1" s="1"/>
  <c r="AN132" i="1" l="1"/>
  <c r="AO132" i="1"/>
  <c r="AK134" i="1"/>
  <c r="AL134" i="1"/>
  <c r="W134" i="1"/>
  <c r="AD134" i="1"/>
  <c r="AL135" i="1"/>
  <c r="AK135" i="1"/>
  <c r="L137" i="1"/>
  <c r="N137" i="1" s="1"/>
  <c r="O137" i="1" s="1"/>
  <c r="M136" i="1"/>
  <c r="P136" i="1" s="1"/>
  <c r="W135" i="1"/>
  <c r="AA135" i="1" s="1"/>
  <c r="AM135" i="1" s="1"/>
  <c r="AD135" i="1"/>
  <c r="AE135" i="1" s="1"/>
  <c r="X136" i="1"/>
  <c r="AB136" i="1"/>
  <c r="AC136" i="1" s="1"/>
  <c r="M137" i="1"/>
  <c r="P137" i="1" s="1"/>
  <c r="S137" i="1" s="1"/>
  <c r="D140" i="1"/>
  <c r="F139" i="1"/>
  <c r="G139" i="1" s="1"/>
  <c r="K138" i="1"/>
  <c r="Q138" i="1"/>
  <c r="R138" i="1" s="1"/>
  <c r="I138" i="1"/>
  <c r="J138" i="1"/>
  <c r="U137" i="1"/>
  <c r="V137" i="1" s="1"/>
  <c r="AF132" i="1"/>
  <c r="AG132" i="1" s="1"/>
  <c r="AE134" i="1" l="1"/>
  <c r="AF134" i="1" s="1"/>
  <c r="AG134" i="1" s="1"/>
  <c r="AH134" i="1"/>
  <c r="AA134" i="1"/>
  <c r="AM134" i="1" s="1"/>
  <c r="Z134" i="1"/>
  <c r="Y134" i="1"/>
  <c r="AO135" i="1"/>
  <c r="AN135" i="1"/>
  <c r="T137" i="1"/>
  <c r="Y135" i="1"/>
  <c r="U138" i="1"/>
  <c r="V138" i="1" s="1"/>
  <c r="AF135" i="1"/>
  <c r="AG135" i="1" s="1"/>
  <c r="AB137" i="1"/>
  <c r="AC137" i="1" s="1"/>
  <c r="AD137" i="1" s="1"/>
  <c r="AE137" i="1" s="1"/>
  <c r="X137" i="1"/>
  <c r="Z135" i="1"/>
  <c r="S136" i="1"/>
  <c r="T136" i="1"/>
  <c r="L138" i="1"/>
  <c r="M138" i="1" s="1"/>
  <c r="P138" i="1" s="1"/>
  <c r="N138" i="1"/>
  <c r="O138" i="1" s="1"/>
  <c r="AH135" i="1"/>
  <c r="K139" i="1"/>
  <c r="J139" i="1"/>
  <c r="I139" i="1"/>
  <c r="Q139" i="1"/>
  <c r="R139" i="1" s="1"/>
  <c r="D141" i="1"/>
  <c r="F140" i="1"/>
  <c r="G140" i="1" s="1"/>
  <c r="W137" i="1"/>
  <c r="AA137" i="1" s="1"/>
  <c r="AM137" i="1" s="1"/>
  <c r="AN137" i="1" l="1"/>
  <c r="AO137" i="1"/>
  <c r="AN134" i="1"/>
  <c r="AO134" i="1"/>
  <c r="AK136" i="1"/>
  <c r="AL136" i="1"/>
  <c r="AK137" i="1"/>
  <c r="AL137" i="1"/>
  <c r="S138" i="1"/>
  <c r="T138" i="1"/>
  <c r="AF137" i="1"/>
  <c r="AG137" i="1" s="1"/>
  <c r="Y137" i="1"/>
  <c r="Z137" i="1"/>
  <c r="AH137" i="1"/>
  <c r="F141" i="1"/>
  <c r="G141" i="1" s="1"/>
  <c r="D142" i="1"/>
  <c r="U139" i="1"/>
  <c r="V139" i="1" s="1"/>
  <c r="K140" i="1"/>
  <c r="Q140" i="1"/>
  <c r="R140" i="1" s="1"/>
  <c r="J140" i="1"/>
  <c r="I140" i="1"/>
  <c r="L139" i="1"/>
  <c r="M139" i="1" s="1"/>
  <c r="P139" i="1" s="1"/>
  <c r="S139" i="1" s="1"/>
  <c r="W136" i="1"/>
  <c r="AD136" i="1"/>
  <c r="X138" i="1"/>
  <c r="AB138" i="1"/>
  <c r="AC138" i="1" s="1"/>
  <c r="AL138" i="1" l="1"/>
  <c r="AK138" i="1"/>
  <c r="N139" i="1"/>
  <c r="O139" i="1" s="1"/>
  <c r="K141" i="1"/>
  <c r="J141" i="1"/>
  <c r="I141" i="1"/>
  <c r="Q141" i="1"/>
  <c r="R141" i="1" s="1"/>
  <c r="U140" i="1"/>
  <c r="V140" i="1" s="1"/>
  <c r="L140" i="1"/>
  <c r="N140" i="1" s="1"/>
  <c r="O140" i="1" s="1"/>
  <c r="AE136" i="1"/>
  <c r="AH136" i="1"/>
  <c r="AA136" i="1"/>
  <c r="AM136" i="1" s="1"/>
  <c r="Z136" i="1"/>
  <c r="Y136" i="1"/>
  <c r="T139" i="1"/>
  <c r="X139" i="1"/>
  <c r="AB139" i="1"/>
  <c r="AC139" i="1" s="1"/>
  <c r="W138" i="1"/>
  <c r="AA138" i="1" s="1"/>
  <c r="AM138" i="1" s="1"/>
  <c r="AD138" i="1"/>
  <c r="AE138" i="1" s="1"/>
  <c r="F142" i="1"/>
  <c r="G142" i="1" s="1"/>
  <c r="D143" i="1"/>
  <c r="AN136" i="1" l="1"/>
  <c r="AO136" i="1"/>
  <c r="AN138" i="1"/>
  <c r="AO138" i="1"/>
  <c r="AK139" i="1"/>
  <c r="AL139" i="1"/>
  <c r="M140" i="1"/>
  <c r="P140" i="1" s="1"/>
  <c r="AB140" i="1"/>
  <c r="AC140" i="1" s="1"/>
  <c r="X140" i="1"/>
  <c r="Z138" i="1"/>
  <c r="Y138" i="1"/>
  <c r="W139" i="1"/>
  <c r="AA139" i="1" s="1"/>
  <c r="AM139" i="1" s="1"/>
  <c r="AD139" i="1"/>
  <c r="AE139" i="1" s="1"/>
  <c r="K142" i="1"/>
  <c r="J142" i="1"/>
  <c r="I142" i="1"/>
  <c r="Q142" i="1"/>
  <c r="R142" i="1" s="1"/>
  <c r="AF138" i="1"/>
  <c r="AG138" i="1" s="1"/>
  <c r="AF136" i="1"/>
  <c r="AG136" i="1" s="1"/>
  <c r="U141" i="1"/>
  <c r="V141" i="1" s="1"/>
  <c r="AH138" i="1"/>
  <c r="L141" i="1"/>
  <c r="M141" i="1" s="1"/>
  <c r="P141" i="1" s="1"/>
  <c r="S141" i="1" s="1"/>
  <c r="F143" i="1"/>
  <c r="G143" i="1" s="1"/>
  <c r="D144" i="1"/>
  <c r="S140" i="1" l="1"/>
  <c r="T140" i="1"/>
  <c r="AO139" i="1"/>
  <c r="AN139" i="1"/>
  <c r="N141" i="1"/>
  <c r="O141" i="1" s="1"/>
  <c r="AH139" i="1"/>
  <c r="U142" i="1"/>
  <c r="V142" i="1" s="1"/>
  <c r="T141" i="1"/>
  <c r="F144" i="1"/>
  <c r="G144" i="1" s="1"/>
  <c r="D145" i="1"/>
  <c r="Y139" i="1"/>
  <c r="L142" i="1"/>
  <c r="M142" i="1" s="1"/>
  <c r="P142" i="1" s="1"/>
  <c r="K143" i="1"/>
  <c r="I143" i="1"/>
  <c r="Q143" i="1"/>
  <c r="R143" i="1" s="1"/>
  <c r="J143" i="1"/>
  <c r="X141" i="1"/>
  <c r="AB141" i="1"/>
  <c r="AC141" i="1" s="1"/>
  <c r="Z139" i="1"/>
  <c r="AF139" i="1"/>
  <c r="AG139" i="1" s="1"/>
  <c r="AL140" i="1" l="1"/>
  <c r="AK140" i="1"/>
  <c r="W140" i="1"/>
  <c r="AD140" i="1"/>
  <c r="AK141" i="1"/>
  <c r="AL141" i="1"/>
  <c r="S142" i="1"/>
  <c r="T142" i="1"/>
  <c r="N142" i="1"/>
  <c r="O142" i="1" s="1"/>
  <c r="F145" i="1"/>
  <c r="G145" i="1" s="1"/>
  <c r="D146" i="1"/>
  <c r="L143" i="1"/>
  <c r="N143" i="1" s="1"/>
  <c r="O143" i="1" s="1"/>
  <c r="K144" i="1"/>
  <c r="Q144" i="1"/>
  <c r="R144" i="1" s="1"/>
  <c r="I144" i="1"/>
  <c r="J144" i="1"/>
  <c r="U143" i="1"/>
  <c r="V143" i="1" s="1"/>
  <c r="W141" i="1"/>
  <c r="AA141" i="1" s="1"/>
  <c r="AM141" i="1" s="1"/>
  <c r="AD141" i="1"/>
  <c r="AE141" i="1" s="1"/>
  <c r="X142" i="1"/>
  <c r="AB142" i="1"/>
  <c r="AC142" i="1" s="1"/>
  <c r="AK142" i="1" l="1"/>
  <c r="AL142" i="1"/>
  <c r="AE140" i="1"/>
  <c r="AF140" i="1" s="1"/>
  <c r="AG140" i="1" s="1"/>
  <c r="AH140" i="1"/>
  <c r="AA140" i="1"/>
  <c r="AM140" i="1" s="1"/>
  <c r="Y140" i="1"/>
  <c r="Z140" i="1"/>
  <c r="AN141" i="1"/>
  <c r="AO141" i="1"/>
  <c r="AH141" i="1"/>
  <c r="F146" i="1"/>
  <c r="G146" i="1" s="1"/>
  <c r="D147" i="1"/>
  <c r="K145" i="1"/>
  <c r="J145" i="1"/>
  <c r="I145" i="1"/>
  <c r="Q145" i="1"/>
  <c r="R145" i="1" s="1"/>
  <c r="W142" i="1"/>
  <c r="AA142" i="1" s="1"/>
  <c r="AM142" i="1" s="1"/>
  <c r="AD142" i="1"/>
  <c r="AE142" i="1" s="1"/>
  <c r="X143" i="1"/>
  <c r="AB143" i="1"/>
  <c r="AC143" i="1" s="1"/>
  <c r="L144" i="1"/>
  <c r="M144" i="1" s="1"/>
  <c r="P144" i="1" s="1"/>
  <c r="Z141" i="1"/>
  <c r="U144" i="1"/>
  <c r="V144" i="1" s="1"/>
  <c r="Y141" i="1"/>
  <c r="M143" i="1"/>
  <c r="P143" i="1" s="1"/>
  <c r="AF141" i="1"/>
  <c r="AG141" i="1" s="1"/>
  <c r="AN140" i="1" l="1"/>
  <c r="AO140" i="1"/>
  <c r="AN142" i="1"/>
  <c r="AO142" i="1"/>
  <c r="AH142" i="1"/>
  <c r="S144" i="1"/>
  <c r="T144" i="1"/>
  <c r="L145" i="1"/>
  <c r="N145" i="1" s="1"/>
  <c r="O145" i="1" s="1"/>
  <c r="S143" i="1"/>
  <c r="T143" i="1"/>
  <c r="AF142" i="1"/>
  <c r="AG142" i="1" s="1"/>
  <c r="Y142" i="1"/>
  <c r="Z142" i="1"/>
  <c r="U145" i="1"/>
  <c r="V145" i="1" s="1"/>
  <c r="N144" i="1"/>
  <c r="O144" i="1" s="1"/>
  <c r="X144" i="1"/>
  <c r="AB144" i="1"/>
  <c r="AC144" i="1" s="1"/>
  <c r="F147" i="1"/>
  <c r="G147" i="1" s="1"/>
  <c r="D148" i="1"/>
  <c r="M145" i="1"/>
  <c r="P145" i="1" s="1"/>
  <c r="S145" i="1" s="1"/>
  <c r="K146" i="1"/>
  <c r="Q146" i="1"/>
  <c r="R146" i="1" s="1"/>
  <c r="I146" i="1"/>
  <c r="J146" i="1"/>
  <c r="AL144" i="1" l="1"/>
  <c r="AK144" i="1"/>
  <c r="AL143" i="1"/>
  <c r="AK143" i="1"/>
  <c r="U146" i="1"/>
  <c r="V146" i="1" s="1"/>
  <c r="W143" i="1"/>
  <c r="AD143" i="1"/>
  <c r="D149" i="1"/>
  <c r="F148" i="1"/>
  <c r="G148" i="1" s="1"/>
  <c r="T145" i="1"/>
  <c r="K147" i="1"/>
  <c r="I147" i="1"/>
  <c r="J147" i="1"/>
  <c r="Q147" i="1"/>
  <c r="R147" i="1" s="1"/>
  <c r="W144" i="1"/>
  <c r="AA144" i="1" s="1"/>
  <c r="AM144" i="1" s="1"/>
  <c r="AD144" i="1"/>
  <c r="AE144" i="1" s="1"/>
  <c r="AB145" i="1"/>
  <c r="AC145" i="1" s="1"/>
  <c r="X145" i="1"/>
  <c r="L146" i="1"/>
  <c r="N146" i="1" s="1"/>
  <c r="O146" i="1" s="1"/>
  <c r="AL145" i="1" l="1"/>
  <c r="AK145" i="1"/>
  <c r="AN144" i="1"/>
  <c r="AO144" i="1"/>
  <c r="M146" i="1"/>
  <c r="P146" i="1" s="1"/>
  <c r="S146" i="1" s="1"/>
  <c r="AE143" i="1"/>
  <c r="AH143" i="1"/>
  <c r="AF144" i="1"/>
  <c r="AG144" i="1" s="1"/>
  <c r="W145" i="1"/>
  <c r="AA145" i="1" s="1"/>
  <c r="AM145" i="1" s="1"/>
  <c r="AD145" i="1"/>
  <c r="AE145" i="1" s="1"/>
  <c r="K148" i="1"/>
  <c r="J148" i="1"/>
  <c r="Q148" i="1"/>
  <c r="R148" i="1" s="1"/>
  <c r="I148" i="1"/>
  <c r="AA143" i="1"/>
  <c r="AM143" i="1" s="1"/>
  <c r="Y143" i="1"/>
  <c r="Z143" i="1"/>
  <c r="AH144" i="1"/>
  <c r="L147" i="1"/>
  <c r="M147" i="1" s="1"/>
  <c r="P147" i="1" s="1"/>
  <c r="Z144" i="1"/>
  <c r="F149" i="1"/>
  <c r="G149" i="1" s="1"/>
  <c r="D150" i="1"/>
  <c r="Y144" i="1"/>
  <c r="U147" i="1"/>
  <c r="V147" i="1" s="1"/>
  <c r="X146" i="1"/>
  <c r="AB146" i="1"/>
  <c r="AC146" i="1" s="1"/>
  <c r="T146" i="1" l="1"/>
  <c r="AN145" i="1"/>
  <c r="AO145" i="1"/>
  <c r="AO143" i="1"/>
  <c r="AN143" i="1"/>
  <c r="S147" i="1"/>
  <c r="T147" i="1"/>
  <c r="N147" i="1"/>
  <c r="O147" i="1" s="1"/>
  <c r="K149" i="1"/>
  <c r="I149" i="1"/>
  <c r="Q149" i="1"/>
  <c r="R149" i="1" s="1"/>
  <c r="J149" i="1"/>
  <c r="AF145" i="1"/>
  <c r="AG145" i="1" s="1"/>
  <c r="AH145" i="1"/>
  <c r="Z145" i="1"/>
  <c r="L148" i="1"/>
  <c r="M148" i="1" s="1"/>
  <c r="P148" i="1" s="1"/>
  <c r="N148" i="1"/>
  <c r="O148" i="1" s="1"/>
  <c r="F150" i="1"/>
  <c r="G150" i="1" s="1"/>
  <c r="D151" i="1"/>
  <c r="W146" i="1"/>
  <c r="AA146" i="1" s="1"/>
  <c r="AM146" i="1" s="1"/>
  <c r="AD146" i="1"/>
  <c r="AE146" i="1" s="1"/>
  <c r="AB147" i="1"/>
  <c r="AC147" i="1" s="1"/>
  <c r="X147" i="1"/>
  <c r="Y145" i="1"/>
  <c r="U148" i="1"/>
  <c r="V148" i="1" s="1"/>
  <c r="AF143" i="1"/>
  <c r="AG143" i="1" s="1"/>
  <c r="AK147" i="1" l="1"/>
  <c r="AL147" i="1"/>
  <c r="AN146" i="1"/>
  <c r="AO146" i="1"/>
  <c r="AL146" i="1"/>
  <c r="AK146" i="1"/>
  <c r="S148" i="1"/>
  <c r="T148" i="1"/>
  <c r="K150" i="1"/>
  <c r="I150" i="1"/>
  <c r="J150" i="1"/>
  <c r="Q150" i="1"/>
  <c r="R150" i="1" s="1"/>
  <c r="AF146" i="1"/>
  <c r="AG146" i="1" s="1"/>
  <c r="AH146" i="1"/>
  <c r="Y146" i="1"/>
  <c r="W147" i="1"/>
  <c r="AA147" i="1" s="1"/>
  <c r="AM147" i="1" s="1"/>
  <c r="AD147" i="1"/>
  <c r="AE147" i="1" s="1"/>
  <c r="L149" i="1"/>
  <c r="N149" i="1" s="1"/>
  <c r="O149" i="1" s="1"/>
  <c r="U149" i="1"/>
  <c r="V149" i="1" s="1"/>
  <c r="M149" i="1"/>
  <c r="P149" i="1" s="1"/>
  <c r="S149" i="1" s="1"/>
  <c r="X148" i="1"/>
  <c r="AB148" i="1"/>
  <c r="AC148" i="1" s="1"/>
  <c r="Z146" i="1"/>
  <c r="F151" i="1"/>
  <c r="G151" i="1" s="1"/>
  <c r="D152" i="1"/>
  <c r="AN147" i="1" l="1"/>
  <c r="AO147" i="1"/>
  <c r="AK148" i="1"/>
  <c r="AL148" i="1"/>
  <c r="Z147" i="1"/>
  <c r="Y147" i="1"/>
  <c r="AF147" i="1"/>
  <c r="AG147" i="1" s="1"/>
  <c r="U150" i="1"/>
  <c r="V150" i="1" s="1"/>
  <c r="L150" i="1"/>
  <c r="M150" i="1" s="1"/>
  <c r="P150" i="1" s="1"/>
  <c r="N150" i="1"/>
  <c r="O150" i="1" s="1"/>
  <c r="T149" i="1"/>
  <c r="F152" i="1"/>
  <c r="G152" i="1" s="1"/>
  <c r="D153" i="1"/>
  <c r="AH147" i="1"/>
  <c r="W148" i="1"/>
  <c r="AA148" i="1" s="1"/>
  <c r="AM148" i="1" s="1"/>
  <c r="AD148" i="1"/>
  <c r="AE148" i="1" s="1"/>
  <c r="X149" i="1"/>
  <c r="AB149" i="1"/>
  <c r="AC149" i="1" s="1"/>
  <c r="K151" i="1"/>
  <c r="J151" i="1"/>
  <c r="I151" i="1"/>
  <c r="Q151" i="1"/>
  <c r="R151" i="1" s="1"/>
  <c r="Z148" i="1" l="1"/>
  <c r="AN148" i="1"/>
  <c r="AO148" i="1"/>
  <c r="AL149" i="1"/>
  <c r="AK149" i="1"/>
  <c r="S150" i="1"/>
  <c r="T150" i="1"/>
  <c r="U151" i="1"/>
  <c r="V151" i="1" s="1"/>
  <c r="X150" i="1"/>
  <c r="AB150" i="1"/>
  <c r="AC150" i="1" s="1"/>
  <c r="AF148" i="1"/>
  <c r="AG148" i="1" s="1"/>
  <c r="F153" i="1"/>
  <c r="G153" i="1" s="1"/>
  <c r="D154" i="1"/>
  <c r="K152" i="1"/>
  <c r="Q152" i="1"/>
  <c r="R152" i="1" s="1"/>
  <c r="I152" i="1"/>
  <c r="J152" i="1"/>
  <c r="W149" i="1"/>
  <c r="AA149" i="1" s="1"/>
  <c r="AM149" i="1" s="1"/>
  <c r="AD149" i="1"/>
  <c r="AE149" i="1" s="1"/>
  <c r="L151" i="1"/>
  <c r="M151" i="1" s="1"/>
  <c r="P151" i="1" s="1"/>
  <c r="AH148" i="1"/>
  <c r="Y148" i="1"/>
  <c r="AL150" i="1" l="1"/>
  <c r="AK150" i="1"/>
  <c r="AN149" i="1"/>
  <c r="AO149" i="1"/>
  <c r="AH149" i="1"/>
  <c r="S151" i="1"/>
  <c r="T151" i="1"/>
  <c r="U152" i="1"/>
  <c r="V152" i="1" s="1"/>
  <c r="N151" i="1"/>
  <c r="O151" i="1" s="1"/>
  <c r="X151" i="1"/>
  <c r="AB151" i="1"/>
  <c r="AC151" i="1" s="1"/>
  <c r="W150" i="1"/>
  <c r="AA150" i="1" s="1"/>
  <c r="AM150" i="1" s="1"/>
  <c r="AD150" i="1"/>
  <c r="AE150" i="1" s="1"/>
  <c r="L152" i="1"/>
  <c r="N152" i="1"/>
  <c r="M152" i="1"/>
  <c r="P152" i="1" s="1"/>
  <c r="S152" i="1" s="1"/>
  <c r="O152" i="1"/>
  <c r="AF149" i="1"/>
  <c r="AG149" i="1" s="1"/>
  <c r="D155" i="1"/>
  <c r="F154" i="1"/>
  <c r="G154" i="1" s="1"/>
  <c r="K153" i="1"/>
  <c r="Q153" i="1"/>
  <c r="R153" i="1" s="1"/>
  <c r="I153" i="1"/>
  <c r="J153" i="1"/>
  <c r="Y149" i="1"/>
  <c r="Z149" i="1"/>
  <c r="AK151" i="1" l="1"/>
  <c r="AL151" i="1"/>
  <c r="AO150" i="1"/>
  <c r="AN150" i="1"/>
  <c r="Z150" i="1"/>
  <c r="Y150" i="1"/>
  <c r="AH150" i="1"/>
  <c r="L153" i="1"/>
  <c r="N153" i="1" s="1"/>
  <c r="O153" i="1" s="1"/>
  <c r="M153" i="1"/>
  <c r="P153" i="1" s="1"/>
  <c r="S153" i="1" s="1"/>
  <c r="U153" i="1"/>
  <c r="V153" i="1" s="1"/>
  <c r="T153" i="1"/>
  <c r="T152" i="1"/>
  <c r="D156" i="1"/>
  <c r="F155" i="1"/>
  <c r="G155" i="1" s="1"/>
  <c r="X152" i="1"/>
  <c r="AB152" i="1"/>
  <c r="AC152" i="1" s="1"/>
  <c r="K154" i="1"/>
  <c r="J154" i="1"/>
  <c r="I154" i="1"/>
  <c r="Q154" i="1"/>
  <c r="R154" i="1" s="1"/>
  <c r="AF150" i="1"/>
  <c r="AG150" i="1" s="1"/>
  <c r="W151" i="1"/>
  <c r="AA151" i="1" s="1"/>
  <c r="AM151" i="1" s="1"/>
  <c r="AD151" i="1"/>
  <c r="AE151" i="1" s="1"/>
  <c r="AK152" i="1" l="1"/>
  <c r="AL152" i="1"/>
  <c r="AK153" i="1"/>
  <c r="AL153" i="1"/>
  <c r="AO151" i="1"/>
  <c r="AN151" i="1"/>
  <c r="AH151" i="1"/>
  <c r="L154" i="1"/>
  <c r="M154" i="1" s="1"/>
  <c r="P154" i="1" s="1"/>
  <c r="AF151" i="1"/>
  <c r="AG151" i="1" s="1"/>
  <c r="W153" i="1"/>
  <c r="AA153" i="1" s="1"/>
  <c r="AM153" i="1" s="1"/>
  <c r="Y151" i="1"/>
  <c r="K155" i="1"/>
  <c r="I155" i="1"/>
  <c r="J155" i="1"/>
  <c r="Q155" i="1"/>
  <c r="R155" i="1" s="1"/>
  <c r="D157" i="1"/>
  <c r="F156" i="1"/>
  <c r="G156" i="1" s="1"/>
  <c r="W152" i="1"/>
  <c r="AA152" i="1" s="1"/>
  <c r="AM152" i="1" s="1"/>
  <c r="AD152" i="1"/>
  <c r="AE152" i="1" s="1"/>
  <c r="AB153" i="1"/>
  <c r="AC153" i="1" s="1"/>
  <c r="AD153" i="1" s="1"/>
  <c r="AE153" i="1" s="1"/>
  <c r="X153" i="1"/>
  <c r="Z151" i="1"/>
  <c r="U154" i="1"/>
  <c r="V154" i="1" s="1"/>
  <c r="AO153" i="1" l="1"/>
  <c r="AN153" i="1"/>
  <c r="AN152" i="1"/>
  <c r="AO152" i="1"/>
  <c r="N154" i="1"/>
  <c r="O154" i="1" s="1"/>
  <c r="Z152" i="1"/>
  <c r="Y152" i="1"/>
  <c r="S154" i="1"/>
  <c r="T154" i="1"/>
  <c r="AB154" i="1"/>
  <c r="AC154" i="1" s="1"/>
  <c r="X154" i="1"/>
  <c r="AF153" i="1"/>
  <c r="AG153" i="1" s="1"/>
  <c r="F157" i="1"/>
  <c r="G157" i="1" s="1"/>
  <c r="D158" i="1"/>
  <c r="U155" i="1"/>
  <c r="V155" i="1" s="1"/>
  <c r="L155" i="1"/>
  <c r="N155" i="1" s="1"/>
  <c r="O155" i="1" s="1"/>
  <c r="M155" i="1"/>
  <c r="P155" i="1" s="1"/>
  <c r="S155" i="1" s="1"/>
  <c r="AF152" i="1"/>
  <c r="AG152" i="1" s="1"/>
  <c r="K156" i="1"/>
  <c r="J156" i="1"/>
  <c r="Q156" i="1"/>
  <c r="R156" i="1" s="1"/>
  <c r="I156" i="1"/>
  <c r="Z153" i="1"/>
  <c r="Y153" i="1"/>
  <c r="AH153" i="1"/>
  <c r="AH152" i="1"/>
  <c r="AL154" i="1" l="1"/>
  <c r="AK154" i="1"/>
  <c r="F158" i="1"/>
  <c r="G158" i="1" s="1"/>
  <c r="D159" i="1"/>
  <c r="M156" i="1"/>
  <c r="P156" i="1" s="1"/>
  <c r="S156" i="1" s="1"/>
  <c r="O156" i="1"/>
  <c r="Z154" i="1"/>
  <c r="Y154" i="1"/>
  <c r="T155" i="1"/>
  <c r="W154" i="1"/>
  <c r="AA154" i="1" s="1"/>
  <c r="AM154" i="1" s="1"/>
  <c r="AD154" i="1"/>
  <c r="AE154" i="1" s="1"/>
  <c r="K157" i="1"/>
  <c r="I157" i="1"/>
  <c r="J157" i="1"/>
  <c r="Q157" i="1"/>
  <c r="R157" i="1" s="1"/>
  <c r="U156" i="1"/>
  <c r="V156" i="1" s="1"/>
  <c r="L156" i="1"/>
  <c r="N156" i="1"/>
  <c r="AB155" i="1"/>
  <c r="AC155" i="1" s="1"/>
  <c r="X155" i="1"/>
  <c r="AN154" i="1" l="1"/>
  <c r="AO154" i="1"/>
  <c r="T156" i="1"/>
  <c r="AK155" i="1"/>
  <c r="AL155" i="1"/>
  <c r="AH154" i="1"/>
  <c r="W156" i="1"/>
  <c r="AA156" i="1" s="1"/>
  <c r="AM156" i="1" s="1"/>
  <c r="X156" i="1"/>
  <c r="AB156" i="1"/>
  <c r="AC156" i="1" s="1"/>
  <c r="U157" i="1"/>
  <c r="V157" i="1" s="1"/>
  <c r="AF154" i="1"/>
  <c r="AG154" i="1" s="1"/>
  <c r="F159" i="1"/>
  <c r="G159" i="1" s="1"/>
  <c r="D160" i="1"/>
  <c r="W155" i="1"/>
  <c r="AA155" i="1" s="1"/>
  <c r="AM155" i="1" s="1"/>
  <c r="AD155" i="1"/>
  <c r="AE155" i="1" s="1"/>
  <c r="L157" i="1"/>
  <c r="N157" i="1" s="1"/>
  <c r="O157" i="1" s="1"/>
  <c r="K158" i="1"/>
  <c r="J158" i="1"/>
  <c r="Q158" i="1"/>
  <c r="R158" i="1" s="1"/>
  <c r="I158" i="1"/>
  <c r="AN155" i="1" l="1"/>
  <c r="AO155" i="1"/>
  <c r="AK156" i="1"/>
  <c r="AL156" i="1"/>
  <c r="AN156" i="1"/>
  <c r="AO156" i="1"/>
  <c r="M157" i="1"/>
  <c r="P157" i="1" s="1"/>
  <c r="S157" i="1" s="1"/>
  <c r="AB157" i="1"/>
  <c r="AC157" i="1" s="1"/>
  <c r="X157" i="1"/>
  <c r="U158" i="1"/>
  <c r="V158" i="1" s="1"/>
  <c r="K159" i="1"/>
  <c r="J159" i="1"/>
  <c r="Q159" i="1"/>
  <c r="R159" i="1" s="1"/>
  <c r="I159" i="1"/>
  <c r="Y156" i="1"/>
  <c r="Z156" i="1"/>
  <c r="Z155" i="1"/>
  <c r="AH155" i="1"/>
  <c r="Y155" i="1"/>
  <c r="AD156" i="1"/>
  <c r="AE156" i="1" s="1"/>
  <c r="M158" i="1"/>
  <c r="P158" i="1" s="1"/>
  <c r="S158" i="1" s="1"/>
  <c r="AF155" i="1"/>
  <c r="AG155" i="1" s="1"/>
  <c r="T157" i="1"/>
  <c r="L158" i="1"/>
  <c r="N158" i="1" s="1"/>
  <c r="O158" i="1" s="1"/>
  <c r="F160" i="1"/>
  <c r="G160" i="1" s="1"/>
  <c r="D161" i="1"/>
  <c r="AK157" i="1" l="1"/>
  <c r="AL157" i="1"/>
  <c r="AF156" i="1"/>
  <c r="AG156" i="1" s="1"/>
  <c r="U159" i="1"/>
  <c r="V159" i="1" s="1"/>
  <c r="D162" i="1"/>
  <c r="F161" i="1"/>
  <c r="G161" i="1" s="1"/>
  <c r="K160" i="1"/>
  <c r="J160" i="1"/>
  <c r="I160" i="1"/>
  <c r="Q160" i="1"/>
  <c r="R160" i="1" s="1"/>
  <c r="AH156" i="1"/>
  <c r="W157" i="1"/>
  <c r="AA157" i="1" s="1"/>
  <c r="AM157" i="1" s="1"/>
  <c r="AD157" i="1"/>
  <c r="AE157" i="1" s="1"/>
  <c r="T158" i="1"/>
  <c r="L159" i="1"/>
  <c r="M159" i="1" s="1"/>
  <c r="P159" i="1" s="1"/>
  <c r="AB158" i="1"/>
  <c r="AC158" i="1" s="1"/>
  <c r="X158" i="1"/>
  <c r="AL158" i="1" l="1"/>
  <c r="AK158" i="1"/>
  <c r="AN157" i="1"/>
  <c r="AO157" i="1"/>
  <c r="S159" i="1"/>
  <c r="T159" i="1"/>
  <c r="N159" i="1"/>
  <c r="O159" i="1" s="1"/>
  <c r="AF157" i="1"/>
  <c r="AG157" i="1" s="1"/>
  <c r="F162" i="1"/>
  <c r="G162" i="1" s="1"/>
  <c r="D163" i="1"/>
  <c r="Z157" i="1"/>
  <c r="L160" i="1"/>
  <c r="N160" i="1" s="1"/>
  <c r="O160" i="1" s="1"/>
  <c r="AH157" i="1"/>
  <c r="W158" i="1"/>
  <c r="AA158" i="1" s="1"/>
  <c r="AM158" i="1" s="1"/>
  <c r="AD158" i="1"/>
  <c r="AE158" i="1" s="1"/>
  <c r="K161" i="1"/>
  <c r="J161" i="1"/>
  <c r="Q161" i="1"/>
  <c r="R161" i="1" s="1"/>
  <c r="I161" i="1"/>
  <c r="Y157" i="1"/>
  <c r="X159" i="1"/>
  <c r="AB159" i="1"/>
  <c r="AC159" i="1" s="1"/>
  <c r="U160" i="1"/>
  <c r="V160" i="1" s="1"/>
  <c r="AN158" i="1" l="1"/>
  <c r="AO158" i="1"/>
  <c r="AK159" i="1"/>
  <c r="AL159" i="1"/>
  <c r="K162" i="1"/>
  <c r="Q162" i="1"/>
  <c r="R162" i="1" s="1"/>
  <c r="J162" i="1"/>
  <c r="I162" i="1"/>
  <c r="AB160" i="1"/>
  <c r="AC160" i="1" s="1"/>
  <c r="X160" i="1"/>
  <c r="M160" i="1"/>
  <c r="P160" i="1" s="1"/>
  <c r="AH158" i="1"/>
  <c r="W159" i="1"/>
  <c r="AA159" i="1" s="1"/>
  <c r="AM159" i="1" s="1"/>
  <c r="AD159" i="1"/>
  <c r="AE159" i="1" s="1"/>
  <c r="AF158" i="1"/>
  <c r="AG158" i="1" s="1"/>
  <c r="F163" i="1"/>
  <c r="G163" i="1" s="1"/>
  <c r="D164" i="1"/>
  <c r="U161" i="1"/>
  <c r="V161" i="1" s="1"/>
  <c r="Y158" i="1"/>
  <c r="L161" i="1"/>
  <c r="M161" i="1" s="1"/>
  <c r="P161" i="1" s="1"/>
  <c r="Z158" i="1"/>
  <c r="AO159" i="1" l="1"/>
  <c r="AN159" i="1"/>
  <c r="S161" i="1"/>
  <c r="T161" i="1"/>
  <c r="F164" i="1"/>
  <c r="G164" i="1" s="1"/>
  <c r="D165" i="1"/>
  <c r="N161" i="1"/>
  <c r="O161" i="1" s="1"/>
  <c r="K163" i="1"/>
  <c r="J163" i="1"/>
  <c r="I163" i="1"/>
  <c r="Q163" i="1"/>
  <c r="R163" i="1" s="1"/>
  <c r="L162" i="1"/>
  <c r="M162" i="1" s="1"/>
  <c r="P162" i="1" s="1"/>
  <c r="N162" i="1"/>
  <c r="O162" i="1"/>
  <c r="Y159" i="1"/>
  <c r="AH159" i="1"/>
  <c r="AB161" i="1"/>
  <c r="AC161" i="1" s="1"/>
  <c r="X161" i="1"/>
  <c r="AF159" i="1"/>
  <c r="AG159" i="1" s="1"/>
  <c r="U162" i="1"/>
  <c r="V162" i="1" s="1"/>
  <c r="Z159" i="1"/>
  <c r="S160" i="1"/>
  <c r="T160" i="1"/>
  <c r="AK160" i="1" l="1"/>
  <c r="AL160" i="1"/>
  <c r="AK161" i="1"/>
  <c r="AL161" i="1"/>
  <c r="S162" i="1"/>
  <c r="T162" i="1"/>
  <c r="U163" i="1"/>
  <c r="V163" i="1" s="1"/>
  <c r="W161" i="1"/>
  <c r="AA161" i="1" s="1"/>
  <c r="AM161" i="1" s="1"/>
  <c r="AD161" i="1"/>
  <c r="AE161" i="1" s="1"/>
  <c r="X162" i="1"/>
  <c r="AB162" i="1"/>
  <c r="AC162" i="1" s="1"/>
  <c r="F165" i="1"/>
  <c r="G165" i="1" s="1"/>
  <c r="D166" i="1"/>
  <c r="K164" i="1"/>
  <c r="J164" i="1"/>
  <c r="Q164" i="1"/>
  <c r="R164" i="1" s="1"/>
  <c r="I164" i="1"/>
  <c r="W160" i="1"/>
  <c r="AD160" i="1"/>
  <c r="L163" i="1"/>
  <c r="N163" i="1" s="1"/>
  <c r="O163" i="1" s="1"/>
  <c r="AK162" i="1" l="1"/>
  <c r="AL162" i="1"/>
  <c r="AN161" i="1"/>
  <c r="AO161" i="1"/>
  <c r="U164" i="1"/>
  <c r="V164" i="1" s="1"/>
  <c r="AH161" i="1"/>
  <c r="M163" i="1"/>
  <c r="P163" i="1" s="1"/>
  <c r="Y161" i="1"/>
  <c r="F166" i="1"/>
  <c r="G166" i="1" s="1"/>
  <c r="D167" i="1"/>
  <c r="L164" i="1"/>
  <c r="N164" i="1" s="1"/>
  <c r="O164" i="1" s="1"/>
  <c r="Z161" i="1"/>
  <c r="AE160" i="1"/>
  <c r="AH160" i="1"/>
  <c r="AA160" i="1"/>
  <c r="AM160" i="1" s="1"/>
  <c r="Z160" i="1"/>
  <c r="Y160" i="1"/>
  <c r="K165" i="1"/>
  <c r="J165" i="1"/>
  <c r="I165" i="1"/>
  <c r="Q165" i="1"/>
  <c r="R165" i="1" s="1"/>
  <c r="W162" i="1"/>
  <c r="AA162" i="1" s="1"/>
  <c r="AM162" i="1" s="1"/>
  <c r="AD162" i="1"/>
  <c r="AE162" i="1" s="1"/>
  <c r="AF161" i="1"/>
  <c r="AG161" i="1" s="1"/>
  <c r="AB163" i="1"/>
  <c r="AC163" i="1" s="1"/>
  <c r="X163" i="1"/>
  <c r="AO162" i="1" l="1"/>
  <c r="AN162" i="1"/>
  <c r="AN160" i="1"/>
  <c r="AO160" i="1"/>
  <c r="Z162" i="1"/>
  <c r="M164" i="1"/>
  <c r="P164" i="1" s="1"/>
  <c r="S164" i="1" s="1"/>
  <c r="AF162" i="1"/>
  <c r="AG162" i="1" s="1"/>
  <c r="F167" i="1"/>
  <c r="G167" i="1" s="1"/>
  <c r="D168" i="1"/>
  <c r="AH162" i="1"/>
  <c r="U165" i="1"/>
  <c r="V165" i="1" s="1"/>
  <c r="S163" i="1"/>
  <c r="T163" i="1"/>
  <c r="L165" i="1"/>
  <c r="M165" i="1" s="1"/>
  <c r="P165" i="1" s="1"/>
  <c r="S165" i="1" s="1"/>
  <c r="K166" i="1"/>
  <c r="I166" i="1"/>
  <c r="J166" i="1"/>
  <c r="Q166" i="1"/>
  <c r="R166" i="1" s="1"/>
  <c r="AF160" i="1"/>
  <c r="AG160" i="1" s="1"/>
  <c r="AB164" i="1"/>
  <c r="AC164" i="1" s="1"/>
  <c r="X164" i="1"/>
  <c r="Y162" i="1"/>
  <c r="T164" i="1"/>
  <c r="AK163" i="1" l="1"/>
  <c r="AL163" i="1"/>
  <c r="AK164" i="1"/>
  <c r="AL164" i="1"/>
  <c r="N165" i="1"/>
  <c r="O165" i="1" s="1"/>
  <c r="AB165" i="1"/>
  <c r="AC165" i="1" s="1"/>
  <c r="X165" i="1"/>
  <c r="U166" i="1"/>
  <c r="V166" i="1" s="1"/>
  <c r="K167" i="1"/>
  <c r="J167" i="1"/>
  <c r="I167" i="1"/>
  <c r="Q167" i="1"/>
  <c r="R167" i="1" s="1"/>
  <c r="L166" i="1"/>
  <c r="N166" i="1" s="1"/>
  <c r="O166" i="1" s="1"/>
  <c r="T165" i="1"/>
  <c r="W163" i="1"/>
  <c r="AD163" i="1"/>
  <c r="F168" i="1"/>
  <c r="G168" i="1" s="1"/>
  <c r="D169" i="1"/>
  <c r="W164" i="1"/>
  <c r="AA164" i="1" s="1"/>
  <c r="AM164" i="1" s="1"/>
  <c r="AD164" i="1"/>
  <c r="AE164" i="1" s="1"/>
  <c r="AK165" i="1" l="1"/>
  <c r="AL165" i="1"/>
  <c r="M166" i="1"/>
  <c r="P166" i="1" s="1"/>
  <c r="S166" i="1" s="1"/>
  <c r="AN164" i="1"/>
  <c r="AO164" i="1"/>
  <c r="AH164" i="1"/>
  <c r="AA163" i="1"/>
  <c r="AM163" i="1" s="1"/>
  <c r="Y163" i="1"/>
  <c r="Z163" i="1"/>
  <c r="W165" i="1"/>
  <c r="AA165" i="1" s="1"/>
  <c r="AM165" i="1" s="1"/>
  <c r="AD165" i="1"/>
  <c r="AE165" i="1" s="1"/>
  <c r="AF164" i="1"/>
  <c r="AG164" i="1" s="1"/>
  <c r="D170" i="1"/>
  <c r="F169" i="1"/>
  <c r="G169" i="1" s="1"/>
  <c r="Y164" i="1"/>
  <c r="U167" i="1"/>
  <c r="V167" i="1" s="1"/>
  <c r="L167" i="1"/>
  <c r="N167" i="1" s="1"/>
  <c r="O167" i="1" s="1"/>
  <c r="AB166" i="1"/>
  <c r="AC166" i="1" s="1"/>
  <c r="X166" i="1"/>
  <c r="Z164" i="1"/>
  <c r="K168" i="1"/>
  <c r="I168" i="1"/>
  <c r="J168" i="1"/>
  <c r="Q168" i="1"/>
  <c r="R168" i="1" s="1"/>
  <c r="AE163" i="1"/>
  <c r="AH163" i="1"/>
  <c r="M167" i="1" l="1"/>
  <c r="P167" i="1" s="1"/>
  <c r="S167" i="1" s="1"/>
  <c r="AN165" i="1"/>
  <c r="AO165" i="1"/>
  <c r="AN163" i="1"/>
  <c r="AO163" i="1"/>
  <c r="T166" i="1"/>
  <c r="Y165" i="1"/>
  <c r="Z165" i="1"/>
  <c r="AF165" i="1"/>
  <c r="AG165" i="1" s="1"/>
  <c r="AF163" i="1"/>
  <c r="AG163" i="1" s="1"/>
  <c r="AH165" i="1"/>
  <c r="T167" i="1"/>
  <c r="U168" i="1"/>
  <c r="V168" i="1" s="1"/>
  <c r="D171" i="1"/>
  <c r="F170" i="1"/>
  <c r="G170" i="1" s="1"/>
  <c r="AB167" i="1"/>
  <c r="AC167" i="1" s="1"/>
  <c r="X167" i="1"/>
  <c r="K169" i="1"/>
  <c r="J169" i="1"/>
  <c r="Q169" i="1"/>
  <c r="R169" i="1" s="1"/>
  <c r="I169" i="1"/>
  <c r="L168" i="1"/>
  <c r="M168" i="1" s="1"/>
  <c r="P168" i="1" s="1"/>
  <c r="S168" i="1" s="1"/>
  <c r="AL167" i="1" l="1"/>
  <c r="AK167" i="1"/>
  <c r="AK166" i="1"/>
  <c r="AL166" i="1"/>
  <c r="W166" i="1"/>
  <c r="AD166" i="1"/>
  <c r="AE166" i="1" s="1"/>
  <c r="N168" i="1"/>
  <c r="O168" i="1" s="1"/>
  <c r="AF166" i="1"/>
  <c r="AG166" i="1" s="1"/>
  <c r="U169" i="1"/>
  <c r="V169" i="1" s="1"/>
  <c r="X168" i="1"/>
  <c r="AB168" i="1"/>
  <c r="AC168" i="1" s="1"/>
  <c r="AH166" i="1"/>
  <c r="L169" i="1"/>
  <c r="M169" i="1" s="1"/>
  <c r="P169" i="1" s="1"/>
  <c r="K170" i="1"/>
  <c r="J170" i="1"/>
  <c r="I170" i="1"/>
  <c r="Q170" i="1"/>
  <c r="R170" i="1" s="1"/>
  <c r="D172" i="1"/>
  <c r="F171" i="1"/>
  <c r="G171" i="1" s="1"/>
  <c r="T168" i="1"/>
  <c r="W167" i="1"/>
  <c r="AA167" i="1" s="1"/>
  <c r="AM167" i="1" s="1"/>
  <c r="AD167" i="1"/>
  <c r="AE167" i="1" s="1"/>
  <c r="AO167" i="1" l="1"/>
  <c r="AN167" i="1"/>
  <c r="AA166" i="1"/>
  <c r="AM166" i="1" s="1"/>
  <c r="Z166" i="1"/>
  <c r="AK168" i="1"/>
  <c r="AL168" i="1"/>
  <c r="Y166" i="1"/>
  <c r="S169" i="1"/>
  <c r="T169" i="1"/>
  <c r="U170" i="1"/>
  <c r="V170" i="1" s="1"/>
  <c r="AH167" i="1"/>
  <c r="L170" i="1"/>
  <c r="M170" i="1" s="1"/>
  <c r="P170" i="1" s="1"/>
  <c r="S170" i="1" s="1"/>
  <c r="Y167" i="1"/>
  <c r="AF167" i="1"/>
  <c r="AG167" i="1" s="1"/>
  <c r="W168" i="1"/>
  <c r="AA168" i="1" s="1"/>
  <c r="AM168" i="1" s="1"/>
  <c r="AD168" i="1"/>
  <c r="AE168" i="1" s="1"/>
  <c r="X169" i="1"/>
  <c r="AB169" i="1"/>
  <c r="AC169" i="1" s="1"/>
  <c r="Z167" i="1"/>
  <c r="K171" i="1"/>
  <c r="I171" i="1"/>
  <c r="J171" i="1"/>
  <c r="Q171" i="1"/>
  <c r="R171" i="1" s="1"/>
  <c r="N169" i="1"/>
  <c r="O169" i="1" s="1"/>
  <c r="F172" i="1"/>
  <c r="G172" i="1" s="1"/>
  <c r="D173" i="1"/>
  <c r="AK169" i="1" l="1"/>
  <c r="AL169" i="1"/>
  <c r="AO166" i="1"/>
  <c r="AN166" i="1"/>
  <c r="AO168" i="1"/>
  <c r="AN168" i="1"/>
  <c r="N170" i="1"/>
  <c r="O170" i="1" s="1"/>
  <c r="AH168" i="1"/>
  <c r="T170" i="1"/>
  <c r="F173" i="1"/>
  <c r="G173" i="1" s="1"/>
  <c r="D174" i="1"/>
  <c r="Y168" i="1"/>
  <c r="AB170" i="1"/>
  <c r="AC170" i="1" s="1"/>
  <c r="X170" i="1"/>
  <c r="K172" i="1"/>
  <c r="I172" i="1"/>
  <c r="J172" i="1"/>
  <c r="Q172" i="1"/>
  <c r="R172" i="1" s="1"/>
  <c r="W169" i="1"/>
  <c r="AA169" i="1" s="1"/>
  <c r="AM169" i="1" s="1"/>
  <c r="AD169" i="1"/>
  <c r="AE169" i="1" s="1"/>
  <c r="U171" i="1"/>
  <c r="V171" i="1" s="1"/>
  <c r="L171" i="1"/>
  <c r="N171" i="1" s="1"/>
  <c r="O171" i="1" s="1"/>
  <c r="Z168" i="1"/>
  <c r="AF168" i="1"/>
  <c r="AG168" i="1" s="1"/>
  <c r="AK170" i="1" l="1"/>
  <c r="AL170" i="1"/>
  <c r="AN169" i="1"/>
  <c r="AO169" i="1"/>
  <c r="M171" i="1"/>
  <c r="P171" i="1" s="1"/>
  <c r="S171" i="1" s="1"/>
  <c r="AF169" i="1"/>
  <c r="AG169" i="1" s="1"/>
  <c r="Y169" i="1"/>
  <c r="K173" i="1"/>
  <c r="J173" i="1"/>
  <c r="I173" i="1"/>
  <c r="Q173" i="1"/>
  <c r="R173" i="1" s="1"/>
  <c r="AB171" i="1"/>
  <c r="AC171" i="1" s="1"/>
  <c r="X171" i="1"/>
  <c r="AH169" i="1"/>
  <c r="Z169" i="1"/>
  <c r="U172" i="1"/>
  <c r="V172" i="1" s="1"/>
  <c r="F174" i="1"/>
  <c r="G174" i="1" s="1"/>
  <c r="D175" i="1"/>
  <c r="L172" i="1"/>
  <c r="N172" i="1" s="1"/>
  <c r="O172" i="1" s="1"/>
  <c r="W170" i="1"/>
  <c r="AA170" i="1" s="1"/>
  <c r="AM170" i="1" s="1"/>
  <c r="AD170" i="1"/>
  <c r="AE170" i="1" s="1"/>
  <c r="AO170" i="1" l="1"/>
  <c r="AN170" i="1"/>
  <c r="T171" i="1"/>
  <c r="M172" i="1"/>
  <c r="P172" i="1" s="1"/>
  <c r="L173" i="1"/>
  <c r="M173" i="1" s="1"/>
  <c r="P173" i="1" s="1"/>
  <c r="N173" i="1"/>
  <c r="O173" i="1"/>
  <c r="Z170" i="1"/>
  <c r="Y170" i="1"/>
  <c r="F175" i="1"/>
  <c r="G175" i="1" s="1"/>
  <c r="D176" i="1"/>
  <c r="W171" i="1"/>
  <c r="AA171" i="1" s="1"/>
  <c r="AM171" i="1" s="1"/>
  <c r="AD171" i="1"/>
  <c r="AE171" i="1" s="1"/>
  <c r="AH170" i="1"/>
  <c r="K174" i="1"/>
  <c r="I174" i="1"/>
  <c r="J174" i="1"/>
  <c r="Q174" i="1"/>
  <c r="R174" i="1" s="1"/>
  <c r="AF170" i="1"/>
  <c r="AG170" i="1" s="1"/>
  <c r="X172" i="1"/>
  <c r="AB172" i="1"/>
  <c r="AC172" i="1" s="1"/>
  <c r="U173" i="1"/>
  <c r="V173" i="1" s="1"/>
  <c r="AN171" i="1" l="1"/>
  <c r="AO171" i="1"/>
  <c r="AH171" i="1"/>
  <c r="AL171" i="1"/>
  <c r="AK171" i="1"/>
  <c r="S172" i="1"/>
  <c r="T172" i="1"/>
  <c r="Z171" i="1"/>
  <c r="Y171" i="1"/>
  <c r="S173" i="1"/>
  <c r="T173" i="1"/>
  <c r="L174" i="1"/>
  <c r="N174" i="1" s="1"/>
  <c r="O174" i="1" s="1"/>
  <c r="F176" i="1"/>
  <c r="G176" i="1" s="1"/>
  <c r="D177" i="1"/>
  <c r="AF171" i="1"/>
  <c r="AG171" i="1" s="1"/>
  <c r="K175" i="1"/>
  <c r="I175" i="1"/>
  <c r="Q175" i="1"/>
  <c r="R175" i="1" s="1"/>
  <c r="J175" i="1"/>
  <c r="X173" i="1"/>
  <c r="AB173" i="1"/>
  <c r="AC173" i="1" s="1"/>
  <c r="U174" i="1"/>
  <c r="V174" i="1" s="1"/>
  <c r="W172" i="1" l="1"/>
  <c r="AK172" i="1"/>
  <c r="AL172" i="1"/>
  <c r="AD172" i="1"/>
  <c r="AE172" i="1" s="1"/>
  <c r="AF172" i="1" s="1"/>
  <c r="AG172" i="1" s="1"/>
  <c r="AL173" i="1"/>
  <c r="AK173" i="1"/>
  <c r="M174" i="1"/>
  <c r="P174" i="1" s="1"/>
  <c r="S174" i="1" s="1"/>
  <c r="AH172" i="1"/>
  <c r="U175" i="1"/>
  <c r="V175" i="1" s="1"/>
  <c r="D178" i="1"/>
  <c r="F177" i="1"/>
  <c r="G177" i="1" s="1"/>
  <c r="AB174" i="1"/>
  <c r="AC174" i="1" s="1"/>
  <c r="X174" i="1"/>
  <c r="K176" i="1"/>
  <c r="I176" i="1"/>
  <c r="J176" i="1"/>
  <c r="Q176" i="1"/>
  <c r="R176" i="1" s="1"/>
  <c r="W173" i="1"/>
  <c r="AA173" i="1" s="1"/>
  <c r="AM173" i="1" s="1"/>
  <c r="AD173" i="1"/>
  <c r="AE173" i="1" s="1"/>
  <c r="L175" i="1"/>
  <c r="M175" i="1" s="1"/>
  <c r="P175" i="1" s="1"/>
  <c r="T174" i="1" l="1"/>
  <c r="AN173" i="1"/>
  <c r="AO173" i="1"/>
  <c r="AA172" i="1"/>
  <c r="AM172" i="1" s="1"/>
  <c r="Y172" i="1"/>
  <c r="Z172" i="1"/>
  <c r="N175" i="1"/>
  <c r="O175" i="1" s="1"/>
  <c r="Y173" i="1"/>
  <c r="AH173" i="1"/>
  <c r="S175" i="1"/>
  <c r="T175" i="1"/>
  <c r="L176" i="1"/>
  <c r="N176" i="1" s="1"/>
  <c r="O176" i="1" s="1"/>
  <c r="AF173" i="1"/>
  <c r="AG173" i="1" s="1"/>
  <c r="D179" i="1"/>
  <c r="F178" i="1"/>
  <c r="G178" i="1" s="1"/>
  <c r="U176" i="1"/>
  <c r="V176" i="1" s="1"/>
  <c r="K177" i="1"/>
  <c r="J177" i="1"/>
  <c r="I177" i="1"/>
  <c r="Q177" i="1"/>
  <c r="R177" i="1" s="1"/>
  <c r="W174" i="1"/>
  <c r="AA174" i="1" s="1"/>
  <c r="AM174" i="1" s="1"/>
  <c r="AD174" i="1"/>
  <c r="AE174" i="1" s="1"/>
  <c r="Z173" i="1"/>
  <c r="X175" i="1"/>
  <c r="AB175" i="1"/>
  <c r="AC175" i="1" s="1"/>
  <c r="AN172" i="1" l="1"/>
  <c r="AO172" i="1"/>
  <c r="AK174" i="1"/>
  <c r="AL174" i="1"/>
  <c r="AL175" i="1"/>
  <c r="AK175" i="1"/>
  <c r="AO174" i="1"/>
  <c r="AN174" i="1"/>
  <c r="M176" i="1"/>
  <c r="P176" i="1" s="1"/>
  <c r="S176" i="1" s="1"/>
  <c r="L177" i="1"/>
  <c r="N177" i="1" s="1"/>
  <c r="O177" i="1" s="1"/>
  <c r="F179" i="1"/>
  <c r="G179" i="1" s="1"/>
  <c r="D180" i="1"/>
  <c r="AF174" i="1"/>
  <c r="AG174" i="1" s="1"/>
  <c r="T176" i="1"/>
  <c r="W175" i="1"/>
  <c r="AA175" i="1" s="1"/>
  <c r="AM175" i="1" s="1"/>
  <c r="AD175" i="1"/>
  <c r="AE175" i="1" s="1"/>
  <c r="X176" i="1"/>
  <c r="AB176" i="1"/>
  <c r="AC176" i="1" s="1"/>
  <c r="AH174" i="1"/>
  <c r="Z174" i="1"/>
  <c r="U177" i="1"/>
  <c r="V177" i="1" s="1"/>
  <c r="Y174" i="1"/>
  <c r="M177" i="1"/>
  <c r="P177" i="1" s="1"/>
  <c r="S177" i="1" s="1"/>
  <c r="K178" i="1"/>
  <c r="J178" i="1"/>
  <c r="I178" i="1"/>
  <c r="Q178" i="1"/>
  <c r="R178" i="1" s="1"/>
  <c r="AN175" i="1" l="1"/>
  <c r="AO175" i="1"/>
  <c r="AK176" i="1"/>
  <c r="AL176" i="1"/>
  <c r="Y175" i="1"/>
  <c r="AF175" i="1"/>
  <c r="AG175" i="1" s="1"/>
  <c r="Z175" i="1"/>
  <c r="X177" i="1"/>
  <c r="AB177" i="1"/>
  <c r="AC177" i="1" s="1"/>
  <c r="L178" i="1"/>
  <c r="N178" i="1" s="1"/>
  <c r="O178" i="1" s="1"/>
  <c r="F180" i="1"/>
  <c r="G180" i="1" s="1"/>
  <c r="D181" i="1"/>
  <c r="T177" i="1"/>
  <c r="AH175" i="1"/>
  <c r="K179" i="1"/>
  <c r="Q179" i="1"/>
  <c r="R179" i="1" s="1"/>
  <c r="I179" i="1"/>
  <c r="J179" i="1"/>
  <c r="W176" i="1"/>
  <c r="AA176" i="1" s="1"/>
  <c r="AM176" i="1" s="1"/>
  <c r="AD176" i="1"/>
  <c r="AE176" i="1" s="1"/>
  <c r="U178" i="1"/>
  <c r="V178" i="1" s="1"/>
  <c r="AK177" i="1" l="1"/>
  <c r="AL177" i="1"/>
  <c r="AN176" i="1"/>
  <c r="AO176" i="1"/>
  <c r="X178" i="1"/>
  <c r="AB178" i="1"/>
  <c r="AC178" i="1" s="1"/>
  <c r="AF176" i="1"/>
  <c r="AG176" i="1" s="1"/>
  <c r="F181" i="1"/>
  <c r="G181" i="1" s="1"/>
  <c r="D182" i="1"/>
  <c r="K180" i="1"/>
  <c r="Q180" i="1"/>
  <c r="R180" i="1" s="1"/>
  <c r="I180" i="1"/>
  <c r="J180" i="1"/>
  <c r="L179" i="1"/>
  <c r="M179" i="1" s="1"/>
  <c r="P179" i="1" s="1"/>
  <c r="Y176" i="1"/>
  <c r="Z176" i="1"/>
  <c r="W177" i="1"/>
  <c r="AA177" i="1" s="1"/>
  <c r="AM177" i="1" s="1"/>
  <c r="AD177" i="1"/>
  <c r="AE177" i="1" s="1"/>
  <c r="U179" i="1"/>
  <c r="V179" i="1" s="1"/>
  <c r="M178" i="1"/>
  <c r="P178" i="1" s="1"/>
  <c r="AH176" i="1"/>
  <c r="AO177" i="1" l="1"/>
  <c r="AN177" i="1"/>
  <c r="Y177" i="1"/>
  <c r="S179" i="1"/>
  <c r="T179" i="1"/>
  <c r="S178" i="1"/>
  <c r="T178" i="1"/>
  <c r="N179" i="1"/>
  <c r="O179" i="1" s="1"/>
  <c r="F182" i="1"/>
  <c r="G182" i="1" s="1"/>
  <c r="D183" i="1"/>
  <c r="K181" i="1"/>
  <c r="Q181" i="1"/>
  <c r="R181" i="1" s="1"/>
  <c r="I181" i="1"/>
  <c r="J181" i="1"/>
  <c r="AF177" i="1"/>
  <c r="AG177" i="1" s="1"/>
  <c r="U180" i="1"/>
  <c r="V180" i="1" s="1"/>
  <c r="X179" i="1"/>
  <c r="AB179" i="1"/>
  <c r="AC179" i="1" s="1"/>
  <c r="L180" i="1"/>
  <c r="N180" i="1" s="1"/>
  <c r="O180" i="1" s="1"/>
  <c r="Z177" i="1"/>
  <c r="AH177" i="1"/>
  <c r="AK178" i="1" l="1"/>
  <c r="AL178" i="1"/>
  <c r="AK179" i="1"/>
  <c r="AL179" i="1"/>
  <c r="AB180" i="1"/>
  <c r="AC180" i="1" s="1"/>
  <c r="X180" i="1"/>
  <c r="M180" i="1"/>
  <c r="P180" i="1" s="1"/>
  <c r="W178" i="1"/>
  <c r="AD178" i="1"/>
  <c r="L181" i="1"/>
  <c r="N181" i="1" s="1"/>
  <c r="O181" i="1" s="1"/>
  <c r="W179" i="1"/>
  <c r="AA179" i="1" s="1"/>
  <c r="AM179" i="1" s="1"/>
  <c r="AD179" i="1"/>
  <c r="AE179" i="1" s="1"/>
  <c r="F183" i="1"/>
  <c r="G183" i="1" s="1"/>
  <c r="D184" i="1"/>
  <c r="K182" i="1"/>
  <c r="I182" i="1"/>
  <c r="J182" i="1"/>
  <c r="Q182" i="1"/>
  <c r="R182" i="1" s="1"/>
  <c r="U181" i="1"/>
  <c r="V181" i="1" s="1"/>
  <c r="AN179" i="1" l="1"/>
  <c r="AO179" i="1"/>
  <c r="AH179" i="1"/>
  <c r="Z179" i="1"/>
  <c r="Y179" i="1"/>
  <c r="X181" i="1"/>
  <c r="AB181" i="1"/>
  <c r="AC181" i="1" s="1"/>
  <c r="F184" i="1"/>
  <c r="G184" i="1" s="1"/>
  <c r="D185" i="1"/>
  <c r="M181" i="1"/>
  <c r="P181" i="1" s="1"/>
  <c r="AA178" i="1"/>
  <c r="AM178" i="1" s="1"/>
  <c r="Y178" i="1"/>
  <c r="Z178" i="1"/>
  <c r="K183" i="1"/>
  <c r="J183" i="1"/>
  <c r="Q183" i="1"/>
  <c r="R183" i="1" s="1"/>
  <c r="I183" i="1"/>
  <c r="AF179" i="1"/>
  <c r="AG179" i="1" s="1"/>
  <c r="L182" i="1"/>
  <c r="N182" i="1" s="1"/>
  <c r="O182" i="1" s="1"/>
  <c r="AE178" i="1"/>
  <c r="AH178" i="1"/>
  <c r="S180" i="1"/>
  <c r="T180" i="1"/>
  <c r="U182" i="1"/>
  <c r="V182" i="1" s="1"/>
  <c r="AO178" i="1" l="1"/>
  <c r="AN178" i="1"/>
  <c r="AK180" i="1"/>
  <c r="AL180" i="1"/>
  <c r="M182" i="1"/>
  <c r="P182" i="1" s="1"/>
  <c r="S182" i="1" s="1"/>
  <c r="AF178" i="1"/>
  <c r="AG178" i="1" s="1"/>
  <c r="S181" i="1"/>
  <c r="T181" i="1"/>
  <c r="W180" i="1"/>
  <c r="AD180" i="1"/>
  <c r="U183" i="1"/>
  <c r="V183" i="1" s="1"/>
  <c r="D186" i="1"/>
  <c r="F185" i="1"/>
  <c r="G185" i="1" s="1"/>
  <c r="L183" i="1"/>
  <c r="M183" i="1" s="1"/>
  <c r="P183" i="1" s="1"/>
  <c r="K184" i="1"/>
  <c r="Q184" i="1"/>
  <c r="R184" i="1" s="1"/>
  <c r="J184" i="1"/>
  <c r="I184" i="1"/>
  <c r="AB182" i="1"/>
  <c r="AC182" i="1" s="1"/>
  <c r="X182" i="1"/>
  <c r="AK181" i="1" l="1"/>
  <c r="AL181" i="1"/>
  <c r="T182" i="1"/>
  <c r="S183" i="1"/>
  <c r="T183" i="1"/>
  <c r="AA180" i="1"/>
  <c r="AM180" i="1" s="1"/>
  <c r="Z180" i="1"/>
  <c r="Y180" i="1"/>
  <c r="W181" i="1"/>
  <c r="AD181" i="1"/>
  <c r="K185" i="1"/>
  <c r="I185" i="1"/>
  <c r="J185" i="1"/>
  <c r="Q185" i="1"/>
  <c r="R185" i="1" s="1"/>
  <c r="AB183" i="1"/>
  <c r="AC183" i="1" s="1"/>
  <c r="X183" i="1"/>
  <c r="N183" i="1"/>
  <c r="O183" i="1" s="1"/>
  <c r="AE180" i="1"/>
  <c r="AH180" i="1"/>
  <c r="W182" i="1"/>
  <c r="AA182" i="1" s="1"/>
  <c r="AM182" i="1" s="1"/>
  <c r="AD182" i="1"/>
  <c r="AE182" i="1" s="1"/>
  <c r="L184" i="1"/>
  <c r="N184" i="1" s="1"/>
  <c r="O184" i="1" s="1"/>
  <c r="F186" i="1"/>
  <c r="G186" i="1" s="1"/>
  <c r="D187" i="1"/>
  <c r="U184" i="1"/>
  <c r="V184" i="1" s="1"/>
  <c r="AL183" i="1" l="1"/>
  <c r="AK183" i="1"/>
  <c r="AK182" i="1"/>
  <c r="AL182" i="1"/>
  <c r="AO180" i="1"/>
  <c r="AN180" i="1"/>
  <c r="AN182" i="1"/>
  <c r="AO182" i="1"/>
  <c r="AB184" i="1"/>
  <c r="AC184" i="1" s="1"/>
  <c r="X184" i="1"/>
  <c r="U185" i="1"/>
  <c r="V185" i="1" s="1"/>
  <c r="L185" i="1"/>
  <c r="N185" i="1" s="1"/>
  <c r="O185" i="1" s="1"/>
  <c r="M185" i="1"/>
  <c r="P185" i="1" s="1"/>
  <c r="S185" i="1" s="1"/>
  <c r="Z182" i="1"/>
  <c r="D188" i="1"/>
  <c r="F187" i="1"/>
  <c r="G187" i="1" s="1"/>
  <c r="AF180" i="1"/>
  <c r="AG180" i="1" s="1"/>
  <c r="K186" i="1"/>
  <c r="I186" i="1"/>
  <c r="J186" i="1"/>
  <c r="Q186" i="1"/>
  <c r="R186" i="1" s="1"/>
  <c r="W183" i="1"/>
  <c r="AA183" i="1" s="1"/>
  <c r="AM183" i="1" s="1"/>
  <c r="AD183" i="1"/>
  <c r="AE183" i="1" s="1"/>
  <c r="M184" i="1"/>
  <c r="P184" i="1" s="1"/>
  <c r="AF182" i="1"/>
  <c r="AG182" i="1" s="1"/>
  <c r="AE181" i="1"/>
  <c r="AH181" i="1"/>
  <c r="Y182" i="1"/>
  <c r="AA181" i="1"/>
  <c r="AM181" i="1" s="1"/>
  <c r="Z181" i="1"/>
  <c r="Y181" i="1"/>
  <c r="AH182" i="1"/>
  <c r="AN183" i="1" l="1"/>
  <c r="AO183" i="1"/>
  <c r="AN181" i="1"/>
  <c r="AO181" i="1"/>
  <c r="Z183" i="1"/>
  <c r="Y183" i="1"/>
  <c r="S184" i="1"/>
  <c r="T184" i="1"/>
  <c r="T185" i="1"/>
  <c r="K187" i="1"/>
  <c r="J187" i="1"/>
  <c r="I187" i="1"/>
  <c r="Q187" i="1"/>
  <c r="R187" i="1" s="1"/>
  <c r="AF181" i="1"/>
  <c r="AG181" i="1" s="1"/>
  <c r="X185" i="1"/>
  <c r="AB185" i="1"/>
  <c r="AC185" i="1" s="1"/>
  <c r="U186" i="1"/>
  <c r="V186" i="1" s="1"/>
  <c r="AF183" i="1"/>
  <c r="AG183" i="1" s="1"/>
  <c r="D189" i="1"/>
  <c r="F188" i="1"/>
  <c r="G188" i="1" s="1"/>
  <c r="AH183" i="1"/>
  <c r="L186" i="1"/>
  <c r="M186" i="1" s="1"/>
  <c r="P186" i="1" s="1"/>
  <c r="AK185" i="1" l="1"/>
  <c r="AL185" i="1"/>
  <c r="N186" i="1"/>
  <c r="O186" i="1" s="1"/>
  <c r="AK184" i="1"/>
  <c r="AL184" i="1"/>
  <c r="S186" i="1"/>
  <c r="T186" i="1"/>
  <c r="X186" i="1"/>
  <c r="AB186" i="1"/>
  <c r="AC186" i="1" s="1"/>
  <c r="K188" i="1"/>
  <c r="J188" i="1"/>
  <c r="I188" i="1"/>
  <c r="Q188" i="1"/>
  <c r="R188" i="1" s="1"/>
  <c r="U187" i="1"/>
  <c r="V187" i="1" s="1"/>
  <c r="L187" i="1"/>
  <c r="M187" i="1" s="1"/>
  <c r="P187" i="1" s="1"/>
  <c r="D190" i="1"/>
  <c r="F189" i="1"/>
  <c r="G189" i="1" s="1"/>
  <c r="W185" i="1"/>
  <c r="AA185" i="1" s="1"/>
  <c r="AM185" i="1" s="1"/>
  <c r="AD185" i="1"/>
  <c r="AE185" i="1" s="1"/>
  <c r="W184" i="1"/>
  <c r="AD184" i="1"/>
  <c r="AO185" i="1" l="1"/>
  <c r="AN185" i="1"/>
  <c r="AK186" i="1"/>
  <c r="AL186" i="1"/>
  <c r="S187" i="1"/>
  <c r="T187" i="1"/>
  <c r="AE184" i="1"/>
  <c r="AH184" i="1"/>
  <c r="AF185" i="1"/>
  <c r="AG185" i="1" s="1"/>
  <c r="U188" i="1"/>
  <c r="V188" i="1" s="1"/>
  <c r="AB187" i="1"/>
  <c r="AC187" i="1" s="1"/>
  <c r="X187" i="1"/>
  <c r="W186" i="1"/>
  <c r="AA186" i="1" s="1"/>
  <c r="AM186" i="1" s="1"/>
  <c r="AD186" i="1"/>
  <c r="AE186" i="1" s="1"/>
  <c r="F190" i="1"/>
  <c r="G190" i="1" s="1"/>
  <c r="D191" i="1"/>
  <c r="AA184" i="1"/>
  <c r="AM184" i="1" s="1"/>
  <c r="Z184" i="1"/>
  <c r="Y184" i="1"/>
  <c r="N187" i="1"/>
  <c r="O187" i="1" s="1"/>
  <c r="L188" i="1"/>
  <c r="M188" i="1" s="1"/>
  <c r="P188" i="1" s="1"/>
  <c r="AH186" i="1"/>
  <c r="AH185" i="1"/>
  <c r="Z185" i="1"/>
  <c r="K189" i="1"/>
  <c r="Q189" i="1"/>
  <c r="R189" i="1" s="1"/>
  <c r="J189" i="1"/>
  <c r="I189" i="1"/>
  <c r="Y185" i="1"/>
  <c r="AO186" i="1" l="1"/>
  <c r="AN186" i="1"/>
  <c r="AK187" i="1"/>
  <c r="AL187" i="1"/>
  <c r="AN184" i="1"/>
  <c r="AO184" i="1"/>
  <c r="N188" i="1"/>
  <c r="O188" i="1" s="1"/>
  <c r="S188" i="1"/>
  <c r="T188" i="1"/>
  <c r="F191" i="1"/>
  <c r="G191" i="1" s="1"/>
  <c r="D192" i="1"/>
  <c r="AF186" i="1"/>
  <c r="AG186" i="1" s="1"/>
  <c r="U189" i="1"/>
  <c r="V189" i="1" s="1"/>
  <c r="K190" i="1"/>
  <c r="Q190" i="1"/>
  <c r="R190" i="1" s="1"/>
  <c r="J190" i="1"/>
  <c r="I190" i="1"/>
  <c r="L189" i="1"/>
  <c r="M189" i="1" s="1"/>
  <c r="P189" i="1" s="1"/>
  <c r="AF184" i="1"/>
  <c r="AG184" i="1" s="1"/>
  <c r="Y186" i="1"/>
  <c r="W187" i="1"/>
  <c r="AA187" i="1" s="1"/>
  <c r="AM187" i="1" s="1"/>
  <c r="AD187" i="1"/>
  <c r="AE187" i="1" s="1"/>
  <c r="Z186" i="1"/>
  <c r="X188" i="1"/>
  <c r="AB188" i="1"/>
  <c r="AC188" i="1" s="1"/>
  <c r="AN187" i="1" l="1"/>
  <c r="AO187" i="1"/>
  <c r="AK188" i="1"/>
  <c r="AL188" i="1"/>
  <c r="N189" i="1"/>
  <c r="O189" i="1" s="1"/>
  <c r="S189" i="1"/>
  <c r="T189" i="1"/>
  <c r="AF187" i="1"/>
  <c r="AG187" i="1" s="1"/>
  <c r="W188" i="1"/>
  <c r="AA188" i="1" s="1"/>
  <c r="AM188" i="1" s="1"/>
  <c r="AD188" i="1"/>
  <c r="AE188" i="1" s="1"/>
  <c r="X189" i="1"/>
  <c r="AB189" i="1"/>
  <c r="AC189" i="1" s="1"/>
  <c r="L190" i="1"/>
  <c r="N190" i="1" s="1"/>
  <c r="O190" i="1" s="1"/>
  <c r="U190" i="1"/>
  <c r="V190" i="1" s="1"/>
  <c r="F192" i="1"/>
  <c r="G192" i="1" s="1"/>
  <c r="D193" i="1"/>
  <c r="AH187" i="1"/>
  <c r="K191" i="1"/>
  <c r="I191" i="1"/>
  <c r="Q191" i="1"/>
  <c r="R191" i="1" s="1"/>
  <c r="J191" i="1"/>
  <c r="Y187" i="1"/>
  <c r="Z187" i="1"/>
  <c r="AK189" i="1" l="1"/>
  <c r="AL189" i="1"/>
  <c r="AN188" i="1"/>
  <c r="AO188" i="1"/>
  <c r="Y188" i="1"/>
  <c r="AB190" i="1"/>
  <c r="AC190" i="1" s="1"/>
  <c r="X190" i="1"/>
  <c r="AH188" i="1"/>
  <c r="M190" i="1"/>
  <c r="P190" i="1" s="1"/>
  <c r="K192" i="1"/>
  <c r="J192" i="1"/>
  <c r="Q192" i="1"/>
  <c r="R192" i="1" s="1"/>
  <c r="I192" i="1"/>
  <c r="L191" i="1"/>
  <c r="N191" i="1" s="1"/>
  <c r="O191" i="1" s="1"/>
  <c r="W189" i="1"/>
  <c r="AA189" i="1" s="1"/>
  <c r="AM189" i="1" s="1"/>
  <c r="AD189" i="1"/>
  <c r="AE189" i="1" s="1"/>
  <c r="AF188" i="1"/>
  <c r="AG188" i="1" s="1"/>
  <c r="Z188" i="1"/>
  <c r="U191" i="1"/>
  <c r="V191" i="1" s="1"/>
  <c r="F193" i="1"/>
  <c r="G193" i="1" s="1"/>
  <c r="D194" i="1"/>
  <c r="AN189" i="1" l="1"/>
  <c r="AO189" i="1"/>
  <c r="Z189" i="1"/>
  <c r="M191" i="1"/>
  <c r="P191" i="1" s="1"/>
  <c r="S191" i="1" s="1"/>
  <c r="Y189" i="1"/>
  <c r="U192" i="1"/>
  <c r="V192" i="1" s="1"/>
  <c r="L192" i="1"/>
  <c r="N192" i="1" s="1"/>
  <c r="O192" i="1" s="1"/>
  <c r="F194" i="1"/>
  <c r="G194" i="1" s="1"/>
  <c r="D195" i="1"/>
  <c r="S190" i="1"/>
  <c r="T190" i="1"/>
  <c r="K193" i="1"/>
  <c r="J193" i="1"/>
  <c r="Q193" i="1"/>
  <c r="R193" i="1" s="1"/>
  <c r="I193" i="1"/>
  <c r="AF189" i="1"/>
  <c r="AG189" i="1" s="1"/>
  <c r="AH189" i="1"/>
  <c r="X191" i="1"/>
  <c r="AB191" i="1"/>
  <c r="AC191" i="1" s="1"/>
  <c r="AK190" i="1" l="1"/>
  <c r="AL190" i="1"/>
  <c r="T191" i="1"/>
  <c r="M192" i="1"/>
  <c r="P192" i="1" s="1"/>
  <c r="S192" i="1" s="1"/>
  <c r="W191" i="1"/>
  <c r="AA191" i="1" s="1"/>
  <c r="AM191" i="1" s="1"/>
  <c r="AD191" i="1"/>
  <c r="AE191" i="1" s="1"/>
  <c r="K194" i="1"/>
  <c r="J194" i="1"/>
  <c r="I194" i="1"/>
  <c r="Q194" i="1"/>
  <c r="R194" i="1" s="1"/>
  <c r="F195" i="1"/>
  <c r="G195" i="1" s="1"/>
  <c r="D196" i="1"/>
  <c r="U193" i="1"/>
  <c r="V193" i="1" s="1"/>
  <c r="L193" i="1"/>
  <c r="N193" i="1" s="1"/>
  <c r="O193" i="1" s="1"/>
  <c r="X192" i="1"/>
  <c r="AB192" i="1"/>
  <c r="AC192" i="1" s="1"/>
  <c r="W190" i="1"/>
  <c r="AD190" i="1"/>
  <c r="AL191" i="1" l="1"/>
  <c r="AK191" i="1"/>
  <c r="AN191" i="1"/>
  <c r="AO191" i="1"/>
  <c r="T192" i="1"/>
  <c r="W192" i="1" s="1"/>
  <c r="AA192" i="1" s="1"/>
  <c r="AM192" i="1" s="1"/>
  <c r="AH191" i="1"/>
  <c r="Y191" i="1"/>
  <c r="Z191" i="1"/>
  <c r="X193" i="1"/>
  <c r="AB193" i="1"/>
  <c r="AC193" i="1" s="1"/>
  <c r="AD192" i="1"/>
  <c r="AE192" i="1" s="1"/>
  <c r="AA190" i="1"/>
  <c r="AM190" i="1" s="1"/>
  <c r="Z190" i="1"/>
  <c r="Y190" i="1"/>
  <c r="D197" i="1"/>
  <c r="F196" i="1"/>
  <c r="G196" i="1" s="1"/>
  <c r="K195" i="1"/>
  <c r="J195" i="1"/>
  <c r="I195" i="1"/>
  <c r="Q195" i="1"/>
  <c r="R195" i="1" s="1"/>
  <c r="AF191" i="1"/>
  <c r="AG191" i="1" s="1"/>
  <c r="U194" i="1"/>
  <c r="V194" i="1" s="1"/>
  <c r="AE190" i="1"/>
  <c r="AH190" i="1"/>
  <c r="M193" i="1"/>
  <c r="P193" i="1" s="1"/>
  <c r="L194" i="1"/>
  <c r="N194" i="1" s="1"/>
  <c r="O194" i="1" s="1"/>
  <c r="AN192" i="1" l="1"/>
  <c r="AO192" i="1"/>
  <c r="AO190" i="1"/>
  <c r="AN190" i="1"/>
  <c r="AK192" i="1"/>
  <c r="AL192" i="1"/>
  <c r="Z192" i="1"/>
  <c r="M194" i="1"/>
  <c r="P194" i="1" s="1"/>
  <c r="AF190" i="1"/>
  <c r="AG190" i="1" s="1"/>
  <c r="AH192" i="1"/>
  <c r="U195" i="1"/>
  <c r="V195" i="1" s="1"/>
  <c r="L195" i="1"/>
  <c r="M195" i="1" s="1"/>
  <c r="P195" i="1" s="1"/>
  <c r="S195" i="1" s="1"/>
  <c r="Y192" i="1"/>
  <c r="S193" i="1"/>
  <c r="T193" i="1"/>
  <c r="AF192" i="1"/>
  <c r="AG192" i="1" s="1"/>
  <c r="X194" i="1"/>
  <c r="AB194" i="1"/>
  <c r="AC194" i="1" s="1"/>
  <c r="K196" i="1"/>
  <c r="Q196" i="1"/>
  <c r="R196" i="1" s="1"/>
  <c r="J196" i="1"/>
  <c r="I196" i="1"/>
  <c r="F197" i="1"/>
  <c r="G197" i="1" s="1"/>
  <c r="D198" i="1"/>
  <c r="AL193" i="1" l="1"/>
  <c r="AK193" i="1"/>
  <c r="N195" i="1"/>
  <c r="O195" i="1" s="1"/>
  <c r="F198" i="1"/>
  <c r="G198" i="1" s="1"/>
  <c r="D199" i="1"/>
  <c r="K197" i="1"/>
  <c r="J197" i="1"/>
  <c r="I197" i="1"/>
  <c r="Q197" i="1"/>
  <c r="R197" i="1" s="1"/>
  <c r="AB195" i="1"/>
  <c r="AC195" i="1" s="1"/>
  <c r="X195" i="1"/>
  <c r="W193" i="1"/>
  <c r="AD193" i="1"/>
  <c r="T195" i="1"/>
  <c r="L196" i="1"/>
  <c r="N196" i="1" s="1"/>
  <c r="O196" i="1" s="1"/>
  <c r="U196" i="1"/>
  <c r="V196" i="1" s="1"/>
  <c r="S194" i="1"/>
  <c r="T194" i="1"/>
  <c r="AL195" i="1" l="1"/>
  <c r="AK195" i="1"/>
  <c r="AK194" i="1"/>
  <c r="AL194" i="1"/>
  <c r="W194" i="1"/>
  <c r="AD194" i="1"/>
  <c r="AE193" i="1"/>
  <c r="AH193" i="1"/>
  <c r="L197" i="1"/>
  <c r="M197" i="1" s="1"/>
  <c r="P197" i="1" s="1"/>
  <c r="M196" i="1"/>
  <c r="P196" i="1" s="1"/>
  <c r="F199" i="1"/>
  <c r="G199" i="1" s="1"/>
  <c r="D200" i="1"/>
  <c r="W195" i="1"/>
  <c r="AA195" i="1" s="1"/>
  <c r="AM195" i="1" s="1"/>
  <c r="AD195" i="1"/>
  <c r="AE195" i="1" s="1"/>
  <c r="U197" i="1"/>
  <c r="V197" i="1" s="1"/>
  <c r="AA193" i="1"/>
  <c r="AM193" i="1" s="1"/>
  <c r="Y193" i="1"/>
  <c r="Z193" i="1"/>
  <c r="X196" i="1"/>
  <c r="AB196" i="1"/>
  <c r="AC196" i="1" s="1"/>
  <c r="K198" i="1"/>
  <c r="I198" i="1"/>
  <c r="Q198" i="1"/>
  <c r="R198" i="1" s="1"/>
  <c r="J198" i="1"/>
  <c r="AN195" i="1" l="1"/>
  <c r="AO195" i="1"/>
  <c r="AO193" i="1"/>
  <c r="AN193" i="1"/>
  <c r="N197" i="1"/>
  <c r="O197" i="1" s="1"/>
  <c r="S197" i="1"/>
  <c r="T197" i="1"/>
  <c r="AF195" i="1"/>
  <c r="AG195" i="1" s="1"/>
  <c r="F200" i="1"/>
  <c r="G200" i="1" s="1"/>
  <c r="D201" i="1"/>
  <c r="L198" i="1"/>
  <c r="N198" i="1" s="1"/>
  <c r="O198" i="1" s="1"/>
  <c r="K199" i="1"/>
  <c r="Q199" i="1"/>
  <c r="R199" i="1" s="1"/>
  <c r="J199" i="1"/>
  <c r="I199" i="1"/>
  <c r="U198" i="1"/>
  <c r="V198" i="1" s="1"/>
  <c r="AA194" i="1"/>
  <c r="AM194" i="1" s="1"/>
  <c r="Y194" i="1"/>
  <c r="Z194" i="1"/>
  <c r="Y195" i="1"/>
  <c r="Z195" i="1"/>
  <c r="AF193" i="1"/>
  <c r="AG193" i="1" s="1"/>
  <c r="AE194" i="1"/>
  <c r="AH194" i="1"/>
  <c r="X197" i="1"/>
  <c r="AB197" i="1"/>
  <c r="AC197" i="1" s="1"/>
  <c r="S196" i="1"/>
  <c r="T196" i="1"/>
  <c r="AH195" i="1"/>
  <c r="AO194" i="1" l="1"/>
  <c r="AN194" i="1"/>
  <c r="AK196" i="1"/>
  <c r="AL196" i="1"/>
  <c r="AK197" i="1"/>
  <c r="AL197" i="1"/>
  <c r="M198" i="1"/>
  <c r="P198" i="1" s="1"/>
  <c r="X198" i="1"/>
  <c r="AB198" i="1"/>
  <c r="AC198" i="1" s="1"/>
  <c r="L199" i="1"/>
  <c r="N199" i="1" s="1"/>
  <c r="O199" i="1" s="1"/>
  <c r="W196" i="1"/>
  <c r="AD196" i="1"/>
  <c r="U199" i="1"/>
  <c r="V199" i="1" s="1"/>
  <c r="AF194" i="1"/>
  <c r="AG194" i="1" s="1"/>
  <c r="W197" i="1"/>
  <c r="AA197" i="1" s="1"/>
  <c r="AM197" i="1" s="1"/>
  <c r="AD197" i="1"/>
  <c r="AE197" i="1" s="1"/>
  <c r="D202" i="1"/>
  <c r="F201" i="1"/>
  <c r="G201" i="1" s="1"/>
  <c r="K200" i="1"/>
  <c r="J200" i="1"/>
  <c r="Q200" i="1"/>
  <c r="R200" i="1" s="1"/>
  <c r="I200" i="1"/>
  <c r="Y197" i="1" l="1"/>
  <c r="AO197" i="1"/>
  <c r="AN197" i="1"/>
  <c r="M199" i="1"/>
  <c r="P199" i="1" s="1"/>
  <c r="S199" i="1" s="1"/>
  <c r="S198" i="1"/>
  <c r="T198" i="1"/>
  <c r="AH197" i="1"/>
  <c r="AA196" i="1"/>
  <c r="AM196" i="1" s="1"/>
  <c r="Y196" i="1"/>
  <c r="Z196" i="1"/>
  <c r="K201" i="1"/>
  <c r="Q201" i="1"/>
  <c r="R201" i="1" s="1"/>
  <c r="I201" i="1"/>
  <c r="J201" i="1"/>
  <c r="F202" i="1"/>
  <c r="G202" i="1" s="1"/>
  <c r="D203" i="1"/>
  <c r="AF197" i="1"/>
  <c r="AG197" i="1" s="1"/>
  <c r="U200" i="1"/>
  <c r="V200" i="1" s="1"/>
  <c r="AE196" i="1"/>
  <c r="AH196" i="1"/>
  <c r="L200" i="1"/>
  <c r="M200" i="1" s="1"/>
  <c r="P200" i="1" s="1"/>
  <c r="Z197" i="1"/>
  <c r="X199" i="1"/>
  <c r="AB199" i="1"/>
  <c r="AC199" i="1" s="1"/>
  <c r="AN196" i="1" l="1"/>
  <c r="AO196" i="1"/>
  <c r="T199" i="1"/>
  <c r="AK198" i="1"/>
  <c r="AL198" i="1"/>
  <c r="W198" i="1"/>
  <c r="AD198" i="1"/>
  <c r="N200" i="1"/>
  <c r="O200" i="1" s="1"/>
  <c r="S200" i="1"/>
  <c r="T200" i="1"/>
  <c r="D204" i="1"/>
  <c r="F203" i="1"/>
  <c r="G203" i="1" s="1"/>
  <c r="K202" i="1"/>
  <c r="J202" i="1"/>
  <c r="I202" i="1"/>
  <c r="Q202" i="1"/>
  <c r="R202" i="1" s="1"/>
  <c r="L201" i="1"/>
  <c r="M201" i="1" s="1"/>
  <c r="P201" i="1" s="1"/>
  <c r="S201" i="1" s="1"/>
  <c r="N201" i="1"/>
  <c r="O201" i="1" s="1"/>
  <c r="U201" i="1"/>
  <c r="V201" i="1" s="1"/>
  <c r="W199" i="1"/>
  <c r="AA199" i="1" s="1"/>
  <c r="AM199" i="1" s="1"/>
  <c r="AD199" i="1"/>
  <c r="AE199" i="1" s="1"/>
  <c r="AF196" i="1"/>
  <c r="AG196" i="1" s="1"/>
  <c r="AB200" i="1"/>
  <c r="AC200" i="1" s="1"/>
  <c r="X200" i="1"/>
  <c r="AK199" i="1" l="1"/>
  <c r="AL199" i="1"/>
  <c r="AO199" i="1"/>
  <c r="AN199" i="1"/>
  <c r="AK200" i="1"/>
  <c r="AL200" i="1"/>
  <c r="AE198" i="1"/>
  <c r="AF198" i="1" s="1"/>
  <c r="AG198" i="1" s="1"/>
  <c r="AH198" i="1"/>
  <c r="AA198" i="1"/>
  <c r="AM198" i="1" s="1"/>
  <c r="Y198" i="1"/>
  <c r="Z198" i="1"/>
  <c r="AH199" i="1"/>
  <c r="K203" i="1"/>
  <c r="Q203" i="1"/>
  <c r="R203" i="1" s="1"/>
  <c r="J203" i="1"/>
  <c r="I203" i="1"/>
  <c r="X201" i="1"/>
  <c r="AB201" i="1"/>
  <c r="AC201" i="1" s="1"/>
  <c r="Z199" i="1"/>
  <c r="W200" i="1"/>
  <c r="AA200" i="1" s="1"/>
  <c r="AM200" i="1" s="1"/>
  <c r="AD200" i="1"/>
  <c r="AE200" i="1" s="1"/>
  <c r="AF199" i="1"/>
  <c r="AG199" i="1" s="1"/>
  <c r="L202" i="1"/>
  <c r="M202" i="1" s="1"/>
  <c r="P202" i="1" s="1"/>
  <c r="T201" i="1"/>
  <c r="Y199" i="1"/>
  <c r="D205" i="1"/>
  <c r="F204" i="1"/>
  <c r="G204" i="1" s="1"/>
  <c r="U202" i="1"/>
  <c r="V202" i="1" s="1"/>
  <c r="AO198" i="1" l="1"/>
  <c r="AN198" i="1"/>
  <c r="AN200" i="1"/>
  <c r="AO200" i="1"/>
  <c r="AK201" i="1"/>
  <c r="AL201" i="1"/>
  <c r="Z200" i="1"/>
  <c r="S202" i="1"/>
  <c r="T202" i="1"/>
  <c r="X202" i="1"/>
  <c r="AB202" i="1"/>
  <c r="AC202" i="1" s="1"/>
  <c r="Z201" i="1"/>
  <c r="Y201" i="1"/>
  <c r="M203" i="1"/>
  <c r="P203" i="1" s="1"/>
  <c r="S203" i="1" s="1"/>
  <c r="L203" i="1"/>
  <c r="N203" i="1" s="1"/>
  <c r="O203" i="1" s="1"/>
  <c r="U203" i="1"/>
  <c r="V203" i="1" s="1"/>
  <c r="W201" i="1"/>
  <c r="AA201" i="1" s="1"/>
  <c r="AM201" i="1" s="1"/>
  <c r="AD201" i="1"/>
  <c r="AE201" i="1" s="1"/>
  <c r="AH200" i="1"/>
  <c r="AH201" i="1"/>
  <c r="K204" i="1"/>
  <c r="I204" i="1"/>
  <c r="Q204" i="1"/>
  <c r="R204" i="1" s="1"/>
  <c r="J204" i="1"/>
  <c r="N202" i="1"/>
  <c r="O202" i="1" s="1"/>
  <c r="F205" i="1"/>
  <c r="G205" i="1" s="1"/>
  <c r="D206" i="1"/>
  <c r="AF200" i="1"/>
  <c r="AG200" i="1" s="1"/>
  <c r="Y200" i="1"/>
  <c r="AO201" i="1" l="1"/>
  <c r="AN201" i="1"/>
  <c r="AK202" i="1"/>
  <c r="AL202" i="1"/>
  <c r="AF201" i="1"/>
  <c r="AG201" i="1" s="1"/>
  <c r="L204" i="1"/>
  <c r="N204" i="1" s="1"/>
  <c r="O204" i="1" s="1"/>
  <c r="U204" i="1"/>
  <c r="V204" i="1" s="1"/>
  <c r="AB203" i="1"/>
  <c r="AC203" i="1" s="1"/>
  <c r="X203" i="1"/>
  <c r="W202" i="1"/>
  <c r="AA202" i="1" s="1"/>
  <c r="AM202" i="1" s="1"/>
  <c r="AD202" i="1"/>
  <c r="AE202" i="1" s="1"/>
  <c r="F206" i="1"/>
  <c r="G206" i="1" s="1"/>
  <c r="D207" i="1"/>
  <c r="K205" i="1"/>
  <c r="J205" i="1"/>
  <c r="I205" i="1"/>
  <c r="Q205" i="1"/>
  <c r="R205" i="1" s="1"/>
  <c r="T203" i="1"/>
  <c r="AK203" i="1" l="1"/>
  <c r="AL203" i="1"/>
  <c r="AO202" i="1"/>
  <c r="AN202" i="1"/>
  <c r="Y202" i="1"/>
  <c r="Z202" i="1"/>
  <c r="M204" i="1"/>
  <c r="P204" i="1" s="1"/>
  <c r="S204" i="1" s="1"/>
  <c r="X204" i="1"/>
  <c r="AB204" i="1"/>
  <c r="AC204" i="1" s="1"/>
  <c r="AH202" i="1"/>
  <c r="F207" i="1"/>
  <c r="G207" i="1" s="1"/>
  <c r="D208" i="1"/>
  <c r="K206" i="1"/>
  <c r="I206" i="1"/>
  <c r="J206" i="1"/>
  <c r="Q206" i="1"/>
  <c r="R206" i="1" s="1"/>
  <c r="W203" i="1"/>
  <c r="AA203" i="1" s="1"/>
  <c r="AM203" i="1" s="1"/>
  <c r="AD203" i="1"/>
  <c r="AE203" i="1" s="1"/>
  <c r="L205" i="1"/>
  <c r="M205" i="1" s="1"/>
  <c r="P205" i="1" s="1"/>
  <c r="AF202" i="1"/>
  <c r="AG202" i="1" s="1"/>
  <c r="U205" i="1"/>
  <c r="V205" i="1" s="1"/>
  <c r="AN203" i="1" l="1"/>
  <c r="AO203" i="1"/>
  <c r="T204" i="1"/>
  <c r="AD204" i="1"/>
  <c r="AE204" i="1" s="1"/>
  <c r="AF204" i="1" s="1"/>
  <c r="AG204" i="1" s="1"/>
  <c r="AH203" i="1"/>
  <c r="Z203" i="1"/>
  <c r="S205" i="1"/>
  <c r="T205" i="1"/>
  <c r="N205" i="1"/>
  <c r="O205" i="1" s="1"/>
  <c r="X205" i="1"/>
  <c r="AB205" i="1"/>
  <c r="AC205" i="1" s="1"/>
  <c r="AF203" i="1"/>
  <c r="AG203" i="1" s="1"/>
  <c r="D209" i="1"/>
  <c r="F208" i="1"/>
  <c r="G208" i="1" s="1"/>
  <c r="Y203" i="1"/>
  <c r="K207" i="1"/>
  <c r="J207" i="1"/>
  <c r="Q207" i="1"/>
  <c r="R207" i="1" s="1"/>
  <c r="I207" i="1"/>
  <c r="U206" i="1"/>
  <c r="V206" i="1" s="1"/>
  <c r="L206" i="1"/>
  <c r="N206" i="1" s="1"/>
  <c r="O206" i="1" s="1"/>
  <c r="AH204" i="1"/>
  <c r="W204" i="1" l="1"/>
  <c r="AL204" i="1"/>
  <c r="AK204" i="1"/>
  <c r="M206" i="1"/>
  <c r="P206" i="1" s="1"/>
  <c r="S206" i="1" s="1"/>
  <c r="AK205" i="1"/>
  <c r="AL205" i="1"/>
  <c r="K208" i="1"/>
  <c r="Q208" i="1"/>
  <c r="R208" i="1" s="1"/>
  <c r="I208" i="1"/>
  <c r="J208" i="1"/>
  <c r="W205" i="1"/>
  <c r="AA205" i="1" s="1"/>
  <c r="AM205" i="1" s="1"/>
  <c r="AD205" i="1"/>
  <c r="AE205" i="1" s="1"/>
  <c r="U207" i="1"/>
  <c r="V207" i="1" s="1"/>
  <c r="L207" i="1"/>
  <c r="M207" i="1" s="1"/>
  <c r="P207" i="1" s="1"/>
  <c r="X206" i="1"/>
  <c r="AB206" i="1"/>
  <c r="AC206" i="1" s="1"/>
  <c r="F209" i="1"/>
  <c r="G209" i="1" s="1"/>
  <c r="D210" i="1"/>
  <c r="AN205" i="1" l="1"/>
  <c r="AO205" i="1"/>
  <c r="T206" i="1"/>
  <c r="AA204" i="1"/>
  <c r="AM204" i="1" s="1"/>
  <c r="Z204" i="1"/>
  <c r="Y204" i="1"/>
  <c r="S207" i="1"/>
  <c r="T207" i="1"/>
  <c r="L208" i="1"/>
  <c r="N208" i="1" s="1"/>
  <c r="O208" i="1" s="1"/>
  <c r="N207" i="1"/>
  <c r="O207" i="1" s="1"/>
  <c r="X207" i="1"/>
  <c r="AB207" i="1"/>
  <c r="AC207" i="1" s="1"/>
  <c r="K209" i="1"/>
  <c r="I209" i="1"/>
  <c r="J209" i="1"/>
  <c r="Q209" i="1"/>
  <c r="R209" i="1" s="1"/>
  <c r="Z205" i="1"/>
  <c r="M208" i="1"/>
  <c r="P208" i="1" s="1"/>
  <c r="S208" i="1" s="1"/>
  <c r="U208" i="1"/>
  <c r="V208" i="1" s="1"/>
  <c r="W206" i="1"/>
  <c r="AA206" i="1" s="1"/>
  <c r="AM206" i="1" s="1"/>
  <c r="AD206" i="1"/>
  <c r="AE206" i="1" s="1"/>
  <c r="F210" i="1"/>
  <c r="G210" i="1" s="1"/>
  <c r="D211" i="1"/>
  <c r="Y205" i="1"/>
  <c r="AF205" i="1"/>
  <c r="AG205" i="1" s="1"/>
  <c r="AH205" i="1"/>
  <c r="AK207" i="1" l="1"/>
  <c r="AL207" i="1"/>
  <c r="AN206" i="1"/>
  <c r="AO206" i="1"/>
  <c r="AN204" i="1"/>
  <c r="AO204" i="1"/>
  <c r="AL206" i="1"/>
  <c r="AK206" i="1"/>
  <c r="AH206" i="1"/>
  <c r="Z206" i="1"/>
  <c r="X208" i="1"/>
  <c r="AB208" i="1"/>
  <c r="AC208" i="1" s="1"/>
  <c r="D212" i="1"/>
  <c r="F211" i="1"/>
  <c r="G211" i="1" s="1"/>
  <c r="K210" i="1"/>
  <c r="Q210" i="1"/>
  <c r="R210" i="1" s="1"/>
  <c r="J210" i="1"/>
  <c r="I210" i="1"/>
  <c r="W207" i="1"/>
  <c r="AA207" i="1" s="1"/>
  <c r="AM207" i="1" s="1"/>
  <c r="AD207" i="1"/>
  <c r="AE207" i="1" s="1"/>
  <c r="U209" i="1"/>
  <c r="V209" i="1" s="1"/>
  <c r="L209" i="1"/>
  <c r="M209" i="1" s="1"/>
  <c r="P209" i="1" s="1"/>
  <c r="AF206" i="1"/>
  <c r="AG206" i="1" s="1"/>
  <c r="Y206" i="1"/>
  <c r="T208" i="1"/>
  <c r="AO207" i="1" l="1"/>
  <c r="AN207" i="1"/>
  <c r="AL208" i="1"/>
  <c r="AK208" i="1"/>
  <c r="N209" i="1"/>
  <c r="O209" i="1" s="1"/>
  <c r="AH207" i="1"/>
  <c r="S209" i="1"/>
  <c r="T209" i="1"/>
  <c r="AB209" i="1"/>
  <c r="AC209" i="1" s="1"/>
  <c r="X209" i="1"/>
  <c r="W208" i="1"/>
  <c r="AA208" i="1" s="1"/>
  <c r="AM208" i="1" s="1"/>
  <c r="AD208" i="1"/>
  <c r="AE208" i="1" s="1"/>
  <c r="Z207" i="1"/>
  <c r="L210" i="1"/>
  <c r="M210" i="1" s="1"/>
  <c r="P210" i="1" s="1"/>
  <c r="S210" i="1" s="1"/>
  <c r="N210" i="1"/>
  <c r="O210" i="1" s="1"/>
  <c r="K211" i="1"/>
  <c r="I211" i="1"/>
  <c r="Q211" i="1"/>
  <c r="R211" i="1" s="1"/>
  <c r="J211" i="1"/>
  <c r="AF207" i="1"/>
  <c r="AG207" i="1" s="1"/>
  <c r="F212" i="1"/>
  <c r="G212" i="1" s="1"/>
  <c r="D213" i="1"/>
  <c r="Y207" i="1"/>
  <c r="U210" i="1"/>
  <c r="V210" i="1" s="1"/>
  <c r="AN208" i="1" l="1"/>
  <c r="AO208" i="1"/>
  <c r="AK209" i="1"/>
  <c r="AL209" i="1"/>
  <c r="AH208" i="1"/>
  <c r="X210" i="1"/>
  <c r="AB210" i="1"/>
  <c r="AC210" i="1" s="1"/>
  <c r="U211" i="1"/>
  <c r="V211" i="1" s="1"/>
  <c r="Y208" i="1"/>
  <c r="AF208" i="1"/>
  <c r="AG208" i="1" s="1"/>
  <c r="F213" i="1"/>
  <c r="G213" i="1" s="1"/>
  <c r="D214" i="1"/>
  <c r="K212" i="1"/>
  <c r="I212" i="1"/>
  <c r="Q212" i="1"/>
  <c r="R212" i="1" s="1"/>
  <c r="J212" i="1"/>
  <c r="Z208" i="1"/>
  <c r="W209" i="1"/>
  <c r="AA209" i="1" s="1"/>
  <c r="AM209" i="1" s="1"/>
  <c r="AD209" i="1"/>
  <c r="AE209" i="1" s="1"/>
  <c r="T210" i="1"/>
  <c r="L211" i="1"/>
  <c r="M211" i="1" s="1"/>
  <c r="P211" i="1" s="1"/>
  <c r="AK210" i="1" l="1"/>
  <c r="AL210" i="1"/>
  <c r="AO209" i="1"/>
  <c r="AN209" i="1"/>
  <c r="S211" i="1"/>
  <c r="T211" i="1"/>
  <c r="L212" i="1"/>
  <c r="M212" i="1" s="1"/>
  <c r="P212" i="1" s="1"/>
  <c r="W210" i="1"/>
  <c r="AA210" i="1" s="1"/>
  <c r="AM210" i="1" s="1"/>
  <c r="AD210" i="1"/>
  <c r="AE210" i="1" s="1"/>
  <c r="N211" i="1"/>
  <c r="O211" i="1" s="1"/>
  <c r="AF209" i="1"/>
  <c r="AG209" i="1" s="1"/>
  <c r="AH209" i="1"/>
  <c r="F214" i="1"/>
  <c r="G214" i="1" s="1"/>
  <c r="D215" i="1"/>
  <c r="Z209" i="1"/>
  <c r="U212" i="1"/>
  <c r="V212" i="1" s="1"/>
  <c r="X211" i="1"/>
  <c r="AB211" i="1"/>
  <c r="AC211" i="1" s="1"/>
  <c r="K213" i="1"/>
  <c r="Q213" i="1"/>
  <c r="R213" i="1" s="1"/>
  <c r="J213" i="1"/>
  <c r="I213" i="1"/>
  <c r="Y209" i="1"/>
  <c r="AK211" i="1" l="1"/>
  <c r="AL211" i="1"/>
  <c r="AO210" i="1"/>
  <c r="AN210" i="1"/>
  <c r="N212" i="1"/>
  <c r="O212" i="1" s="1"/>
  <c r="AH210" i="1"/>
  <c r="S212" i="1"/>
  <c r="T212" i="1"/>
  <c r="AF210" i="1"/>
  <c r="AG210" i="1" s="1"/>
  <c r="Z210" i="1"/>
  <c r="L213" i="1"/>
  <c r="M213" i="1" s="1"/>
  <c r="P213" i="1" s="1"/>
  <c r="U213" i="1"/>
  <c r="V213" i="1" s="1"/>
  <c r="Y210" i="1"/>
  <c r="W211" i="1"/>
  <c r="AA211" i="1" s="1"/>
  <c r="AM211" i="1" s="1"/>
  <c r="AD211" i="1"/>
  <c r="AE211" i="1" s="1"/>
  <c r="F215" i="1"/>
  <c r="G215" i="1" s="1"/>
  <c r="D216" i="1"/>
  <c r="K214" i="1"/>
  <c r="I214" i="1"/>
  <c r="J214" i="1"/>
  <c r="Q214" i="1"/>
  <c r="R214" i="1" s="1"/>
  <c r="X212" i="1"/>
  <c r="AB212" i="1"/>
  <c r="AC212" i="1" s="1"/>
  <c r="AN211" i="1" l="1"/>
  <c r="AO211" i="1"/>
  <c r="AL212" i="1"/>
  <c r="AK212" i="1"/>
  <c r="N213" i="1"/>
  <c r="O213" i="1" s="1"/>
  <c r="S213" i="1"/>
  <c r="T213" i="1"/>
  <c r="AF211" i="1"/>
  <c r="AG211" i="1" s="1"/>
  <c r="AH211" i="1"/>
  <c r="U214" i="1"/>
  <c r="V214" i="1" s="1"/>
  <c r="Z211" i="1"/>
  <c r="F216" i="1"/>
  <c r="G216" i="1" s="1"/>
  <c r="D217" i="1"/>
  <c r="W212" i="1"/>
  <c r="AA212" i="1" s="1"/>
  <c r="AM212" i="1" s="1"/>
  <c r="AD212" i="1"/>
  <c r="AE212" i="1" s="1"/>
  <c r="L214" i="1"/>
  <c r="N214" i="1" s="1"/>
  <c r="O214" i="1" s="1"/>
  <c r="Y211" i="1"/>
  <c r="K215" i="1"/>
  <c r="I215" i="1"/>
  <c r="Q215" i="1"/>
  <c r="R215" i="1" s="1"/>
  <c r="J215" i="1"/>
  <c r="AB213" i="1"/>
  <c r="AC213" i="1" s="1"/>
  <c r="X213" i="1"/>
  <c r="AK213" i="1" l="1"/>
  <c r="AL213" i="1"/>
  <c r="AN212" i="1"/>
  <c r="AO212" i="1"/>
  <c r="Y212" i="1"/>
  <c r="Z212" i="1"/>
  <c r="L215" i="1"/>
  <c r="N215" i="1" s="1"/>
  <c r="O215" i="1" s="1"/>
  <c r="U215" i="1"/>
  <c r="V215" i="1" s="1"/>
  <c r="AF212" i="1"/>
  <c r="AG212" i="1" s="1"/>
  <c r="F217" i="1"/>
  <c r="G217" i="1" s="1"/>
  <c r="D218" i="1"/>
  <c r="M214" i="1"/>
  <c r="P214" i="1" s="1"/>
  <c r="K216" i="1"/>
  <c r="Q216" i="1"/>
  <c r="R216" i="1" s="1"/>
  <c r="J216" i="1"/>
  <c r="I216" i="1"/>
  <c r="W213" i="1"/>
  <c r="AA213" i="1" s="1"/>
  <c r="AM213" i="1" s="1"/>
  <c r="AD213" i="1"/>
  <c r="AE213" i="1" s="1"/>
  <c r="AB214" i="1"/>
  <c r="AC214" i="1" s="1"/>
  <c r="X214" i="1"/>
  <c r="AH212" i="1"/>
  <c r="AN213" i="1" l="1"/>
  <c r="AO213" i="1"/>
  <c r="M215" i="1"/>
  <c r="P215" i="1" s="1"/>
  <c r="S215" i="1" s="1"/>
  <c r="AH213" i="1"/>
  <c r="L216" i="1"/>
  <c r="N216" i="1" s="1"/>
  <c r="O216" i="1" s="1"/>
  <c r="U216" i="1"/>
  <c r="V216" i="1" s="1"/>
  <c r="S214" i="1"/>
  <c r="T214" i="1"/>
  <c r="F218" i="1"/>
  <c r="G218" i="1" s="1"/>
  <c r="D219" i="1"/>
  <c r="M216" i="1"/>
  <c r="P216" i="1" s="1"/>
  <c r="S216" i="1" s="1"/>
  <c r="Z213" i="1"/>
  <c r="Y213" i="1"/>
  <c r="AB215" i="1"/>
  <c r="AC215" i="1" s="1"/>
  <c r="X215" i="1"/>
  <c r="AF213" i="1"/>
  <c r="AG213" i="1" s="1"/>
  <c r="K217" i="1"/>
  <c r="I217" i="1"/>
  <c r="J217" i="1"/>
  <c r="Q217" i="1"/>
  <c r="R217" i="1" s="1"/>
  <c r="AK214" i="1" l="1"/>
  <c r="AL214" i="1"/>
  <c r="T215" i="1"/>
  <c r="U217" i="1"/>
  <c r="V217" i="1" s="1"/>
  <c r="L217" i="1"/>
  <c r="N217" i="1" s="1"/>
  <c r="O217" i="1" s="1"/>
  <c r="W215" i="1"/>
  <c r="AA215" i="1" s="1"/>
  <c r="AM215" i="1" s="1"/>
  <c r="AD215" i="1"/>
  <c r="AE215" i="1" s="1"/>
  <c r="K218" i="1"/>
  <c r="Q218" i="1"/>
  <c r="R218" i="1" s="1"/>
  <c r="J218" i="1"/>
  <c r="I218" i="1"/>
  <c r="T216" i="1"/>
  <c r="W214" i="1"/>
  <c r="AD214" i="1"/>
  <c r="D220" i="1"/>
  <c r="F219" i="1"/>
  <c r="G219" i="1" s="1"/>
  <c r="AB216" i="1"/>
  <c r="AC216" i="1" s="1"/>
  <c r="X216" i="1"/>
  <c r="AK216" i="1" l="1"/>
  <c r="AL216" i="1"/>
  <c r="AO215" i="1"/>
  <c r="AN215" i="1"/>
  <c r="AK215" i="1"/>
  <c r="AL215" i="1"/>
  <c r="AE214" i="1"/>
  <c r="AH214" i="1"/>
  <c r="AF215" i="1"/>
  <c r="AG215" i="1" s="1"/>
  <c r="K219" i="1"/>
  <c r="J219" i="1"/>
  <c r="Q219" i="1"/>
  <c r="R219" i="1" s="1"/>
  <c r="I219" i="1"/>
  <c r="M217" i="1"/>
  <c r="P217" i="1" s="1"/>
  <c r="D221" i="1"/>
  <c r="F220" i="1"/>
  <c r="G220" i="1" s="1"/>
  <c r="L218" i="1"/>
  <c r="N218" i="1" s="1"/>
  <c r="O218" i="1" s="1"/>
  <c r="AA214" i="1"/>
  <c r="AM214" i="1" s="1"/>
  <c r="Z214" i="1"/>
  <c r="Y214" i="1"/>
  <c r="AH215" i="1"/>
  <c r="Z215" i="1"/>
  <c r="Y215" i="1"/>
  <c r="W216" i="1"/>
  <c r="AA216" i="1" s="1"/>
  <c r="AM216" i="1" s="1"/>
  <c r="AD216" i="1"/>
  <c r="AE216" i="1" s="1"/>
  <c r="U218" i="1"/>
  <c r="V218" i="1" s="1"/>
  <c r="AB217" i="1"/>
  <c r="AC217" i="1" s="1"/>
  <c r="X217" i="1"/>
  <c r="AO214" i="1" l="1"/>
  <c r="AN214" i="1"/>
  <c r="AN216" i="1"/>
  <c r="AO216" i="1"/>
  <c r="Z216" i="1"/>
  <c r="AH216" i="1"/>
  <c r="Y216" i="1"/>
  <c r="M218" i="1"/>
  <c r="P218" i="1" s="1"/>
  <c r="K220" i="1"/>
  <c r="I220" i="1"/>
  <c r="J220" i="1"/>
  <c r="Q220" i="1"/>
  <c r="R220" i="1" s="1"/>
  <c r="AB218" i="1"/>
  <c r="AC218" i="1" s="1"/>
  <c r="X218" i="1"/>
  <c r="L219" i="1"/>
  <c r="M219" i="1" s="1"/>
  <c r="P219" i="1" s="1"/>
  <c r="F221" i="1"/>
  <c r="G221" i="1" s="1"/>
  <c r="D222" i="1"/>
  <c r="S217" i="1"/>
  <c r="T217" i="1"/>
  <c r="AF216" i="1"/>
  <c r="AG216" i="1" s="1"/>
  <c r="U219" i="1"/>
  <c r="V219" i="1" s="1"/>
  <c r="AF214" i="1"/>
  <c r="AG214" i="1" s="1"/>
  <c r="AK217" i="1" l="1"/>
  <c r="AL217" i="1"/>
  <c r="S219" i="1"/>
  <c r="T219" i="1"/>
  <c r="W219" i="1" s="1"/>
  <c r="AA219" i="1" s="1"/>
  <c r="AM219" i="1" s="1"/>
  <c r="N219" i="1"/>
  <c r="O219" i="1" s="1"/>
  <c r="AB219" i="1"/>
  <c r="AC219" i="1" s="1"/>
  <c r="X219" i="1"/>
  <c r="D223" i="1"/>
  <c r="F222" i="1"/>
  <c r="G222" i="1" s="1"/>
  <c r="K221" i="1"/>
  <c r="J221" i="1"/>
  <c r="I221" i="1"/>
  <c r="Q221" i="1"/>
  <c r="R221" i="1" s="1"/>
  <c r="S218" i="1"/>
  <c r="T218" i="1"/>
  <c r="U220" i="1"/>
  <c r="V220" i="1" s="1"/>
  <c r="L220" i="1"/>
  <c r="M220" i="1" s="1"/>
  <c r="P220" i="1" s="1"/>
  <c r="W217" i="1"/>
  <c r="AD217" i="1"/>
  <c r="AN219" i="1" l="1"/>
  <c r="AO219" i="1"/>
  <c r="AD219" i="1"/>
  <c r="AE219" i="1" s="1"/>
  <c r="AK219" i="1"/>
  <c r="AL219" i="1"/>
  <c r="AL218" i="1"/>
  <c r="AK218" i="1"/>
  <c r="S220" i="1"/>
  <c r="T220" i="1"/>
  <c r="L221" i="1"/>
  <c r="N221" i="1" s="1"/>
  <c r="O221" i="1" s="1"/>
  <c r="AA217" i="1"/>
  <c r="AM217" i="1" s="1"/>
  <c r="Y217" i="1"/>
  <c r="Z217" i="1"/>
  <c r="W218" i="1"/>
  <c r="AD218" i="1"/>
  <c r="AE217" i="1"/>
  <c r="AH217" i="1"/>
  <c r="K222" i="1"/>
  <c r="Q222" i="1"/>
  <c r="R222" i="1" s="1"/>
  <c r="I222" i="1"/>
  <c r="J222" i="1"/>
  <c r="N220" i="1"/>
  <c r="O220" i="1" s="1"/>
  <c r="F223" i="1"/>
  <c r="G223" i="1" s="1"/>
  <c r="D224" i="1"/>
  <c r="U221" i="1"/>
  <c r="V221" i="1" s="1"/>
  <c r="Z219" i="1"/>
  <c r="Y219" i="1"/>
  <c r="AF219" i="1"/>
  <c r="AG219" i="1" s="1"/>
  <c r="X220" i="1"/>
  <c r="AB220" i="1"/>
  <c r="AC220" i="1" s="1"/>
  <c r="AH219" i="1"/>
  <c r="AN217" i="1" l="1"/>
  <c r="AO217" i="1"/>
  <c r="AL220" i="1"/>
  <c r="AK220" i="1"/>
  <c r="L222" i="1"/>
  <c r="M222" i="1" s="1"/>
  <c r="P222" i="1" s="1"/>
  <c r="N222" i="1"/>
  <c r="X221" i="1"/>
  <c r="AB221" i="1"/>
  <c r="AC221" i="1" s="1"/>
  <c r="D225" i="1"/>
  <c r="F224" i="1"/>
  <c r="G224" i="1" s="1"/>
  <c r="K223" i="1"/>
  <c r="Q223" i="1"/>
  <c r="R223" i="1" s="1"/>
  <c r="I223" i="1"/>
  <c r="J223" i="1"/>
  <c r="AF217" i="1"/>
  <c r="AG217" i="1" s="1"/>
  <c r="W220" i="1"/>
  <c r="AA220" i="1" s="1"/>
  <c r="AM220" i="1" s="1"/>
  <c r="AD220" i="1"/>
  <c r="AE220" i="1" s="1"/>
  <c r="AA218" i="1"/>
  <c r="AM218" i="1" s="1"/>
  <c r="Y218" i="1"/>
  <c r="Z218" i="1"/>
  <c r="U222" i="1"/>
  <c r="V222" i="1" s="1"/>
  <c r="O222" i="1"/>
  <c r="M221" i="1"/>
  <c r="P221" i="1" s="1"/>
  <c r="AE218" i="1"/>
  <c r="AH218" i="1"/>
  <c r="AO218" i="1" l="1"/>
  <c r="AN218" i="1"/>
  <c r="AO220" i="1"/>
  <c r="AN220" i="1"/>
  <c r="S222" i="1"/>
  <c r="T222" i="1"/>
  <c r="AF220" i="1"/>
  <c r="AG220" i="1" s="1"/>
  <c r="S221" i="1"/>
  <c r="T221" i="1"/>
  <c r="AH220" i="1"/>
  <c r="F225" i="1"/>
  <c r="G225" i="1" s="1"/>
  <c r="D226" i="1"/>
  <c r="X222" i="1"/>
  <c r="AB222" i="1"/>
  <c r="AC222" i="1" s="1"/>
  <c r="L223" i="1"/>
  <c r="M223" i="1" s="1"/>
  <c r="P223" i="1" s="1"/>
  <c r="S223" i="1" s="1"/>
  <c r="U223" i="1"/>
  <c r="V223" i="1" s="1"/>
  <c r="Z220" i="1"/>
  <c r="K224" i="1"/>
  <c r="Q224" i="1"/>
  <c r="R224" i="1" s="1"/>
  <c r="I224" i="1"/>
  <c r="J224" i="1"/>
  <c r="AF218" i="1"/>
  <c r="AG218" i="1" s="1"/>
  <c r="Y220" i="1"/>
  <c r="AK222" i="1" l="1"/>
  <c r="AL222" i="1"/>
  <c r="AK221" i="1"/>
  <c r="AL221" i="1"/>
  <c r="N223" i="1"/>
  <c r="O223" i="1" s="1"/>
  <c r="K225" i="1"/>
  <c r="J225" i="1"/>
  <c r="I225" i="1"/>
  <c r="Q225" i="1"/>
  <c r="R225" i="1" s="1"/>
  <c r="T223" i="1"/>
  <c r="L224" i="1"/>
  <c r="M224" i="1" s="1"/>
  <c r="P224" i="1" s="1"/>
  <c r="W222" i="1"/>
  <c r="AA222" i="1" s="1"/>
  <c r="AM222" i="1" s="1"/>
  <c r="AD222" i="1"/>
  <c r="AE222" i="1" s="1"/>
  <c r="W221" i="1"/>
  <c r="AD221" i="1"/>
  <c r="U224" i="1"/>
  <c r="V224" i="1" s="1"/>
  <c r="X223" i="1"/>
  <c r="AB223" i="1"/>
  <c r="AC223" i="1" s="1"/>
  <c r="D227" i="1"/>
  <c r="F226" i="1"/>
  <c r="G226" i="1" s="1"/>
  <c r="AO222" i="1" l="1"/>
  <c r="AN222" i="1"/>
  <c r="AL223" i="1"/>
  <c r="AK223" i="1"/>
  <c r="S224" i="1"/>
  <c r="T224" i="1"/>
  <c r="AE221" i="1"/>
  <c r="AH221" i="1"/>
  <c r="AF222" i="1"/>
  <c r="AG222" i="1" s="1"/>
  <c r="X224" i="1"/>
  <c r="AB224" i="1"/>
  <c r="AC224" i="1" s="1"/>
  <c r="AA221" i="1"/>
  <c r="AM221" i="1" s="1"/>
  <c r="Z221" i="1"/>
  <c r="Y221" i="1"/>
  <c r="U225" i="1"/>
  <c r="V225" i="1" s="1"/>
  <c r="N224" i="1"/>
  <c r="O224" i="1" s="1"/>
  <c r="K226" i="1"/>
  <c r="I226" i="1"/>
  <c r="J226" i="1"/>
  <c r="Q226" i="1"/>
  <c r="R226" i="1" s="1"/>
  <c r="W223" i="1"/>
  <c r="AA223" i="1" s="1"/>
  <c r="AM223" i="1" s="1"/>
  <c r="AD223" i="1"/>
  <c r="AE223" i="1" s="1"/>
  <c r="F227" i="1"/>
  <c r="G227" i="1" s="1"/>
  <c r="D228" i="1"/>
  <c r="Z222" i="1"/>
  <c r="AH222" i="1"/>
  <c r="Y222" i="1"/>
  <c r="L225" i="1"/>
  <c r="N225" i="1" s="1"/>
  <c r="O225" i="1" s="1"/>
  <c r="M225" i="1" l="1"/>
  <c r="P225" i="1" s="1"/>
  <c r="S225" i="1" s="1"/>
  <c r="AN223" i="1"/>
  <c r="AO223" i="1"/>
  <c r="AK224" i="1"/>
  <c r="AL224" i="1"/>
  <c r="AO221" i="1"/>
  <c r="AN221" i="1"/>
  <c r="F228" i="1"/>
  <c r="G228" i="1" s="1"/>
  <c r="D229" i="1"/>
  <c r="K227" i="1"/>
  <c r="Q227" i="1"/>
  <c r="R227" i="1" s="1"/>
  <c r="I227" i="1"/>
  <c r="J227" i="1"/>
  <c r="AF223" i="1"/>
  <c r="AG223" i="1" s="1"/>
  <c r="T225" i="1"/>
  <c r="L226" i="1"/>
  <c r="N226" i="1" s="1"/>
  <c r="O226" i="1" s="1"/>
  <c r="M226" i="1"/>
  <c r="P226" i="1" s="1"/>
  <c r="S226" i="1" s="1"/>
  <c r="X225" i="1"/>
  <c r="AB225" i="1"/>
  <c r="AC225" i="1" s="1"/>
  <c r="U226" i="1"/>
  <c r="V226" i="1" s="1"/>
  <c r="AH223" i="1"/>
  <c r="AF221" i="1"/>
  <c r="AG221" i="1" s="1"/>
  <c r="Y223" i="1"/>
  <c r="W224" i="1"/>
  <c r="AA224" i="1" s="1"/>
  <c r="AM224" i="1" s="1"/>
  <c r="AD224" i="1"/>
  <c r="AE224" i="1" s="1"/>
  <c r="Z223" i="1"/>
  <c r="AN224" i="1" l="1"/>
  <c r="AO224" i="1"/>
  <c r="AK225" i="1"/>
  <c r="AL225" i="1"/>
  <c r="AH224" i="1"/>
  <c r="Y224" i="1"/>
  <c r="L227" i="1"/>
  <c r="N227" i="1" s="1"/>
  <c r="O227" i="1" s="1"/>
  <c r="X226" i="1"/>
  <c r="AB226" i="1"/>
  <c r="AC226" i="1" s="1"/>
  <c r="T226" i="1"/>
  <c r="D230" i="1"/>
  <c r="F229" i="1"/>
  <c r="G229" i="1" s="1"/>
  <c r="U227" i="1"/>
  <c r="V227" i="1" s="1"/>
  <c r="W225" i="1"/>
  <c r="AA225" i="1" s="1"/>
  <c r="AM225" i="1" s="1"/>
  <c r="AD225" i="1"/>
  <c r="AE225" i="1" s="1"/>
  <c r="AF224" i="1"/>
  <c r="AG224" i="1" s="1"/>
  <c r="Z224" i="1"/>
  <c r="K228" i="1"/>
  <c r="J228" i="1"/>
  <c r="I228" i="1"/>
  <c r="Q228" i="1"/>
  <c r="R228" i="1" s="1"/>
  <c r="AO225" i="1" l="1"/>
  <c r="AN225" i="1"/>
  <c r="AK226" i="1"/>
  <c r="AL226" i="1"/>
  <c r="M227" i="1"/>
  <c r="P227" i="1" s="1"/>
  <c r="S227" i="1" s="1"/>
  <c r="U228" i="1"/>
  <c r="V228" i="1" s="1"/>
  <c r="T227" i="1"/>
  <c r="K229" i="1"/>
  <c r="Q229" i="1"/>
  <c r="R229" i="1" s="1"/>
  <c r="J229" i="1"/>
  <c r="I229" i="1"/>
  <c r="Y225" i="1"/>
  <c r="F230" i="1"/>
  <c r="G230" i="1" s="1"/>
  <c r="D231" i="1"/>
  <c r="Z225" i="1"/>
  <c r="AF225" i="1"/>
  <c r="AG225" i="1" s="1"/>
  <c r="L228" i="1"/>
  <c r="M228" i="1" s="1"/>
  <c r="P228" i="1" s="1"/>
  <c r="X227" i="1"/>
  <c r="AB227" i="1"/>
  <c r="AC227" i="1" s="1"/>
  <c r="AH225" i="1"/>
  <c r="W226" i="1"/>
  <c r="AA226" i="1" s="1"/>
  <c r="AM226" i="1" s="1"/>
  <c r="AD226" i="1"/>
  <c r="AE226" i="1" s="1"/>
  <c r="AL227" i="1" l="1"/>
  <c r="AK227" i="1"/>
  <c r="AO226" i="1"/>
  <c r="AN226" i="1"/>
  <c r="AH226" i="1"/>
  <c r="S228" i="1"/>
  <c r="T228" i="1"/>
  <c r="K230" i="1"/>
  <c r="Q230" i="1"/>
  <c r="R230" i="1" s="1"/>
  <c r="J230" i="1"/>
  <c r="I230" i="1"/>
  <c r="U229" i="1"/>
  <c r="V229" i="1" s="1"/>
  <c r="W227" i="1"/>
  <c r="AA227" i="1" s="1"/>
  <c r="AM227" i="1" s="1"/>
  <c r="AD227" i="1"/>
  <c r="AE227" i="1" s="1"/>
  <c r="F231" i="1"/>
  <c r="G231" i="1" s="1"/>
  <c r="D232" i="1"/>
  <c r="N228" i="1"/>
  <c r="O228" i="1" s="1"/>
  <c r="Y226" i="1"/>
  <c r="X228" i="1"/>
  <c r="AB228" i="1"/>
  <c r="AC228" i="1" s="1"/>
  <c r="AF226" i="1"/>
  <c r="AG226" i="1" s="1"/>
  <c r="Z226" i="1"/>
  <c r="L229" i="1"/>
  <c r="N229" i="1" s="1"/>
  <c r="O229" i="1" s="1"/>
  <c r="AK228" i="1" l="1"/>
  <c r="AL228" i="1"/>
  <c r="AN227" i="1"/>
  <c r="AO227" i="1"/>
  <c r="AF227" i="1"/>
  <c r="AG227" i="1" s="1"/>
  <c r="Y227" i="1"/>
  <c r="K231" i="1"/>
  <c r="J231" i="1"/>
  <c r="Q231" i="1"/>
  <c r="R231" i="1" s="1"/>
  <c r="I231" i="1"/>
  <c r="L230" i="1"/>
  <c r="N230" i="1" s="1"/>
  <c r="O230" i="1" s="1"/>
  <c r="Z227" i="1"/>
  <c r="AH227" i="1"/>
  <c r="W228" i="1"/>
  <c r="AA228" i="1" s="1"/>
  <c r="AM228" i="1" s="1"/>
  <c r="AD228" i="1"/>
  <c r="AE228" i="1" s="1"/>
  <c r="U230" i="1"/>
  <c r="V230" i="1" s="1"/>
  <c r="X229" i="1"/>
  <c r="AB229" i="1"/>
  <c r="AC229" i="1" s="1"/>
  <c r="M229" i="1"/>
  <c r="P229" i="1" s="1"/>
  <c r="D233" i="1"/>
  <c r="F232" i="1"/>
  <c r="G232" i="1" s="1"/>
  <c r="AN228" i="1" l="1"/>
  <c r="AO228" i="1"/>
  <c r="M230" i="1"/>
  <c r="P230" i="1" s="1"/>
  <c r="S230" i="1" s="1"/>
  <c r="K232" i="1"/>
  <c r="I232" i="1"/>
  <c r="Q232" i="1"/>
  <c r="R232" i="1" s="1"/>
  <c r="J232" i="1"/>
  <c r="D234" i="1"/>
  <c r="F233" i="1"/>
  <c r="G233" i="1" s="1"/>
  <c r="U231" i="1"/>
  <c r="V231" i="1" s="1"/>
  <c r="Z228" i="1"/>
  <c r="Y228" i="1"/>
  <c r="X230" i="1"/>
  <c r="AB230" i="1"/>
  <c r="AC230" i="1" s="1"/>
  <c r="AH228" i="1"/>
  <c r="S229" i="1"/>
  <c r="T229" i="1"/>
  <c r="L231" i="1"/>
  <c r="M231" i="1" s="1"/>
  <c r="P231" i="1" s="1"/>
  <c r="AF228" i="1"/>
  <c r="AG228" i="1" s="1"/>
  <c r="AL229" i="1" l="1"/>
  <c r="AK229" i="1"/>
  <c r="T230" i="1"/>
  <c r="S231" i="1"/>
  <c r="T231" i="1"/>
  <c r="X231" i="1"/>
  <c r="AB231" i="1"/>
  <c r="AC231" i="1" s="1"/>
  <c r="D235" i="1"/>
  <c r="F234" i="1"/>
  <c r="G234" i="1" s="1"/>
  <c r="K233" i="1"/>
  <c r="Q233" i="1"/>
  <c r="R233" i="1" s="1"/>
  <c r="I233" i="1"/>
  <c r="J233" i="1"/>
  <c r="N231" i="1"/>
  <c r="O231" i="1" s="1"/>
  <c r="W230" i="1"/>
  <c r="AA230" i="1" s="1"/>
  <c r="AM230" i="1" s="1"/>
  <c r="AD230" i="1"/>
  <c r="AE230" i="1" s="1"/>
  <c r="W229" i="1"/>
  <c r="AD229" i="1"/>
  <c r="L232" i="1"/>
  <c r="M232" i="1" s="1"/>
  <c r="P232" i="1" s="1"/>
  <c r="S232" i="1" s="1"/>
  <c r="U232" i="1"/>
  <c r="V232" i="1" s="1"/>
  <c r="AK231" i="1" l="1"/>
  <c r="AL231" i="1"/>
  <c r="N232" i="1"/>
  <c r="O232" i="1" s="1"/>
  <c r="AO230" i="1"/>
  <c r="AN230" i="1"/>
  <c r="AK230" i="1"/>
  <c r="AL230" i="1"/>
  <c r="X232" i="1"/>
  <c r="AB232" i="1"/>
  <c r="AC232" i="1" s="1"/>
  <c r="Y230" i="1"/>
  <c r="AE229" i="1"/>
  <c r="AH229" i="1"/>
  <c r="K234" i="1"/>
  <c r="J234" i="1"/>
  <c r="I234" i="1"/>
  <c r="Q234" i="1"/>
  <c r="R234" i="1" s="1"/>
  <c r="T232" i="1"/>
  <c r="L233" i="1"/>
  <c r="N233" i="1" s="1"/>
  <c r="O233" i="1" s="1"/>
  <c r="U233" i="1"/>
  <c r="V233" i="1" s="1"/>
  <c r="W231" i="1"/>
  <c r="AA231" i="1" s="1"/>
  <c r="AM231" i="1" s="1"/>
  <c r="AD231" i="1"/>
  <c r="AE231" i="1" s="1"/>
  <c r="AF230" i="1"/>
  <c r="AG230" i="1" s="1"/>
  <c r="D236" i="1"/>
  <c r="F235" i="1"/>
  <c r="G235" i="1" s="1"/>
  <c r="Z230" i="1"/>
  <c r="AA229" i="1"/>
  <c r="AM229" i="1" s="1"/>
  <c r="Y229" i="1"/>
  <c r="Z229" i="1"/>
  <c r="AH230" i="1"/>
  <c r="AN229" i="1" l="1"/>
  <c r="AO229" i="1"/>
  <c r="AK232" i="1"/>
  <c r="AL232" i="1"/>
  <c r="AN231" i="1"/>
  <c r="AO231" i="1"/>
  <c r="Z231" i="1"/>
  <c r="Y231" i="1"/>
  <c r="AB233" i="1"/>
  <c r="AC233" i="1" s="1"/>
  <c r="X233" i="1"/>
  <c r="U234" i="1"/>
  <c r="V234" i="1" s="1"/>
  <c r="M233" i="1"/>
  <c r="P233" i="1" s="1"/>
  <c r="D237" i="1"/>
  <c r="F236" i="1"/>
  <c r="G236" i="1" s="1"/>
  <c r="W232" i="1"/>
  <c r="AA232" i="1" s="1"/>
  <c r="AM232" i="1" s="1"/>
  <c r="AD232" i="1"/>
  <c r="AE232" i="1" s="1"/>
  <c r="AF229" i="1"/>
  <c r="AG229" i="1" s="1"/>
  <c r="AH232" i="1"/>
  <c r="K235" i="1"/>
  <c r="Q235" i="1"/>
  <c r="R235" i="1" s="1"/>
  <c r="J235" i="1"/>
  <c r="I235" i="1"/>
  <c r="AF231" i="1"/>
  <c r="AG231" i="1" s="1"/>
  <c r="AH231" i="1"/>
  <c r="L234" i="1"/>
  <c r="M234" i="1" s="1"/>
  <c r="P234" i="1" s="1"/>
  <c r="Y232" i="1"/>
  <c r="Z232" i="1"/>
  <c r="AN232" i="1" l="1"/>
  <c r="AO232" i="1"/>
  <c r="S234" i="1"/>
  <c r="T234" i="1"/>
  <c r="L235" i="1"/>
  <c r="N235" i="1" s="1"/>
  <c r="O235" i="1" s="1"/>
  <c r="K236" i="1"/>
  <c r="Q236" i="1"/>
  <c r="R236" i="1" s="1"/>
  <c r="J236" i="1"/>
  <c r="I236" i="1"/>
  <c r="U235" i="1"/>
  <c r="V235" i="1" s="1"/>
  <c r="S233" i="1"/>
  <c r="T233" i="1"/>
  <c r="AF232" i="1"/>
  <c r="AG232" i="1" s="1"/>
  <c r="F237" i="1"/>
  <c r="G237" i="1" s="1"/>
  <c r="D238" i="1"/>
  <c r="N234" i="1"/>
  <c r="O234" i="1" s="1"/>
  <c r="X234" i="1"/>
  <c r="AB234" i="1"/>
  <c r="AC234" i="1" s="1"/>
  <c r="AL233" i="1" l="1"/>
  <c r="AK233" i="1"/>
  <c r="AK234" i="1"/>
  <c r="AL234" i="1"/>
  <c r="M235" i="1"/>
  <c r="P235" i="1" s="1"/>
  <c r="S235" i="1" s="1"/>
  <c r="L236" i="1"/>
  <c r="N236" i="1" s="1"/>
  <c r="O236" i="1" s="1"/>
  <c r="M236" i="1"/>
  <c r="P236" i="1" s="1"/>
  <c r="S236" i="1" s="1"/>
  <c r="U236" i="1"/>
  <c r="V236" i="1" s="1"/>
  <c r="F238" i="1"/>
  <c r="G238" i="1" s="1"/>
  <c r="D239" i="1"/>
  <c r="K237" i="1"/>
  <c r="I237" i="1"/>
  <c r="J237" i="1"/>
  <c r="Q237" i="1"/>
  <c r="R237" i="1" s="1"/>
  <c r="W234" i="1"/>
  <c r="AA234" i="1" s="1"/>
  <c r="AM234" i="1" s="1"/>
  <c r="AD234" i="1"/>
  <c r="AE234" i="1" s="1"/>
  <c r="W233" i="1"/>
  <c r="AD233" i="1"/>
  <c r="X235" i="1"/>
  <c r="AB235" i="1"/>
  <c r="AC235" i="1" s="1"/>
  <c r="T236" i="1" l="1"/>
  <c r="AO234" i="1"/>
  <c r="AN234" i="1"/>
  <c r="T235" i="1"/>
  <c r="AH234" i="1"/>
  <c r="W235" i="1"/>
  <c r="AA235" i="1" s="1"/>
  <c r="AM235" i="1" s="1"/>
  <c r="Y234" i="1"/>
  <c r="U237" i="1"/>
  <c r="V237" i="1" s="1"/>
  <c r="O237" i="1"/>
  <c r="Z234" i="1"/>
  <c r="W236" i="1"/>
  <c r="AA236" i="1" s="1"/>
  <c r="AM236" i="1" s="1"/>
  <c r="L237" i="1"/>
  <c r="N237" i="1"/>
  <c r="AA233" i="1"/>
  <c r="AM233" i="1" s="1"/>
  <c r="Z233" i="1"/>
  <c r="Y233" i="1"/>
  <c r="F239" i="1"/>
  <c r="G239" i="1" s="1"/>
  <c r="D240" i="1"/>
  <c r="X236" i="1"/>
  <c r="AB236" i="1"/>
  <c r="AC236" i="1" s="1"/>
  <c r="M237" i="1"/>
  <c r="P237" i="1" s="1"/>
  <c r="S237" i="1" s="1"/>
  <c r="AE233" i="1"/>
  <c r="AH233" i="1"/>
  <c r="AF234" i="1"/>
  <c r="AG234" i="1" s="1"/>
  <c r="K238" i="1"/>
  <c r="J238" i="1"/>
  <c r="Q238" i="1"/>
  <c r="R238" i="1" s="1"/>
  <c r="I238" i="1"/>
  <c r="AN235" i="1" l="1"/>
  <c r="AO235" i="1"/>
  <c r="AK235" i="1"/>
  <c r="AL235" i="1"/>
  <c r="Y235" i="1"/>
  <c r="AK236" i="1"/>
  <c r="AL236" i="1"/>
  <c r="AN236" i="1"/>
  <c r="AO236" i="1"/>
  <c r="Z235" i="1"/>
  <c r="AO233" i="1"/>
  <c r="AN233" i="1"/>
  <c r="AD235" i="1"/>
  <c r="AE235" i="1" s="1"/>
  <c r="AF235" i="1" s="1"/>
  <c r="AG235" i="1" s="1"/>
  <c r="AF233" i="1"/>
  <c r="AG233" i="1" s="1"/>
  <c r="U238" i="1"/>
  <c r="V238" i="1" s="1"/>
  <c r="L238" i="1"/>
  <c r="N238" i="1" s="1"/>
  <c r="O238" i="1" s="1"/>
  <c r="T237" i="1"/>
  <c r="Y236" i="1"/>
  <c r="Z236" i="1"/>
  <c r="AD236" i="1"/>
  <c r="AE236" i="1" s="1"/>
  <c r="X237" i="1"/>
  <c r="AB237" i="1"/>
  <c r="AC237" i="1" s="1"/>
  <c r="F240" i="1"/>
  <c r="G240" i="1" s="1"/>
  <c r="D241" i="1"/>
  <c r="K239" i="1"/>
  <c r="J239" i="1"/>
  <c r="I239" i="1"/>
  <c r="Q239" i="1"/>
  <c r="R239" i="1" s="1"/>
  <c r="AH235" i="1"/>
  <c r="AL237" i="1" l="1"/>
  <c r="AK237" i="1"/>
  <c r="AH236" i="1"/>
  <c r="U239" i="1"/>
  <c r="V239" i="1" s="1"/>
  <c r="M238" i="1"/>
  <c r="P238" i="1" s="1"/>
  <c r="AF236" i="1"/>
  <c r="AG236" i="1" s="1"/>
  <c r="W237" i="1"/>
  <c r="AA237" i="1" s="1"/>
  <c r="AM237" i="1" s="1"/>
  <c r="AD237" i="1"/>
  <c r="AE237" i="1" s="1"/>
  <c r="L239" i="1"/>
  <c r="M239" i="1" s="1"/>
  <c r="P239" i="1" s="1"/>
  <c r="D242" i="1"/>
  <c r="F241" i="1"/>
  <c r="G241" i="1" s="1"/>
  <c r="X238" i="1"/>
  <c r="AB238" i="1"/>
  <c r="AC238" i="1" s="1"/>
  <c r="K240" i="1"/>
  <c r="I240" i="1"/>
  <c r="J240" i="1"/>
  <c r="Q240" i="1"/>
  <c r="R240" i="1" s="1"/>
  <c r="AO237" i="1" l="1"/>
  <c r="AN237" i="1"/>
  <c r="N239" i="1"/>
  <c r="O239" i="1" s="1"/>
  <c r="S239" i="1"/>
  <c r="T239" i="1"/>
  <c r="K241" i="1"/>
  <c r="Q241" i="1"/>
  <c r="R241" i="1" s="1"/>
  <c r="I241" i="1"/>
  <c r="J241" i="1"/>
  <c r="AF237" i="1"/>
  <c r="AG237" i="1" s="1"/>
  <c r="F242" i="1"/>
  <c r="G242" i="1" s="1"/>
  <c r="D243" i="1"/>
  <c r="U240" i="1"/>
  <c r="V240" i="1" s="1"/>
  <c r="L240" i="1"/>
  <c r="N240" i="1" s="1"/>
  <c r="O240" i="1" s="1"/>
  <c r="M240" i="1"/>
  <c r="P240" i="1" s="1"/>
  <c r="S240" i="1" s="1"/>
  <c r="S238" i="1"/>
  <c r="T238" i="1"/>
  <c r="AH237" i="1"/>
  <c r="Y237" i="1"/>
  <c r="X239" i="1"/>
  <c r="AB239" i="1"/>
  <c r="AC239" i="1" s="1"/>
  <c r="Z237" i="1"/>
  <c r="AK239" i="1" l="1"/>
  <c r="AL239" i="1"/>
  <c r="AK238" i="1"/>
  <c r="AL238" i="1"/>
  <c r="L241" i="1"/>
  <c r="M241" i="1" s="1"/>
  <c r="P241" i="1" s="1"/>
  <c r="N241" i="1"/>
  <c r="O241" i="1" s="1"/>
  <c r="X240" i="1"/>
  <c r="AB240" i="1"/>
  <c r="AC240" i="1" s="1"/>
  <c r="F243" i="1"/>
  <c r="G243" i="1" s="1"/>
  <c r="D244" i="1"/>
  <c r="W239" i="1"/>
  <c r="AA239" i="1" s="1"/>
  <c r="AM239" i="1" s="1"/>
  <c r="AD239" i="1"/>
  <c r="AE239" i="1" s="1"/>
  <c r="T240" i="1"/>
  <c r="U241" i="1"/>
  <c r="V241" i="1" s="1"/>
  <c r="W238" i="1"/>
  <c r="AD238" i="1"/>
  <c r="K242" i="1"/>
  <c r="I242" i="1"/>
  <c r="Q242" i="1"/>
  <c r="R242" i="1" s="1"/>
  <c r="J242" i="1"/>
  <c r="AK240" i="1" l="1"/>
  <c r="AL240" i="1"/>
  <c r="AO239" i="1"/>
  <c r="AN239" i="1"/>
  <c r="S241" i="1"/>
  <c r="T241" i="1"/>
  <c r="L242" i="1"/>
  <c r="N242" i="1"/>
  <c r="AF239" i="1"/>
  <c r="AG239" i="1" s="1"/>
  <c r="O242" i="1"/>
  <c r="Y239" i="1"/>
  <c r="X241" i="1"/>
  <c r="AB241" i="1"/>
  <c r="AC241" i="1" s="1"/>
  <c r="W240" i="1"/>
  <c r="AA240" i="1" s="1"/>
  <c r="AM240" i="1" s="1"/>
  <c r="AD240" i="1"/>
  <c r="AE240" i="1" s="1"/>
  <c r="U242" i="1"/>
  <c r="V242" i="1" s="1"/>
  <c r="M242" i="1"/>
  <c r="P242" i="1" s="1"/>
  <c r="S242" i="1" s="1"/>
  <c r="AE238" i="1"/>
  <c r="AH238" i="1"/>
  <c r="K243" i="1"/>
  <c r="J243" i="1"/>
  <c r="Q243" i="1"/>
  <c r="R243" i="1" s="1"/>
  <c r="I243" i="1"/>
  <c r="Z239" i="1"/>
  <c r="F244" i="1"/>
  <c r="G244" i="1" s="1"/>
  <c r="D245" i="1"/>
  <c r="AA238" i="1"/>
  <c r="AM238" i="1" s="1"/>
  <c r="Z238" i="1"/>
  <c r="Y238" i="1"/>
  <c r="AH240" i="1"/>
  <c r="AH239" i="1"/>
  <c r="AN240" i="1" l="1"/>
  <c r="AO240" i="1"/>
  <c r="AN238" i="1"/>
  <c r="AO238" i="1"/>
  <c r="AK241" i="1"/>
  <c r="AL241" i="1"/>
  <c r="Y240" i="1"/>
  <c r="Z240" i="1"/>
  <c r="AF238" i="1"/>
  <c r="AG238" i="1" s="1"/>
  <c r="X242" i="1"/>
  <c r="AB242" i="1"/>
  <c r="AC242" i="1" s="1"/>
  <c r="U243" i="1"/>
  <c r="V243" i="1" s="1"/>
  <c r="L243" i="1"/>
  <c r="M243" i="1" s="1"/>
  <c r="P243" i="1" s="1"/>
  <c r="W241" i="1"/>
  <c r="AA241" i="1" s="1"/>
  <c r="AM241" i="1" s="1"/>
  <c r="AD241" i="1"/>
  <c r="AE241" i="1" s="1"/>
  <c r="T242" i="1"/>
  <c r="AF240" i="1"/>
  <c r="AG240" i="1" s="1"/>
  <c r="F245" i="1"/>
  <c r="G245" i="1" s="1"/>
  <c r="D246" i="1"/>
  <c r="K244" i="1"/>
  <c r="I244" i="1"/>
  <c r="J244" i="1"/>
  <c r="Q244" i="1"/>
  <c r="R244" i="1" s="1"/>
  <c r="AO241" i="1" l="1"/>
  <c r="AN241" i="1"/>
  <c r="AK242" i="1"/>
  <c r="AL242" i="1"/>
  <c r="Y241" i="1"/>
  <c r="Z241" i="1"/>
  <c r="S243" i="1"/>
  <c r="T243" i="1"/>
  <c r="AB243" i="1"/>
  <c r="AC243" i="1" s="1"/>
  <c r="X243" i="1"/>
  <c r="K245" i="1"/>
  <c r="J245" i="1"/>
  <c r="Q245" i="1"/>
  <c r="R245" i="1" s="1"/>
  <c r="I245" i="1"/>
  <c r="N243" i="1"/>
  <c r="O243" i="1" s="1"/>
  <c r="U244" i="1"/>
  <c r="V244" i="1" s="1"/>
  <c r="L244" i="1"/>
  <c r="M244" i="1" s="1"/>
  <c r="P244" i="1" s="1"/>
  <c r="W242" i="1"/>
  <c r="AA242" i="1" s="1"/>
  <c r="AM242" i="1" s="1"/>
  <c r="AD242" i="1"/>
  <c r="AE242" i="1" s="1"/>
  <c r="AF241" i="1"/>
  <c r="AG241" i="1" s="1"/>
  <c r="F246" i="1"/>
  <c r="G246" i="1" s="1"/>
  <c r="D247" i="1"/>
  <c r="AH241" i="1"/>
  <c r="AO242" i="1" l="1"/>
  <c r="AN242" i="1"/>
  <c r="AK243" i="1"/>
  <c r="AL243" i="1"/>
  <c r="Z242" i="1"/>
  <c r="AH242" i="1"/>
  <c r="Y242" i="1"/>
  <c r="S244" i="1"/>
  <c r="T244" i="1"/>
  <c r="U245" i="1"/>
  <c r="V245" i="1" s="1"/>
  <c r="K246" i="1"/>
  <c r="Q246" i="1"/>
  <c r="R246" i="1" s="1"/>
  <c r="J246" i="1"/>
  <c r="I246" i="1"/>
  <c r="N244" i="1"/>
  <c r="O244" i="1" s="1"/>
  <c r="L245" i="1"/>
  <c r="M245" i="1" s="1"/>
  <c r="P245" i="1" s="1"/>
  <c r="X244" i="1"/>
  <c r="AB244" i="1"/>
  <c r="AC244" i="1" s="1"/>
  <c r="W243" i="1"/>
  <c r="AA243" i="1" s="1"/>
  <c r="AM243" i="1" s="1"/>
  <c r="AD243" i="1"/>
  <c r="AE243" i="1" s="1"/>
  <c r="F247" i="1"/>
  <c r="G247" i="1" s="1"/>
  <c r="D248" i="1"/>
  <c r="AF242" i="1"/>
  <c r="AG242" i="1" s="1"/>
  <c r="Z243" i="1" l="1"/>
  <c r="Y243" i="1"/>
  <c r="AK244" i="1"/>
  <c r="AL244" i="1"/>
  <c r="AN243" i="1"/>
  <c r="AO243" i="1"/>
  <c r="AH243" i="1"/>
  <c r="S245" i="1"/>
  <c r="T245" i="1"/>
  <c r="Y244" i="1"/>
  <c r="N245" i="1"/>
  <c r="O245" i="1" s="1"/>
  <c r="AH244" i="1"/>
  <c r="X245" i="1"/>
  <c r="AB245" i="1"/>
  <c r="AC245" i="1" s="1"/>
  <c r="L246" i="1"/>
  <c r="N246" i="1" s="1"/>
  <c r="O246" i="1" s="1"/>
  <c r="W244" i="1"/>
  <c r="AA244" i="1" s="1"/>
  <c r="AM244" i="1" s="1"/>
  <c r="AD244" i="1"/>
  <c r="AE244" i="1" s="1"/>
  <c r="F248" i="1"/>
  <c r="G248" i="1" s="1"/>
  <c r="D249" i="1"/>
  <c r="K247" i="1"/>
  <c r="I247" i="1"/>
  <c r="J247" i="1"/>
  <c r="Q247" i="1"/>
  <c r="R247" i="1" s="1"/>
  <c r="AF243" i="1"/>
  <c r="AG243" i="1" s="1"/>
  <c r="U246" i="1"/>
  <c r="V246" i="1" s="1"/>
  <c r="AK245" i="1" l="1"/>
  <c r="AL245" i="1"/>
  <c r="AO244" i="1"/>
  <c r="AN244" i="1"/>
  <c r="M246" i="1"/>
  <c r="P246" i="1" s="1"/>
  <c r="AF244" i="1"/>
  <c r="AG244" i="1" s="1"/>
  <c r="U247" i="1"/>
  <c r="V247" i="1" s="1"/>
  <c r="L247" i="1"/>
  <c r="N247" i="1" s="1"/>
  <c r="O247" i="1" s="1"/>
  <c r="W245" i="1"/>
  <c r="AA245" i="1" s="1"/>
  <c r="AM245" i="1" s="1"/>
  <c r="AD245" i="1"/>
  <c r="AE245" i="1" s="1"/>
  <c r="X246" i="1"/>
  <c r="AB246" i="1"/>
  <c r="AC246" i="1" s="1"/>
  <c r="D250" i="1"/>
  <c r="F249" i="1"/>
  <c r="G249" i="1" s="1"/>
  <c r="K248" i="1"/>
  <c r="I248" i="1"/>
  <c r="J248" i="1"/>
  <c r="Q248" i="1"/>
  <c r="R248" i="1" s="1"/>
  <c r="Z244" i="1"/>
  <c r="AO245" i="1" l="1"/>
  <c r="AN245" i="1"/>
  <c r="Y245" i="1"/>
  <c r="Z245" i="1"/>
  <c r="M247" i="1"/>
  <c r="P247" i="1" s="1"/>
  <c r="S247" i="1" s="1"/>
  <c r="S246" i="1"/>
  <c r="T246" i="1"/>
  <c r="AF245" i="1"/>
  <c r="AG245" i="1" s="1"/>
  <c r="X247" i="1"/>
  <c r="AB247" i="1"/>
  <c r="AC247" i="1" s="1"/>
  <c r="U248" i="1"/>
  <c r="V248" i="1" s="1"/>
  <c r="L248" i="1"/>
  <c r="N248" i="1"/>
  <c r="O248" i="1" s="1"/>
  <c r="M248" i="1"/>
  <c r="P248" i="1" s="1"/>
  <c r="S248" i="1" s="1"/>
  <c r="K249" i="1"/>
  <c r="Q249" i="1"/>
  <c r="R249" i="1" s="1"/>
  <c r="I249" i="1"/>
  <c r="J249" i="1"/>
  <c r="D251" i="1"/>
  <c r="F250" i="1"/>
  <c r="G250" i="1" s="1"/>
  <c r="T247" i="1"/>
  <c r="AH245" i="1"/>
  <c r="AK247" i="1" l="1"/>
  <c r="AL247" i="1"/>
  <c r="W246" i="1"/>
  <c r="AA246" i="1" s="1"/>
  <c r="AM246" i="1" s="1"/>
  <c r="AK246" i="1"/>
  <c r="AL246" i="1"/>
  <c r="AD246" i="1"/>
  <c r="AE246" i="1" s="1"/>
  <c r="AF246" i="1" s="1"/>
  <c r="AG246" i="1" s="1"/>
  <c r="Z246" i="1"/>
  <c r="Y246" i="1"/>
  <c r="AB248" i="1"/>
  <c r="AC248" i="1" s="1"/>
  <c r="X248" i="1"/>
  <c r="U249" i="1"/>
  <c r="V249" i="1" s="1"/>
  <c r="K250" i="1"/>
  <c r="Q250" i="1"/>
  <c r="R250" i="1" s="1"/>
  <c r="J250" i="1"/>
  <c r="I250" i="1"/>
  <c r="L249" i="1"/>
  <c r="N249" i="1" s="1"/>
  <c r="O249" i="1" s="1"/>
  <c r="W247" i="1"/>
  <c r="AA247" i="1" s="1"/>
  <c r="AM247" i="1" s="1"/>
  <c r="AD247" i="1"/>
  <c r="AE247" i="1" s="1"/>
  <c r="F251" i="1"/>
  <c r="G251" i="1" s="1"/>
  <c r="D252" i="1"/>
  <c r="T248" i="1"/>
  <c r="AH246" i="1"/>
  <c r="AN246" i="1" l="1"/>
  <c r="AO246" i="1"/>
  <c r="AK248" i="1"/>
  <c r="AL248" i="1"/>
  <c r="M249" i="1"/>
  <c r="P249" i="1" s="1"/>
  <c r="S249" i="1" s="1"/>
  <c r="AO247" i="1"/>
  <c r="AN247" i="1"/>
  <c r="AF247" i="1"/>
  <c r="AG247" i="1" s="1"/>
  <c r="D253" i="1"/>
  <c r="F252" i="1"/>
  <c r="G252" i="1" s="1"/>
  <c r="Z247" i="1"/>
  <c r="U250" i="1"/>
  <c r="V250" i="1" s="1"/>
  <c r="W248" i="1"/>
  <c r="AA248" i="1" s="1"/>
  <c r="AM248" i="1" s="1"/>
  <c r="AD248" i="1"/>
  <c r="AE248" i="1" s="1"/>
  <c r="X249" i="1"/>
  <c r="AB249" i="1"/>
  <c r="AC249" i="1" s="1"/>
  <c r="K251" i="1"/>
  <c r="J251" i="1"/>
  <c r="I251" i="1"/>
  <c r="Q251" i="1"/>
  <c r="R251" i="1" s="1"/>
  <c r="AH247" i="1"/>
  <c r="Y247" i="1"/>
  <c r="L250" i="1"/>
  <c r="M250" i="1" s="1"/>
  <c r="P250" i="1" s="1"/>
  <c r="T249" i="1" l="1"/>
  <c r="AN248" i="1"/>
  <c r="AO248" i="1"/>
  <c r="Z248" i="1"/>
  <c r="S250" i="1"/>
  <c r="T250" i="1"/>
  <c r="N250" i="1"/>
  <c r="O250" i="1" s="1"/>
  <c r="AF248" i="1"/>
  <c r="AG248" i="1" s="1"/>
  <c r="F253" i="1"/>
  <c r="G253" i="1" s="1"/>
  <c r="D254" i="1"/>
  <c r="U251" i="1"/>
  <c r="V251" i="1" s="1"/>
  <c r="K252" i="1"/>
  <c r="Q252" i="1"/>
  <c r="R252" i="1" s="1"/>
  <c r="I252" i="1"/>
  <c r="J252" i="1"/>
  <c r="X250" i="1"/>
  <c r="AB250" i="1"/>
  <c r="AC250" i="1" s="1"/>
  <c r="AH248" i="1"/>
  <c r="L251" i="1"/>
  <c r="N251" i="1" s="1"/>
  <c r="O251" i="1" s="1"/>
  <c r="Y248" i="1"/>
  <c r="AK250" i="1" l="1"/>
  <c r="AL250" i="1"/>
  <c r="AK249" i="1"/>
  <c r="AL249" i="1"/>
  <c r="AD249" i="1"/>
  <c r="AE249" i="1" s="1"/>
  <c r="AF249" i="1" s="1"/>
  <c r="AG249" i="1" s="1"/>
  <c r="W249" i="1"/>
  <c r="AA249" i="1" s="1"/>
  <c r="AM249" i="1" s="1"/>
  <c r="Y249" i="1"/>
  <c r="K253" i="1"/>
  <c r="Q253" i="1"/>
  <c r="R253" i="1" s="1"/>
  <c r="J253" i="1"/>
  <c r="I253" i="1"/>
  <c r="U252" i="1"/>
  <c r="V252" i="1" s="1"/>
  <c r="M251" i="1"/>
  <c r="P251" i="1" s="1"/>
  <c r="L252" i="1"/>
  <c r="M252" i="1" s="1"/>
  <c r="P252" i="1" s="1"/>
  <c r="S252" i="1" s="1"/>
  <c r="W250" i="1"/>
  <c r="AA250" i="1" s="1"/>
  <c r="AM250" i="1" s="1"/>
  <c r="AD250" i="1"/>
  <c r="AE250" i="1" s="1"/>
  <c r="F254" i="1"/>
  <c r="G254" i="1" s="1"/>
  <c r="D255" i="1"/>
  <c r="X251" i="1"/>
  <c r="AB251" i="1"/>
  <c r="AC251" i="1" s="1"/>
  <c r="AN249" i="1" l="1"/>
  <c r="AO249" i="1"/>
  <c r="AH249" i="1"/>
  <c r="AO250" i="1"/>
  <c r="AN250" i="1"/>
  <c r="Z249" i="1"/>
  <c r="N252" i="1"/>
  <c r="O252" i="1" s="1"/>
  <c r="AH250" i="1"/>
  <c r="X252" i="1"/>
  <c r="AB252" i="1"/>
  <c r="AC252" i="1" s="1"/>
  <c r="Z250" i="1"/>
  <c r="U253" i="1"/>
  <c r="V253" i="1" s="1"/>
  <c r="S251" i="1"/>
  <c r="T251" i="1"/>
  <c r="F255" i="1"/>
  <c r="G255" i="1" s="1"/>
  <c r="D256" i="1"/>
  <c r="Y250" i="1"/>
  <c r="L253" i="1"/>
  <c r="M253" i="1" s="1"/>
  <c r="P253" i="1" s="1"/>
  <c r="K254" i="1"/>
  <c r="J254" i="1"/>
  <c r="I254" i="1"/>
  <c r="Q254" i="1"/>
  <c r="R254" i="1" s="1"/>
  <c r="AF250" i="1"/>
  <c r="AG250" i="1" s="1"/>
  <c r="T252" i="1"/>
  <c r="AK251" i="1" l="1"/>
  <c r="AL251" i="1"/>
  <c r="AK252" i="1"/>
  <c r="AL252" i="1"/>
  <c r="N253" i="1"/>
  <c r="O253" i="1" s="1"/>
  <c r="S253" i="1"/>
  <c r="T253" i="1"/>
  <c r="W252" i="1"/>
  <c r="AA252" i="1" s="1"/>
  <c r="AM252" i="1" s="1"/>
  <c r="AD252" i="1"/>
  <c r="AE252" i="1" s="1"/>
  <c r="F256" i="1"/>
  <c r="G256" i="1" s="1"/>
  <c r="D257" i="1"/>
  <c r="U254" i="1"/>
  <c r="V254" i="1" s="1"/>
  <c r="AB253" i="1"/>
  <c r="AC253" i="1" s="1"/>
  <c r="X253" i="1"/>
  <c r="K255" i="1"/>
  <c r="Q255" i="1"/>
  <c r="R255" i="1" s="1"/>
  <c r="I255" i="1"/>
  <c r="J255" i="1"/>
  <c r="L254" i="1"/>
  <c r="N254" i="1" s="1"/>
  <c r="O254" i="1" s="1"/>
  <c r="W251" i="1"/>
  <c r="AD251" i="1"/>
  <c r="AN252" i="1" l="1"/>
  <c r="AO252" i="1"/>
  <c r="AK253" i="1"/>
  <c r="AL253" i="1"/>
  <c r="Z252" i="1"/>
  <c r="Y252" i="1"/>
  <c r="AB254" i="1"/>
  <c r="AC254" i="1" s="1"/>
  <c r="X254" i="1"/>
  <c r="U255" i="1"/>
  <c r="V255" i="1" s="1"/>
  <c r="M254" i="1"/>
  <c r="P254" i="1" s="1"/>
  <c r="L255" i="1"/>
  <c r="N255" i="1" s="1"/>
  <c r="O255" i="1" s="1"/>
  <c r="AF252" i="1"/>
  <c r="AG252" i="1" s="1"/>
  <c r="W253" i="1"/>
  <c r="AA253" i="1" s="1"/>
  <c r="AM253" i="1" s="1"/>
  <c r="AD253" i="1"/>
  <c r="AE253" i="1" s="1"/>
  <c r="D258" i="1"/>
  <c r="F257" i="1"/>
  <c r="G257" i="1" s="1"/>
  <c r="K256" i="1"/>
  <c r="I256" i="1"/>
  <c r="Q256" i="1"/>
  <c r="R256" i="1" s="1"/>
  <c r="J256" i="1"/>
  <c r="AH252" i="1"/>
  <c r="AE251" i="1"/>
  <c r="AH251" i="1"/>
  <c r="AA251" i="1"/>
  <c r="AM251" i="1" s="1"/>
  <c r="Y251" i="1"/>
  <c r="Z251" i="1"/>
  <c r="AN253" i="1" l="1"/>
  <c r="AO253" i="1"/>
  <c r="AN251" i="1"/>
  <c r="AO251" i="1"/>
  <c r="Z253" i="1"/>
  <c r="AH253" i="1"/>
  <c r="Y253" i="1"/>
  <c r="AF253" i="1"/>
  <c r="AG253" i="1" s="1"/>
  <c r="S254" i="1"/>
  <c r="T254" i="1"/>
  <c r="X255" i="1"/>
  <c r="AB255" i="1"/>
  <c r="AC255" i="1" s="1"/>
  <c r="F258" i="1"/>
  <c r="G258" i="1" s="1"/>
  <c r="D259" i="1"/>
  <c r="AF251" i="1"/>
  <c r="AG251" i="1" s="1"/>
  <c r="L256" i="1"/>
  <c r="M256" i="1" s="1"/>
  <c r="P256" i="1" s="1"/>
  <c r="U256" i="1"/>
  <c r="V256" i="1" s="1"/>
  <c r="M255" i="1"/>
  <c r="P255" i="1" s="1"/>
  <c r="K257" i="1"/>
  <c r="J257" i="1"/>
  <c r="I257" i="1"/>
  <c r="Q257" i="1"/>
  <c r="R257" i="1" s="1"/>
  <c r="AK254" i="1" l="1"/>
  <c r="AL254" i="1"/>
  <c r="N256" i="1"/>
  <c r="O256" i="1" s="1"/>
  <c r="S256" i="1"/>
  <c r="T256" i="1"/>
  <c r="L257" i="1"/>
  <c r="M257" i="1" s="1"/>
  <c r="P257" i="1" s="1"/>
  <c r="S257" i="1" s="1"/>
  <c r="F259" i="1"/>
  <c r="G259" i="1" s="1"/>
  <c r="D260" i="1"/>
  <c r="X256" i="1"/>
  <c r="AB256" i="1"/>
  <c r="AC256" i="1" s="1"/>
  <c r="U257" i="1"/>
  <c r="V257" i="1" s="1"/>
  <c r="W254" i="1"/>
  <c r="AD254" i="1"/>
  <c r="S255" i="1"/>
  <c r="T255" i="1"/>
  <c r="K258" i="1"/>
  <c r="I258" i="1"/>
  <c r="J258" i="1"/>
  <c r="Q258" i="1"/>
  <c r="R258" i="1" s="1"/>
  <c r="AK256" i="1" l="1"/>
  <c r="AL256" i="1"/>
  <c r="AL255" i="1"/>
  <c r="AK255" i="1"/>
  <c r="N257" i="1"/>
  <c r="O257" i="1" s="1"/>
  <c r="K259" i="1"/>
  <c r="Q259" i="1"/>
  <c r="R259" i="1" s="1"/>
  <c r="I259" i="1"/>
  <c r="J259" i="1"/>
  <c r="AB257" i="1"/>
  <c r="AC257" i="1" s="1"/>
  <c r="X257" i="1"/>
  <c r="L258" i="1"/>
  <c r="M258" i="1" s="1"/>
  <c r="P258" i="1" s="1"/>
  <c r="W256" i="1"/>
  <c r="AA256" i="1" s="1"/>
  <c r="AM256" i="1" s="1"/>
  <c r="AD256" i="1"/>
  <c r="AE256" i="1" s="1"/>
  <c r="AE254" i="1"/>
  <c r="AH254" i="1"/>
  <c r="AA254" i="1"/>
  <c r="AM254" i="1" s="1"/>
  <c r="Y254" i="1"/>
  <c r="Z254" i="1"/>
  <c r="U258" i="1"/>
  <c r="V258" i="1" s="1"/>
  <c r="T257" i="1"/>
  <c r="W255" i="1"/>
  <c r="AD255" i="1"/>
  <c r="F260" i="1"/>
  <c r="G260" i="1" s="1"/>
  <c r="D261" i="1"/>
  <c r="AN256" i="1" l="1"/>
  <c r="AO256" i="1"/>
  <c r="AN254" i="1"/>
  <c r="AO254" i="1"/>
  <c r="AH256" i="1"/>
  <c r="AK257" i="1"/>
  <c r="AL257" i="1"/>
  <c r="S258" i="1"/>
  <c r="T258" i="1"/>
  <c r="AA255" i="1"/>
  <c r="AM255" i="1" s="1"/>
  <c r="Z255" i="1"/>
  <c r="Y255" i="1"/>
  <c r="AF254" i="1"/>
  <c r="AG254" i="1" s="1"/>
  <c r="N258" i="1"/>
  <c r="O258" i="1" s="1"/>
  <c r="W257" i="1"/>
  <c r="AA257" i="1" s="1"/>
  <c r="AM257" i="1" s="1"/>
  <c r="AD257" i="1"/>
  <c r="AE257" i="1" s="1"/>
  <c r="X258" i="1"/>
  <c r="AB258" i="1"/>
  <c r="AC258" i="1" s="1"/>
  <c r="Y256" i="1"/>
  <c r="K260" i="1"/>
  <c r="Q260" i="1"/>
  <c r="R260" i="1" s="1"/>
  <c r="I260" i="1"/>
  <c r="J260" i="1"/>
  <c r="U259" i="1"/>
  <c r="V259" i="1" s="1"/>
  <c r="AF256" i="1"/>
  <c r="AG256" i="1" s="1"/>
  <c r="AH257" i="1"/>
  <c r="L259" i="1"/>
  <c r="M259" i="1" s="1"/>
  <c r="P259" i="1" s="1"/>
  <c r="S259" i="1" s="1"/>
  <c r="N259" i="1"/>
  <c r="O259" i="1" s="1"/>
  <c r="F261" i="1"/>
  <c r="G261" i="1" s="1"/>
  <c r="D262" i="1"/>
  <c r="Z256" i="1"/>
  <c r="AE255" i="1"/>
  <c r="AH255" i="1"/>
  <c r="AN255" i="1" l="1"/>
  <c r="AO255" i="1"/>
  <c r="AK258" i="1"/>
  <c r="AL258" i="1"/>
  <c r="AO257" i="1"/>
  <c r="AN257" i="1"/>
  <c r="Z257" i="1"/>
  <c r="Y257" i="1"/>
  <c r="AB259" i="1"/>
  <c r="AC259" i="1" s="1"/>
  <c r="X259" i="1"/>
  <c r="K261" i="1"/>
  <c r="I261" i="1"/>
  <c r="Q261" i="1"/>
  <c r="R261" i="1" s="1"/>
  <c r="J261" i="1"/>
  <c r="L260" i="1"/>
  <c r="N260" i="1" s="1"/>
  <c r="O260" i="1" s="1"/>
  <c r="AF255" i="1"/>
  <c r="AG255" i="1" s="1"/>
  <c r="T259" i="1"/>
  <c r="F262" i="1"/>
  <c r="G262" i="1" s="1"/>
  <c r="D263" i="1"/>
  <c r="AF257" i="1"/>
  <c r="AG257" i="1" s="1"/>
  <c r="W258" i="1"/>
  <c r="AA258" i="1" s="1"/>
  <c r="AM258" i="1" s="1"/>
  <c r="AD258" i="1"/>
  <c r="AE258" i="1" s="1"/>
  <c r="U260" i="1"/>
  <c r="V260" i="1" s="1"/>
  <c r="AN258" i="1" l="1"/>
  <c r="AO258" i="1"/>
  <c r="AK259" i="1"/>
  <c r="AL259" i="1"/>
  <c r="Z258" i="1"/>
  <c r="Y258" i="1"/>
  <c r="AH258" i="1"/>
  <c r="L261" i="1"/>
  <c r="M261" i="1" s="1"/>
  <c r="P261" i="1" s="1"/>
  <c r="S261" i="1" s="1"/>
  <c r="N261" i="1"/>
  <c r="O261" i="1" s="1"/>
  <c r="F263" i="1"/>
  <c r="G263" i="1" s="1"/>
  <c r="D264" i="1"/>
  <c r="X260" i="1"/>
  <c r="AB260" i="1"/>
  <c r="AC260" i="1" s="1"/>
  <c r="M260" i="1"/>
  <c r="P260" i="1" s="1"/>
  <c r="U261" i="1"/>
  <c r="V261" i="1" s="1"/>
  <c r="K262" i="1"/>
  <c r="J262" i="1"/>
  <c r="I262" i="1"/>
  <c r="Q262" i="1"/>
  <c r="R262" i="1" s="1"/>
  <c r="W259" i="1"/>
  <c r="AA259" i="1" s="1"/>
  <c r="AM259" i="1" s="1"/>
  <c r="AD259" i="1"/>
  <c r="AE259" i="1" s="1"/>
  <c r="AF258" i="1"/>
  <c r="AG258" i="1" s="1"/>
  <c r="AN259" i="1" l="1"/>
  <c r="AO259" i="1"/>
  <c r="AB261" i="1"/>
  <c r="AC261" i="1" s="1"/>
  <c r="X261" i="1"/>
  <c r="S260" i="1"/>
  <c r="T260" i="1"/>
  <c r="AH259" i="1"/>
  <c r="F264" i="1"/>
  <c r="G264" i="1" s="1"/>
  <c r="D265" i="1"/>
  <c r="L262" i="1"/>
  <c r="N262" i="1" s="1"/>
  <c r="O262" i="1" s="1"/>
  <c r="K263" i="1"/>
  <c r="I263" i="1"/>
  <c r="J263" i="1"/>
  <c r="Q263" i="1"/>
  <c r="R263" i="1" s="1"/>
  <c r="Y259" i="1"/>
  <c r="AF259" i="1"/>
  <c r="AG259" i="1" s="1"/>
  <c r="U262" i="1"/>
  <c r="V262" i="1" s="1"/>
  <c r="Z259" i="1"/>
  <c r="T261" i="1"/>
  <c r="AK260" i="1" l="1"/>
  <c r="AL260" i="1"/>
  <c r="AK261" i="1"/>
  <c r="AL261" i="1"/>
  <c r="F265" i="1"/>
  <c r="G265" i="1" s="1"/>
  <c r="D266" i="1"/>
  <c r="U263" i="1"/>
  <c r="V263" i="1" s="1"/>
  <c r="M262" i="1"/>
  <c r="P262" i="1" s="1"/>
  <c r="L263" i="1"/>
  <c r="M263" i="1" s="1"/>
  <c r="P263" i="1" s="1"/>
  <c r="W260" i="1"/>
  <c r="AD260" i="1"/>
  <c r="K264" i="1"/>
  <c r="Q264" i="1"/>
  <c r="R264" i="1" s="1"/>
  <c r="I264" i="1"/>
  <c r="J264" i="1"/>
  <c r="X262" i="1"/>
  <c r="AB262" i="1"/>
  <c r="AC262" i="1" s="1"/>
  <c r="W261" i="1"/>
  <c r="AA261" i="1" s="1"/>
  <c r="AM261" i="1" s="1"/>
  <c r="AD261" i="1"/>
  <c r="AE261" i="1" s="1"/>
  <c r="AN261" i="1" l="1"/>
  <c r="AO261" i="1"/>
  <c r="AH261" i="1"/>
  <c r="S263" i="1"/>
  <c r="T263" i="1"/>
  <c r="L264" i="1"/>
  <c r="N264" i="1" s="1"/>
  <c r="O264" i="1" s="1"/>
  <c r="U264" i="1"/>
  <c r="V264" i="1" s="1"/>
  <c r="N263" i="1"/>
  <c r="O263" i="1" s="1"/>
  <c r="Y261" i="1"/>
  <c r="AA260" i="1"/>
  <c r="AM260" i="1" s="1"/>
  <c r="Z260" i="1"/>
  <c r="Y260" i="1"/>
  <c r="AF261" i="1"/>
  <c r="AG261" i="1" s="1"/>
  <c r="S262" i="1"/>
  <c r="T262" i="1"/>
  <c r="X263" i="1"/>
  <c r="AB263" i="1"/>
  <c r="AC263" i="1" s="1"/>
  <c r="Z261" i="1"/>
  <c r="F266" i="1"/>
  <c r="G266" i="1" s="1"/>
  <c r="D267" i="1"/>
  <c r="AE260" i="1"/>
  <c r="AH260" i="1"/>
  <c r="K265" i="1"/>
  <c r="J265" i="1"/>
  <c r="I265" i="1"/>
  <c r="Q265" i="1"/>
  <c r="R265" i="1" s="1"/>
  <c r="AO260" i="1" l="1"/>
  <c r="AN260" i="1"/>
  <c r="AK263" i="1"/>
  <c r="AL263" i="1"/>
  <c r="AK262" i="1"/>
  <c r="AL262" i="1"/>
  <c r="M264" i="1"/>
  <c r="P264" i="1" s="1"/>
  <c r="S264" i="1" s="1"/>
  <c r="T264" i="1"/>
  <c r="F267" i="1"/>
  <c r="G267" i="1" s="1"/>
  <c r="D268" i="1"/>
  <c r="U265" i="1"/>
  <c r="V265" i="1" s="1"/>
  <c r="X264" i="1"/>
  <c r="AB264" i="1"/>
  <c r="AC264" i="1" s="1"/>
  <c r="L265" i="1"/>
  <c r="M265" i="1" s="1"/>
  <c r="P265" i="1" s="1"/>
  <c r="W263" i="1"/>
  <c r="AA263" i="1" s="1"/>
  <c r="AM263" i="1" s="1"/>
  <c r="AD263" i="1"/>
  <c r="AE263" i="1" s="1"/>
  <c r="K266" i="1"/>
  <c r="J266" i="1"/>
  <c r="I266" i="1"/>
  <c r="Q266" i="1"/>
  <c r="R266" i="1" s="1"/>
  <c r="AF260" i="1"/>
  <c r="AG260" i="1" s="1"/>
  <c r="W262" i="1"/>
  <c r="AD262" i="1"/>
  <c r="AL264" i="1" l="1"/>
  <c r="AK264" i="1"/>
  <c r="AD264" i="1"/>
  <c r="AE264" i="1" s="1"/>
  <c r="AF264" i="1" s="1"/>
  <c r="AG264" i="1" s="1"/>
  <c r="AN263" i="1"/>
  <c r="AO263" i="1"/>
  <c r="W264" i="1"/>
  <c r="AA264" i="1" s="1"/>
  <c r="AM264" i="1" s="1"/>
  <c r="N265" i="1"/>
  <c r="O265" i="1" s="1"/>
  <c r="S265" i="1"/>
  <c r="T265" i="1"/>
  <c r="AA262" i="1"/>
  <c r="AM262" i="1" s="1"/>
  <c r="Y262" i="1"/>
  <c r="Z262" i="1"/>
  <c r="Z263" i="1"/>
  <c r="AH263" i="1"/>
  <c r="X265" i="1"/>
  <c r="AB265" i="1"/>
  <c r="AC265" i="1" s="1"/>
  <c r="Y263" i="1"/>
  <c r="L266" i="1"/>
  <c r="M266" i="1" s="1"/>
  <c r="P266" i="1" s="1"/>
  <c r="D269" i="1"/>
  <c r="F268" i="1"/>
  <c r="G268" i="1" s="1"/>
  <c r="AF263" i="1"/>
  <c r="AG263" i="1" s="1"/>
  <c r="U266" i="1"/>
  <c r="V266" i="1" s="1"/>
  <c r="AE262" i="1"/>
  <c r="AH262" i="1"/>
  <c r="AH264" i="1"/>
  <c r="K267" i="1"/>
  <c r="J267" i="1"/>
  <c r="I267" i="1"/>
  <c r="Q267" i="1"/>
  <c r="R267" i="1" s="1"/>
  <c r="Z264" i="1" l="1"/>
  <c r="Y264" i="1"/>
  <c r="AK265" i="1"/>
  <c r="AL265" i="1"/>
  <c r="AN264" i="1"/>
  <c r="AO264" i="1"/>
  <c r="AO262" i="1"/>
  <c r="AN262" i="1"/>
  <c r="N266" i="1"/>
  <c r="O266" i="1" s="1"/>
  <c r="S266" i="1"/>
  <c r="T266" i="1"/>
  <c r="U267" i="1"/>
  <c r="V267" i="1" s="1"/>
  <c r="L267" i="1"/>
  <c r="M267" i="1" s="1"/>
  <c r="P267" i="1" s="1"/>
  <c r="K268" i="1"/>
  <c r="Q268" i="1"/>
  <c r="R268" i="1" s="1"/>
  <c r="I268" i="1"/>
  <c r="J268" i="1"/>
  <c r="W265" i="1"/>
  <c r="AA265" i="1" s="1"/>
  <c r="AM265" i="1" s="1"/>
  <c r="AD265" i="1"/>
  <c r="AE265" i="1" s="1"/>
  <c r="X266" i="1"/>
  <c r="AB266" i="1"/>
  <c r="AC266" i="1" s="1"/>
  <c r="AF262" i="1"/>
  <c r="AG262" i="1" s="1"/>
  <c r="F269" i="1"/>
  <c r="G269" i="1" s="1"/>
  <c r="D270" i="1"/>
  <c r="AO265" i="1" l="1"/>
  <c r="AN265" i="1"/>
  <c r="AK266" i="1"/>
  <c r="AL266" i="1"/>
  <c r="S267" i="1"/>
  <c r="T267" i="1"/>
  <c r="Y265" i="1"/>
  <c r="N267" i="1"/>
  <c r="O267" i="1" s="1"/>
  <c r="Z265" i="1"/>
  <c r="X267" i="1"/>
  <c r="AB267" i="1"/>
  <c r="AC267" i="1" s="1"/>
  <c r="U268" i="1"/>
  <c r="V268" i="1" s="1"/>
  <c r="W266" i="1"/>
  <c r="AA266" i="1" s="1"/>
  <c r="AM266" i="1" s="1"/>
  <c r="AD266" i="1"/>
  <c r="AE266" i="1" s="1"/>
  <c r="F270" i="1"/>
  <c r="G270" i="1" s="1"/>
  <c r="D271" i="1"/>
  <c r="K269" i="1"/>
  <c r="I269" i="1"/>
  <c r="Q269" i="1"/>
  <c r="R269" i="1" s="1"/>
  <c r="J269" i="1"/>
  <c r="L268" i="1"/>
  <c r="N268" i="1" s="1"/>
  <c r="O268" i="1" s="1"/>
  <c r="M268" i="1"/>
  <c r="P268" i="1" s="1"/>
  <c r="S268" i="1" s="1"/>
  <c r="AH266" i="1"/>
  <c r="AF265" i="1"/>
  <c r="AG265" i="1" s="1"/>
  <c r="AH265" i="1"/>
  <c r="AK267" i="1" l="1"/>
  <c r="AL267" i="1"/>
  <c r="AO266" i="1"/>
  <c r="AN266" i="1"/>
  <c r="Y266" i="1"/>
  <c r="Z266" i="1"/>
  <c r="AF266" i="1"/>
  <c r="AG266" i="1" s="1"/>
  <c r="L269" i="1"/>
  <c r="N269" i="1" s="1"/>
  <c r="O269" i="1" s="1"/>
  <c r="W267" i="1"/>
  <c r="AA267" i="1" s="1"/>
  <c r="AM267" i="1" s="1"/>
  <c r="AD267" i="1"/>
  <c r="AE267" i="1" s="1"/>
  <c r="AB268" i="1"/>
  <c r="AC268" i="1" s="1"/>
  <c r="X268" i="1"/>
  <c r="F271" i="1"/>
  <c r="G271" i="1" s="1"/>
  <c r="D272" i="1"/>
  <c r="K270" i="1"/>
  <c r="Q270" i="1"/>
  <c r="R270" i="1" s="1"/>
  <c r="J270" i="1"/>
  <c r="I270" i="1"/>
  <c r="U269" i="1"/>
  <c r="V269" i="1" s="1"/>
  <c r="T268" i="1"/>
  <c r="AL268" i="1" l="1"/>
  <c r="AK268" i="1"/>
  <c r="AO267" i="1"/>
  <c r="AN267" i="1"/>
  <c r="X269" i="1"/>
  <c r="AB269" i="1"/>
  <c r="AC269" i="1" s="1"/>
  <c r="F272" i="1"/>
  <c r="G272" i="1" s="1"/>
  <c r="D273" i="1"/>
  <c r="AF267" i="1"/>
  <c r="AG267" i="1" s="1"/>
  <c r="Y267" i="1"/>
  <c r="L270" i="1"/>
  <c r="M270" i="1" s="1"/>
  <c r="P270" i="1" s="1"/>
  <c r="Z267" i="1"/>
  <c r="W268" i="1"/>
  <c r="AA268" i="1" s="1"/>
  <c r="AM268" i="1" s="1"/>
  <c r="AD268" i="1"/>
  <c r="AE268" i="1" s="1"/>
  <c r="K271" i="1"/>
  <c r="J271" i="1"/>
  <c r="Q271" i="1"/>
  <c r="R271" i="1" s="1"/>
  <c r="I271" i="1"/>
  <c r="M269" i="1"/>
  <c r="P269" i="1" s="1"/>
  <c r="U270" i="1"/>
  <c r="V270" i="1" s="1"/>
  <c r="AH267" i="1"/>
  <c r="AN268" i="1" l="1"/>
  <c r="AO268" i="1"/>
  <c r="N270" i="1"/>
  <c r="O270" i="1" s="1"/>
  <c r="S270" i="1"/>
  <c r="T270" i="1"/>
  <c r="AB270" i="1"/>
  <c r="AC270" i="1" s="1"/>
  <c r="X270" i="1"/>
  <c r="AF268" i="1"/>
  <c r="AG268" i="1" s="1"/>
  <c r="Z268" i="1"/>
  <c r="S269" i="1"/>
  <c r="T269" i="1"/>
  <c r="F273" i="1"/>
  <c r="G273" i="1" s="1"/>
  <c r="D274" i="1"/>
  <c r="K272" i="1"/>
  <c r="J272" i="1"/>
  <c r="I272" i="1"/>
  <c r="Q272" i="1"/>
  <c r="R272" i="1" s="1"/>
  <c r="U271" i="1"/>
  <c r="V271" i="1" s="1"/>
  <c r="L271" i="1"/>
  <c r="M271" i="1" s="1"/>
  <c r="P271" i="1" s="1"/>
  <c r="S271" i="1" s="1"/>
  <c r="N271" i="1"/>
  <c r="O271" i="1" s="1"/>
  <c r="Y268" i="1"/>
  <c r="AH268" i="1"/>
  <c r="AK270" i="1" l="1"/>
  <c r="AL270" i="1"/>
  <c r="AK269" i="1"/>
  <c r="AL269" i="1"/>
  <c r="F274" i="1"/>
  <c r="G274" i="1" s="1"/>
  <c r="D275" i="1"/>
  <c r="K273" i="1"/>
  <c r="I273" i="1"/>
  <c r="J273" i="1"/>
  <c r="Q273" i="1"/>
  <c r="R273" i="1" s="1"/>
  <c r="W270" i="1"/>
  <c r="AA270" i="1" s="1"/>
  <c r="AM270" i="1" s="1"/>
  <c r="AD270" i="1"/>
  <c r="AE270" i="1" s="1"/>
  <c r="U272" i="1"/>
  <c r="V272" i="1" s="1"/>
  <c r="L272" i="1"/>
  <c r="M272" i="1" s="1"/>
  <c r="P272" i="1" s="1"/>
  <c r="T271" i="1"/>
  <c r="X271" i="1"/>
  <c r="AB271" i="1"/>
  <c r="AC271" i="1" s="1"/>
  <c r="W269" i="1"/>
  <c r="AD269" i="1"/>
  <c r="N272" i="1" l="1"/>
  <c r="O272" i="1" s="1"/>
  <c r="AN270" i="1"/>
  <c r="AO270" i="1"/>
  <c r="AK271" i="1"/>
  <c r="AL271" i="1"/>
  <c r="Z270" i="1"/>
  <c r="S272" i="1"/>
  <c r="T272" i="1"/>
  <c r="AA269" i="1"/>
  <c r="AM269" i="1" s="1"/>
  <c r="Y269" i="1"/>
  <c r="Z269" i="1"/>
  <c r="W271" i="1"/>
  <c r="AA271" i="1" s="1"/>
  <c r="AM271" i="1" s="1"/>
  <c r="AD271" i="1"/>
  <c r="AE271" i="1" s="1"/>
  <c r="AF270" i="1"/>
  <c r="AG270" i="1" s="1"/>
  <c r="Y270" i="1"/>
  <c r="AE269" i="1"/>
  <c r="AH269" i="1"/>
  <c r="U273" i="1"/>
  <c r="V273" i="1" s="1"/>
  <c r="L273" i="1"/>
  <c r="N273" i="1" s="1"/>
  <c r="O273" i="1" s="1"/>
  <c r="X272" i="1"/>
  <c r="AB272" i="1"/>
  <c r="AC272" i="1" s="1"/>
  <c r="F275" i="1"/>
  <c r="G275" i="1" s="1"/>
  <c r="D276" i="1"/>
  <c r="AH270" i="1"/>
  <c r="K274" i="1"/>
  <c r="Q274" i="1"/>
  <c r="R274" i="1" s="1"/>
  <c r="J274" i="1"/>
  <c r="I274" i="1"/>
  <c r="AH271" i="1" l="1"/>
  <c r="AN269" i="1"/>
  <c r="AO269" i="1"/>
  <c r="AK272" i="1"/>
  <c r="AL272" i="1"/>
  <c r="AN271" i="1"/>
  <c r="AO271" i="1"/>
  <c r="Z271" i="1"/>
  <c r="Y271" i="1"/>
  <c r="M273" i="1"/>
  <c r="P273" i="1" s="1"/>
  <c r="S273" i="1" s="1"/>
  <c r="U274" i="1"/>
  <c r="V274" i="1" s="1"/>
  <c r="K275" i="1"/>
  <c r="Q275" i="1"/>
  <c r="R275" i="1" s="1"/>
  <c r="J275" i="1"/>
  <c r="I275" i="1"/>
  <c r="W272" i="1"/>
  <c r="AA272" i="1" s="1"/>
  <c r="AM272" i="1" s="1"/>
  <c r="AD272" i="1"/>
  <c r="AE272" i="1" s="1"/>
  <c r="X273" i="1"/>
  <c r="AB273" i="1"/>
  <c r="AC273" i="1" s="1"/>
  <c r="AF269" i="1"/>
  <c r="AG269" i="1" s="1"/>
  <c r="L274" i="1"/>
  <c r="M274" i="1" s="1"/>
  <c r="P274" i="1" s="1"/>
  <c r="S274" i="1" s="1"/>
  <c r="AF271" i="1"/>
  <c r="AG271" i="1" s="1"/>
  <c r="F276" i="1"/>
  <c r="G276" i="1" s="1"/>
  <c r="D277" i="1"/>
  <c r="AN272" i="1" l="1"/>
  <c r="AO272" i="1"/>
  <c r="T273" i="1"/>
  <c r="N274" i="1"/>
  <c r="O274" i="1" s="1"/>
  <c r="W273" i="1"/>
  <c r="AA273" i="1" s="1"/>
  <c r="AM273" i="1" s="1"/>
  <c r="AD273" i="1"/>
  <c r="AE273" i="1" s="1"/>
  <c r="F277" i="1"/>
  <c r="G277" i="1" s="1"/>
  <c r="D278" i="1"/>
  <c r="L275" i="1"/>
  <c r="M275" i="1" s="1"/>
  <c r="P275" i="1" s="1"/>
  <c r="K276" i="1"/>
  <c r="Q276" i="1"/>
  <c r="R276" i="1" s="1"/>
  <c r="I276" i="1"/>
  <c r="J276" i="1"/>
  <c r="U275" i="1"/>
  <c r="V275" i="1" s="1"/>
  <c r="T274" i="1"/>
  <c r="Y272" i="1"/>
  <c r="AF272" i="1"/>
  <c r="AG272" i="1" s="1"/>
  <c r="X274" i="1"/>
  <c r="AB274" i="1"/>
  <c r="AC274" i="1" s="1"/>
  <c r="AH272" i="1"/>
  <c r="Z272" i="1"/>
  <c r="AK274" i="1" l="1"/>
  <c r="AL274" i="1"/>
  <c r="AO273" i="1"/>
  <c r="AN273" i="1"/>
  <c r="AK273" i="1"/>
  <c r="AL273" i="1"/>
  <c r="N275" i="1"/>
  <c r="O275" i="1" s="1"/>
  <c r="Z273" i="1"/>
  <c r="Y273" i="1"/>
  <c r="AH273" i="1"/>
  <c r="S275" i="1"/>
  <c r="T275" i="1"/>
  <c r="W274" i="1"/>
  <c r="AA274" i="1" s="1"/>
  <c r="AM274" i="1" s="1"/>
  <c r="AD274" i="1"/>
  <c r="AE274" i="1" s="1"/>
  <c r="X275" i="1"/>
  <c r="AB275" i="1"/>
  <c r="AC275" i="1" s="1"/>
  <c r="L276" i="1"/>
  <c r="N276" i="1"/>
  <c r="F278" i="1"/>
  <c r="G278" i="1" s="1"/>
  <c r="D279" i="1"/>
  <c r="M276" i="1"/>
  <c r="P276" i="1" s="1"/>
  <c r="S276" i="1" s="1"/>
  <c r="AF273" i="1"/>
  <c r="AG273" i="1" s="1"/>
  <c r="K277" i="1"/>
  <c r="J277" i="1"/>
  <c r="I277" i="1"/>
  <c r="Q277" i="1"/>
  <c r="R277" i="1" s="1"/>
  <c r="U276" i="1"/>
  <c r="V276" i="1" s="1"/>
  <c r="O276" i="1"/>
  <c r="AL275" i="1" l="1"/>
  <c r="AK275" i="1"/>
  <c r="AO274" i="1"/>
  <c r="AN274" i="1"/>
  <c r="AH274" i="1"/>
  <c r="T276" i="1"/>
  <c r="W276" i="1" s="1"/>
  <c r="AA276" i="1" s="1"/>
  <c r="AM276" i="1" s="1"/>
  <c r="Z274" i="1"/>
  <c r="Y274" i="1"/>
  <c r="F279" i="1"/>
  <c r="G279" i="1" s="1"/>
  <c r="D280" i="1"/>
  <c r="X276" i="1"/>
  <c r="AB276" i="1"/>
  <c r="AC276" i="1" s="1"/>
  <c r="U277" i="1"/>
  <c r="V277" i="1" s="1"/>
  <c r="K278" i="1"/>
  <c r="I278" i="1"/>
  <c r="J278" i="1"/>
  <c r="Q278" i="1"/>
  <c r="R278" i="1" s="1"/>
  <c r="AF274" i="1"/>
  <c r="AG274" i="1" s="1"/>
  <c r="L277" i="1"/>
  <c r="M277" i="1" s="1"/>
  <c r="P277" i="1" s="1"/>
  <c r="W275" i="1"/>
  <c r="AA275" i="1" s="1"/>
  <c r="AM275" i="1" s="1"/>
  <c r="AD275" i="1"/>
  <c r="AE275" i="1" s="1"/>
  <c r="AO276" i="1" l="1"/>
  <c r="AN276" i="1"/>
  <c r="AN275" i="1"/>
  <c r="AO275" i="1"/>
  <c r="AK276" i="1"/>
  <c r="AL276" i="1"/>
  <c r="AD276" i="1"/>
  <c r="AE276" i="1" s="1"/>
  <c r="AF276" i="1" s="1"/>
  <c r="AG276" i="1" s="1"/>
  <c r="AH275" i="1"/>
  <c r="S277" i="1"/>
  <c r="T277" i="1"/>
  <c r="X277" i="1"/>
  <c r="AB277" i="1"/>
  <c r="AC277" i="1" s="1"/>
  <c r="N277" i="1"/>
  <c r="O277" i="1" s="1"/>
  <c r="AF275" i="1"/>
  <c r="AG275" i="1" s="1"/>
  <c r="Y276" i="1"/>
  <c r="Z276" i="1"/>
  <c r="Y275" i="1"/>
  <c r="U278" i="1"/>
  <c r="V278" i="1" s="1"/>
  <c r="L278" i="1"/>
  <c r="M278" i="1" s="1"/>
  <c r="P278" i="1" s="1"/>
  <c r="S278" i="1" s="1"/>
  <c r="F280" i="1"/>
  <c r="G280" i="1" s="1"/>
  <c r="D281" i="1"/>
  <c r="K279" i="1"/>
  <c r="J279" i="1"/>
  <c r="I279" i="1"/>
  <c r="Q279" i="1"/>
  <c r="R279" i="1" s="1"/>
  <c r="Z275" i="1"/>
  <c r="AL277" i="1" l="1"/>
  <c r="AK277" i="1"/>
  <c r="AH276" i="1"/>
  <c r="N278" i="1"/>
  <c r="O278" i="1" s="1"/>
  <c r="X278" i="1"/>
  <c r="AB278" i="1"/>
  <c r="AC278" i="1" s="1"/>
  <c r="L279" i="1"/>
  <c r="M279" i="1" s="1"/>
  <c r="P279" i="1" s="1"/>
  <c r="S279" i="1" s="1"/>
  <c r="N279" i="1"/>
  <c r="O279" i="1" s="1"/>
  <c r="F281" i="1"/>
  <c r="G281" i="1" s="1"/>
  <c r="D282" i="1"/>
  <c r="K280" i="1"/>
  <c r="I280" i="1"/>
  <c r="J280" i="1"/>
  <c r="Q280" i="1"/>
  <c r="R280" i="1" s="1"/>
  <c r="W277" i="1"/>
  <c r="AA277" i="1" s="1"/>
  <c r="AM277" i="1" s="1"/>
  <c r="AD277" i="1"/>
  <c r="AE277" i="1" s="1"/>
  <c r="U279" i="1"/>
  <c r="V279" i="1" s="1"/>
  <c r="T278" i="1"/>
  <c r="AN277" i="1" l="1"/>
  <c r="AO277" i="1"/>
  <c r="AK278" i="1"/>
  <c r="AL278" i="1"/>
  <c r="K281" i="1"/>
  <c r="I281" i="1"/>
  <c r="J281" i="1"/>
  <c r="Q281" i="1"/>
  <c r="R281" i="1" s="1"/>
  <c r="Y277" i="1"/>
  <c r="Z277" i="1"/>
  <c r="T279" i="1"/>
  <c r="W278" i="1"/>
  <c r="AA278" i="1" s="1"/>
  <c r="AM278" i="1" s="1"/>
  <c r="AD278" i="1"/>
  <c r="AE278" i="1" s="1"/>
  <c r="U280" i="1"/>
  <c r="V280" i="1" s="1"/>
  <c r="AF277" i="1"/>
  <c r="AG277" i="1" s="1"/>
  <c r="D283" i="1"/>
  <c r="F282" i="1"/>
  <c r="G282" i="1" s="1"/>
  <c r="X279" i="1"/>
  <c r="AB279" i="1"/>
  <c r="AC279" i="1" s="1"/>
  <c r="L280" i="1"/>
  <c r="N280" i="1" s="1"/>
  <c r="O280" i="1" s="1"/>
  <c r="AH277" i="1"/>
  <c r="AK279" i="1" l="1"/>
  <c r="AL279" i="1"/>
  <c r="AO278" i="1"/>
  <c r="AN278" i="1"/>
  <c r="M280" i="1"/>
  <c r="P280" i="1" s="1"/>
  <c r="S280" i="1" s="1"/>
  <c r="AH278" i="1"/>
  <c r="Z278" i="1"/>
  <c r="Y278" i="1"/>
  <c r="W279" i="1"/>
  <c r="AA279" i="1" s="1"/>
  <c r="AM279" i="1" s="1"/>
  <c r="AD279" i="1"/>
  <c r="AE279" i="1" s="1"/>
  <c r="D284" i="1"/>
  <c r="F283" i="1"/>
  <c r="G283" i="1" s="1"/>
  <c r="U281" i="1"/>
  <c r="V281" i="1" s="1"/>
  <c r="X280" i="1"/>
  <c r="AB280" i="1"/>
  <c r="AC280" i="1" s="1"/>
  <c r="AF278" i="1"/>
  <c r="AG278" i="1" s="1"/>
  <c r="L281" i="1"/>
  <c r="M281" i="1" s="1"/>
  <c r="P281" i="1" s="1"/>
  <c r="S281" i="1" s="1"/>
  <c r="K282" i="1"/>
  <c r="J282" i="1"/>
  <c r="I282" i="1"/>
  <c r="Q282" i="1"/>
  <c r="R282" i="1" s="1"/>
  <c r="AN279" i="1" l="1"/>
  <c r="AO279" i="1"/>
  <c r="T280" i="1"/>
  <c r="AH279" i="1"/>
  <c r="N281" i="1"/>
  <c r="O281" i="1" s="1"/>
  <c r="Y279" i="1"/>
  <c r="Z279" i="1"/>
  <c r="U282" i="1"/>
  <c r="V282" i="1" s="1"/>
  <c r="K283" i="1"/>
  <c r="Q283" i="1"/>
  <c r="R283" i="1" s="1"/>
  <c r="J283" i="1"/>
  <c r="I283" i="1"/>
  <c r="D285" i="1"/>
  <c r="F284" i="1"/>
  <c r="G284" i="1" s="1"/>
  <c r="T281" i="1"/>
  <c r="AF279" i="1"/>
  <c r="AG279" i="1" s="1"/>
  <c r="X281" i="1"/>
  <c r="AB281" i="1"/>
  <c r="AC281" i="1" s="1"/>
  <c r="L282" i="1"/>
  <c r="N282" i="1" s="1"/>
  <c r="O282" i="1" s="1"/>
  <c r="AK280" i="1" l="1"/>
  <c r="AL280" i="1"/>
  <c r="AD280" i="1"/>
  <c r="AE280" i="1" s="1"/>
  <c r="AF280" i="1" s="1"/>
  <c r="AG280" i="1" s="1"/>
  <c r="AK281" i="1"/>
  <c r="AL281" i="1"/>
  <c r="W280" i="1"/>
  <c r="AA280" i="1" s="1"/>
  <c r="AM280" i="1" s="1"/>
  <c r="F285" i="1"/>
  <c r="G285" i="1" s="1"/>
  <c r="D286" i="1"/>
  <c r="L283" i="1"/>
  <c r="M283" i="1" s="1"/>
  <c r="P283" i="1" s="1"/>
  <c r="M282" i="1"/>
  <c r="P282" i="1" s="1"/>
  <c r="W281" i="1"/>
  <c r="AA281" i="1" s="1"/>
  <c r="AM281" i="1" s="1"/>
  <c r="AD281" i="1"/>
  <c r="AE281" i="1" s="1"/>
  <c r="U283" i="1"/>
  <c r="V283" i="1" s="1"/>
  <c r="X282" i="1"/>
  <c r="AB282" i="1"/>
  <c r="AC282" i="1" s="1"/>
  <c r="K284" i="1"/>
  <c r="I284" i="1"/>
  <c r="Q284" i="1"/>
  <c r="R284" i="1" s="1"/>
  <c r="J284" i="1"/>
  <c r="AH280" i="1"/>
  <c r="Z280" i="1" l="1"/>
  <c r="AN280" i="1"/>
  <c r="AO280" i="1"/>
  <c r="Y280" i="1"/>
  <c r="AO281" i="1"/>
  <c r="AN281" i="1"/>
  <c r="Z281" i="1"/>
  <c r="Y281" i="1"/>
  <c r="S283" i="1"/>
  <c r="T283" i="1"/>
  <c r="L284" i="1"/>
  <c r="N284" i="1"/>
  <c r="O284" i="1" s="1"/>
  <c r="U284" i="1"/>
  <c r="V284" i="1" s="1"/>
  <c r="N283" i="1"/>
  <c r="O283" i="1" s="1"/>
  <c r="AH281" i="1"/>
  <c r="X283" i="1"/>
  <c r="AB283" i="1"/>
  <c r="AC283" i="1" s="1"/>
  <c r="S282" i="1"/>
  <c r="T282" i="1"/>
  <c r="M284" i="1"/>
  <c r="P284" i="1" s="1"/>
  <c r="S284" i="1" s="1"/>
  <c r="AF281" i="1"/>
  <c r="AG281" i="1" s="1"/>
  <c r="F286" i="1"/>
  <c r="G286" i="1" s="1"/>
  <c r="D287" i="1"/>
  <c r="K285" i="1"/>
  <c r="J285" i="1"/>
  <c r="I285" i="1"/>
  <c r="Q285" i="1"/>
  <c r="R285" i="1" s="1"/>
  <c r="AK282" i="1" l="1"/>
  <c r="AL282" i="1"/>
  <c r="AL283" i="1"/>
  <c r="AK283" i="1"/>
  <c r="L285" i="1"/>
  <c r="M285" i="1" s="1"/>
  <c r="P285" i="1" s="1"/>
  <c r="T284" i="1"/>
  <c r="F287" i="1"/>
  <c r="G287" i="1" s="1"/>
  <c r="D288" i="1"/>
  <c r="K286" i="1"/>
  <c r="Q286" i="1"/>
  <c r="R286" i="1" s="1"/>
  <c r="I286" i="1"/>
  <c r="J286" i="1"/>
  <c r="Z283" i="1"/>
  <c r="W282" i="1"/>
  <c r="AD282" i="1"/>
  <c r="X284" i="1"/>
  <c r="AB284" i="1"/>
  <c r="AC284" i="1" s="1"/>
  <c r="W283" i="1"/>
  <c r="AA283" i="1" s="1"/>
  <c r="AM283" i="1" s="1"/>
  <c r="AD283" i="1"/>
  <c r="AE283" i="1" s="1"/>
  <c r="U285" i="1"/>
  <c r="V285" i="1" s="1"/>
  <c r="AO283" i="1" l="1"/>
  <c r="AN283" i="1"/>
  <c r="AK284" i="1"/>
  <c r="AL284" i="1"/>
  <c r="AH283" i="1"/>
  <c r="N285" i="1"/>
  <c r="O285" i="1" s="1"/>
  <c r="S285" i="1"/>
  <c r="T285" i="1"/>
  <c r="X285" i="1"/>
  <c r="AB285" i="1"/>
  <c r="AC285" i="1" s="1"/>
  <c r="F288" i="1"/>
  <c r="G288" i="1" s="1"/>
  <c r="D289" i="1"/>
  <c r="K287" i="1"/>
  <c r="J287" i="1"/>
  <c r="I287" i="1"/>
  <c r="Q287" i="1"/>
  <c r="R287" i="1" s="1"/>
  <c r="W284" i="1"/>
  <c r="AA284" i="1" s="1"/>
  <c r="AM284" i="1" s="1"/>
  <c r="AD284" i="1"/>
  <c r="AE284" i="1" s="1"/>
  <c r="L286" i="1"/>
  <c r="N286" i="1" s="1"/>
  <c r="O286" i="1" s="1"/>
  <c r="AE282" i="1"/>
  <c r="AH282" i="1"/>
  <c r="AA282" i="1"/>
  <c r="AM282" i="1" s="1"/>
  <c r="Y282" i="1"/>
  <c r="Z282" i="1"/>
  <c r="AF283" i="1"/>
  <c r="AG283" i="1" s="1"/>
  <c r="Y283" i="1"/>
  <c r="U286" i="1"/>
  <c r="V286" i="1" s="1"/>
  <c r="M286" i="1" l="1"/>
  <c r="P286" i="1" s="1"/>
  <c r="S286" i="1" s="1"/>
  <c r="AK285" i="1"/>
  <c r="AL285" i="1"/>
  <c r="AN284" i="1"/>
  <c r="AO284" i="1"/>
  <c r="AO282" i="1"/>
  <c r="AN282" i="1"/>
  <c r="X286" i="1"/>
  <c r="AB286" i="1"/>
  <c r="AC286" i="1" s="1"/>
  <c r="U287" i="1"/>
  <c r="V287" i="1" s="1"/>
  <c r="F289" i="1"/>
  <c r="G289" i="1" s="1"/>
  <c r="D290" i="1"/>
  <c r="AF284" i="1"/>
  <c r="AG284" i="1" s="1"/>
  <c r="AH285" i="1"/>
  <c r="Z284" i="1"/>
  <c r="Y284" i="1"/>
  <c r="W285" i="1"/>
  <c r="AA285" i="1" s="1"/>
  <c r="AM285" i="1" s="1"/>
  <c r="AD285" i="1"/>
  <c r="AE285" i="1" s="1"/>
  <c r="K288" i="1"/>
  <c r="Q288" i="1"/>
  <c r="R288" i="1" s="1"/>
  <c r="J288" i="1"/>
  <c r="I288" i="1"/>
  <c r="T286" i="1"/>
  <c r="AH284" i="1"/>
  <c r="AF282" i="1"/>
  <c r="AG282" i="1" s="1"/>
  <c r="L287" i="1"/>
  <c r="N287" i="1" s="1"/>
  <c r="O287" i="1" s="1"/>
  <c r="AK286" i="1" l="1"/>
  <c r="AL286" i="1"/>
  <c r="AN285" i="1"/>
  <c r="AO285" i="1"/>
  <c r="M287" i="1"/>
  <c r="P287" i="1" s="1"/>
  <c r="S287" i="1" s="1"/>
  <c r="Z285" i="1"/>
  <c r="Y285" i="1"/>
  <c r="L288" i="1"/>
  <c r="N288" i="1" s="1"/>
  <c r="O288" i="1" s="1"/>
  <c r="W286" i="1"/>
  <c r="AA286" i="1" s="1"/>
  <c r="AM286" i="1" s="1"/>
  <c r="AD286" i="1"/>
  <c r="AE286" i="1" s="1"/>
  <c r="U288" i="1"/>
  <c r="V288" i="1" s="1"/>
  <c r="K289" i="1"/>
  <c r="J289" i="1"/>
  <c r="I289" i="1"/>
  <c r="Q289" i="1"/>
  <c r="R289" i="1" s="1"/>
  <c r="AB287" i="1"/>
  <c r="AC287" i="1" s="1"/>
  <c r="X287" i="1"/>
  <c r="AF285" i="1"/>
  <c r="AG285" i="1" s="1"/>
  <c r="F290" i="1"/>
  <c r="G290" i="1" s="1"/>
  <c r="D291" i="1"/>
  <c r="T287" i="1" l="1"/>
  <c r="AN286" i="1"/>
  <c r="AO286" i="1"/>
  <c r="M288" i="1"/>
  <c r="P288" i="1" s="1"/>
  <c r="S288" i="1" s="1"/>
  <c r="W287" i="1"/>
  <c r="AA287" i="1" s="1"/>
  <c r="AM287" i="1" s="1"/>
  <c r="AD287" i="1"/>
  <c r="AE287" i="1" s="1"/>
  <c r="Z286" i="1"/>
  <c r="AF286" i="1"/>
  <c r="AG286" i="1" s="1"/>
  <c r="Y286" i="1"/>
  <c r="AH286" i="1"/>
  <c r="F291" i="1"/>
  <c r="G291" i="1" s="1"/>
  <c r="D292" i="1"/>
  <c r="L289" i="1"/>
  <c r="N289" i="1"/>
  <c r="O289" i="1" s="1"/>
  <c r="K290" i="1"/>
  <c r="Q290" i="1"/>
  <c r="R290" i="1" s="1"/>
  <c r="J290" i="1"/>
  <c r="I290" i="1"/>
  <c r="U289" i="1"/>
  <c r="V289" i="1" s="1"/>
  <c r="T288" i="1"/>
  <c r="M289" i="1"/>
  <c r="P289" i="1" s="1"/>
  <c r="S289" i="1" s="1"/>
  <c r="X288" i="1"/>
  <c r="AB288" i="1"/>
  <c r="AC288" i="1" s="1"/>
  <c r="AK288" i="1" l="1"/>
  <c r="AL288" i="1"/>
  <c r="AN287" i="1"/>
  <c r="AO287" i="1"/>
  <c r="AH287" i="1"/>
  <c r="AL287" i="1"/>
  <c r="AK287" i="1"/>
  <c r="Z287" i="1"/>
  <c r="Y287" i="1"/>
  <c r="T289" i="1"/>
  <c r="F292" i="1"/>
  <c r="G292" i="1" s="1"/>
  <c r="D293" i="1"/>
  <c r="K291" i="1"/>
  <c r="Q291" i="1"/>
  <c r="R291" i="1" s="1"/>
  <c r="I291" i="1"/>
  <c r="J291" i="1"/>
  <c r="AF287" i="1"/>
  <c r="AG287" i="1" s="1"/>
  <c r="L290" i="1"/>
  <c r="N290" i="1" s="1"/>
  <c r="O290" i="1" s="1"/>
  <c r="U290" i="1"/>
  <c r="V290" i="1" s="1"/>
  <c r="W288" i="1"/>
  <c r="AA288" i="1" s="1"/>
  <c r="AM288" i="1" s="1"/>
  <c r="AD288" i="1"/>
  <c r="AE288" i="1" s="1"/>
  <c r="AB289" i="1"/>
  <c r="AC289" i="1" s="1"/>
  <c r="X289" i="1"/>
  <c r="AN288" i="1" l="1"/>
  <c r="AO288" i="1"/>
  <c r="AK289" i="1"/>
  <c r="AL289" i="1"/>
  <c r="M290" i="1"/>
  <c r="P290" i="1" s="1"/>
  <c r="S290" i="1" s="1"/>
  <c r="AH288" i="1"/>
  <c r="X290" i="1"/>
  <c r="AB290" i="1"/>
  <c r="AC290" i="1" s="1"/>
  <c r="Z288" i="1"/>
  <c r="K292" i="1"/>
  <c r="J292" i="1"/>
  <c r="Q292" i="1"/>
  <c r="R292" i="1" s="1"/>
  <c r="I292" i="1"/>
  <c r="T290" i="1"/>
  <c r="L291" i="1"/>
  <c r="M291" i="1" s="1"/>
  <c r="P291" i="1" s="1"/>
  <c r="U291" i="1"/>
  <c r="V291" i="1" s="1"/>
  <c r="Y288" i="1"/>
  <c r="F293" i="1"/>
  <c r="G293" i="1" s="1"/>
  <c r="D294" i="1"/>
  <c r="AF288" i="1"/>
  <c r="AG288" i="1" s="1"/>
  <c r="W289" i="1"/>
  <c r="AA289" i="1" s="1"/>
  <c r="AM289" i="1" s="1"/>
  <c r="AD289" i="1"/>
  <c r="AE289" i="1" s="1"/>
  <c r="AO289" i="1" l="1"/>
  <c r="AN289" i="1"/>
  <c r="AK290" i="1"/>
  <c r="AL290" i="1"/>
  <c r="N291" i="1"/>
  <c r="O291" i="1" s="1"/>
  <c r="S291" i="1"/>
  <c r="T291" i="1"/>
  <c r="AF289" i="1"/>
  <c r="AG289" i="1"/>
  <c r="Y289" i="1"/>
  <c r="X291" i="1"/>
  <c r="AB291" i="1"/>
  <c r="AC291" i="1" s="1"/>
  <c r="F294" i="1"/>
  <c r="G294" i="1" s="1"/>
  <c r="D295" i="1"/>
  <c r="W290" i="1"/>
  <c r="AA290" i="1" s="1"/>
  <c r="AM290" i="1" s="1"/>
  <c r="AD290" i="1"/>
  <c r="AE290" i="1" s="1"/>
  <c r="U292" i="1"/>
  <c r="V292" i="1" s="1"/>
  <c r="Z289" i="1"/>
  <c r="L292" i="1"/>
  <c r="N292" i="1" s="1"/>
  <c r="O292" i="1" s="1"/>
  <c r="AH289" i="1"/>
  <c r="K293" i="1"/>
  <c r="Q293" i="1"/>
  <c r="R293" i="1" s="1"/>
  <c r="J293" i="1"/>
  <c r="I293" i="1"/>
  <c r="AN290" i="1" l="1"/>
  <c r="AO290" i="1"/>
  <c r="AL291" i="1"/>
  <c r="AK291" i="1"/>
  <c r="AH290" i="1"/>
  <c r="X292" i="1"/>
  <c r="AB292" i="1"/>
  <c r="AC292" i="1" s="1"/>
  <c r="AF290" i="1"/>
  <c r="AG290" i="1" s="1"/>
  <c r="Y290" i="1"/>
  <c r="W291" i="1"/>
  <c r="AA291" i="1" s="1"/>
  <c r="AM291" i="1" s="1"/>
  <c r="AD291" i="1"/>
  <c r="AE291" i="1" s="1"/>
  <c r="M292" i="1"/>
  <c r="P292" i="1" s="1"/>
  <c r="L293" i="1"/>
  <c r="M293" i="1" s="1"/>
  <c r="P293" i="1" s="1"/>
  <c r="U293" i="1"/>
  <c r="V293" i="1" s="1"/>
  <c r="F295" i="1"/>
  <c r="G295" i="1" s="1"/>
  <c r="D296" i="1"/>
  <c r="Z290" i="1"/>
  <c r="K294" i="1"/>
  <c r="I294" i="1"/>
  <c r="J294" i="1"/>
  <c r="Q294" i="1"/>
  <c r="R294" i="1" s="1"/>
  <c r="AN291" i="1" l="1"/>
  <c r="AO291" i="1"/>
  <c r="N293" i="1"/>
  <c r="O293" i="1" s="1"/>
  <c r="AH291" i="1"/>
  <c r="S293" i="1"/>
  <c r="T293" i="1"/>
  <c r="M294" i="1"/>
  <c r="P294" i="1" s="1"/>
  <c r="S294" i="1" s="1"/>
  <c r="X293" i="1"/>
  <c r="AB293" i="1"/>
  <c r="AC293" i="1" s="1"/>
  <c r="Z291" i="1"/>
  <c r="U294" i="1"/>
  <c r="V294" i="1" s="1"/>
  <c r="L294" i="1"/>
  <c r="N294" i="1"/>
  <c r="O294" i="1"/>
  <c r="Y291" i="1"/>
  <c r="F296" i="1"/>
  <c r="G296" i="1" s="1"/>
  <c r="D297" i="1"/>
  <c r="K295" i="1"/>
  <c r="J295" i="1"/>
  <c r="I295" i="1"/>
  <c r="Q295" i="1"/>
  <c r="R295" i="1" s="1"/>
  <c r="S292" i="1"/>
  <c r="T292" i="1"/>
  <c r="AF291" i="1"/>
  <c r="AG291" i="1" s="1"/>
  <c r="AK292" i="1" l="1"/>
  <c r="AL292" i="1"/>
  <c r="AK293" i="1"/>
  <c r="AL293" i="1"/>
  <c r="X294" i="1"/>
  <c r="AB294" i="1"/>
  <c r="AC294" i="1" s="1"/>
  <c r="F297" i="1"/>
  <c r="G297" i="1" s="1"/>
  <c r="D298" i="1"/>
  <c r="K296" i="1"/>
  <c r="J296" i="1"/>
  <c r="I296" i="1"/>
  <c r="Q296" i="1"/>
  <c r="R296" i="1" s="1"/>
  <c r="W292" i="1"/>
  <c r="AD292" i="1"/>
  <c r="U295" i="1"/>
  <c r="V295" i="1" s="1"/>
  <c r="W293" i="1"/>
  <c r="AA293" i="1" s="1"/>
  <c r="AM293" i="1" s="1"/>
  <c r="AD293" i="1"/>
  <c r="AE293" i="1" s="1"/>
  <c r="L295" i="1"/>
  <c r="M295" i="1" s="1"/>
  <c r="P295" i="1" s="1"/>
  <c r="T294" i="1"/>
  <c r="AK294" i="1" l="1"/>
  <c r="AL294" i="1"/>
  <c r="AN293" i="1"/>
  <c r="AO293" i="1"/>
  <c r="Y293" i="1"/>
  <c r="S295" i="1"/>
  <c r="T295" i="1"/>
  <c r="AE292" i="1"/>
  <c r="AH292" i="1"/>
  <c r="D299" i="1"/>
  <c r="F298" i="1"/>
  <c r="G298" i="1" s="1"/>
  <c r="W294" i="1"/>
  <c r="AA294" i="1" s="1"/>
  <c r="AM294" i="1" s="1"/>
  <c r="AD294" i="1"/>
  <c r="AE294" i="1" s="1"/>
  <c r="N295" i="1"/>
  <c r="O295" i="1" s="1"/>
  <c r="U296" i="1"/>
  <c r="V296" i="1" s="1"/>
  <c r="Z293" i="1"/>
  <c r="X295" i="1"/>
  <c r="AB295" i="1"/>
  <c r="AC295" i="1" s="1"/>
  <c r="K297" i="1"/>
  <c r="Q297" i="1"/>
  <c r="R297" i="1" s="1"/>
  <c r="I297" i="1"/>
  <c r="J297" i="1"/>
  <c r="AA292" i="1"/>
  <c r="AM292" i="1" s="1"/>
  <c r="Y292" i="1"/>
  <c r="Z292" i="1"/>
  <c r="AF293" i="1"/>
  <c r="AG293" i="1" s="1"/>
  <c r="L296" i="1"/>
  <c r="N296" i="1" s="1"/>
  <c r="O296" i="1" s="1"/>
  <c r="AH293" i="1"/>
  <c r="AO294" i="1" l="1"/>
  <c r="AN294" i="1"/>
  <c r="AO292" i="1"/>
  <c r="AN292" i="1"/>
  <c r="AL295" i="1"/>
  <c r="AK295" i="1"/>
  <c r="Z294" i="1"/>
  <c r="X296" i="1"/>
  <c r="AB296" i="1"/>
  <c r="AC296" i="1" s="1"/>
  <c r="AF294" i="1"/>
  <c r="AG294" i="1" s="1"/>
  <c r="M296" i="1"/>
  <c r="P296" i="1" s="1"/>
  <c r="F299" i="1"/>
  <c r="G299" i="1" s="1"/>
  <c r="D300" i="1"/>
  <c r="L297" i="1"/>
  <c r="N297" i="1" s="1"/>
  <c r="O297" i="1" s="1"/>
  <c r="AF292" i="1"/>
  <c r="AG292" i="1" s="1"/>
  <c r="U297" i="1"/>
  <c r="V297" i="1" s="1"/>
  <c r="W295" i="1"/>
  <c r="AA295" i="1" s="1"/>
  <c r="AM295" i="1" s="1"/>
  <c r="AD295" i="1"/>
  <c r="AE295" i="1" s="1"/>
  <c r="K298" i="1"/>
  <c r="Q298" i="1"/>
  <c r="R298" i="1" s="1"/>
  <c r="I298" i="1"/>
  <c r="J298" i="1"/>
  <c r="Y294" i="1"/>
  <c r="AH294" i="1"/>
  <c r="AN295" i="1" l="1"/>
  <c r="AO295" i="1"/>
  <c r="M297" i="1"/>
  <c r="P297" i="1" s="1"/>
  <c r="S297" i="1" s="1"/>
  <c r="Y295" i="1"/>
  <c r="S296" i="1"/>
  <c r="T296" i="1"/>
  <c r="U298" i="1"/>
  <c r="V298" i="1" s="1"/>
  <c r="AF295" i="1"/>
  <c r="AG295" i="1" s="1"/>
  <c r="D301" i="1"/>
  <c r="F300" i="1"/>
  <c r="G300" i="1" s="1"/>
  <c r="X297" i="1"/>
  <c r="AB297" i="1"/>
  <c r="AC297" i="1" s="1"/>
  <c r="L298" i="1"/>
  <c r="N298" i="1" s="1"/>
  <c r="O298" i="1" s="1"/>
  <c r="Z295" i="1"/>
  <c r="T297" i="1"/>
  <c r="K299" i="1"/>
  <c r="J299" i="1"/>
  <c r="Q299" i="1"/>
  <c r="R299" i="1" s="1"/>
  <c r="I299" i="1"/>
  <c r="AH295" i="1"/>
  <c r="AK296" i="1" l="1"/>
  <c r="AL296" i="1"/>
  <c r="AK297" i="1"/>
  <c r="AL297" i="1"/>
  <c r="M298" i="1"/>
  <c r="P298" i="1" s="1"/>
  <c r="S298" i="1" s="1"/>
  <c r="U299" i="1"/>
  <c r="V299" i="1" s="1"/>
  <c r="L299" i="1"/>
  <c r="M299" i="1" s="1"/>
  <c r="P299" i="1" s="1"/>
  <c r="N299" i="1"/>
  <c r="O299" i="1" s="1"/>
  <c r="X298" i="1"/>
  <c r="AB298" i="1"/>
  <c r="AC298" i="1" s="1"/>
  <c r="W297" i="1"/>
  <c r="AA297" i="1" s="1"/>
  <c r="AM297" i="1" s="1"/>
  <c r="AD297" i="1"/>
  <c r="AE297" i="1" s="1"/>
  <c r="W296" i="1"/>
  <c r="AD296" i="1"/>
  <c r="K300" i="1"/>
  <c r="I300" i="1"/>
  <c r="J300" i="1"/>
  <c r="Q300" i="1"/>
  <c r="R300" i="1" s="1"/>
  <c r="F301" i="1"/>
  <c r="G301" i="1" s="1"/>
  <c r="D302" i="1"/>
  <c r="AO297" i="1" l="1"/>
  <c r="AN297" i="1"/>
  <c r="T298" i="1"/>
  <c r="Z297" i="1"/>
  <c r="S299" i="1"/>
  <c r="T299" i="1"/>
  <c r="AA296" i="1"/>
  <c r="AM296" i="1" s="1"/>
  <c r="Z296" i="1"/>
  <c r="Y296" i="1"/>
  <c r="F302" i="1"/>
  <c r="G302" i="1" s="1"/>
  <c r="D303" i="1"/>
  <c r="L300" i="1"/>
  <c r="N300" i="1" s="1"/>
  <c r="O300" i="1" s="1"/>
  <c r="M300" i="1"/>
  <c r="P300" i="1" s="1"/>
  <c r="S300" i="1" s="1"/>
  <c r="W298" i="1"/>
  <c r="AA298" i="1" s="1"/>
  <c r="AM298" i="1" s="1"/>
  <c r="AE296" i="1"/>
  <c r="AH296" i="1"/>
  <c r="AF297" i="1"/>
  <c r="AG297" i="1" s="1"/>
  <c r="K301" i="1"/>
  <c r="J301" i="1"/>
  <c r="I301" i="1"/>
  <c r="Q301" i="1"/>
  <c r="R301" i="1" s="1"/>
  <c r="U300" i="1"/>
  <c r="V300" i="1" s="1"/>
  <c r="AH297" i="1"/>
  <c r="X299" i="1"/>
  <c r="AB299" i="1"/>
  <c r="AC299" i="1" s="1"/>
  <c r="Y297" i="1"/>
  <c r="AK298" i="1" l="1"/>
  <c r="AL298" i="1"/>
  <c r="AO298" i="1"/>
  <c r="AN298" i="1"/>
  <c r="AK299" i="1"/>
  <c r="AL299" i="1"/>
  <c r="AD298" i="1"/>
  <c r="AE298" i="1" s="1"/>
  <c r="AF298" i="1" s="1"/>
  <c r="AG298" i="1" s="1"/>
  <c r="AN296" i="1"/>
  <c r="AO296" i="1"/>
  <c r="X300" i="1"/>
  <c r="AB300" i="1"/>
  <c r="AC300" i="1" s="1"/>
  <c r="U301" i="1"/>
  <c r="V301" i="1" s="1"/>
  <c r="AF296" i="1"/>
  <c r="AG296" i="1" s="1"/>
  <c r="F303" i="1"/>
  <c r="G303" i="1" s="1"/>
  <c r="D304" i="1"/>
  <c r="K302" i="1"/>
  <c r="Q302" i="1"/>
  <c r="R302" i="1" s="1"/>
  <c r="J302" i="1"/>
  <c r="I302" i="1"/>
  <c r="L301" i="1"/>
  <c r="N301" i="1" s="1"/>
  <c r="O301" i="1" s="1"/>
  <c r="Y298" i="1"/>
  <c r="Z298" i="1"/>
  <c r="W299" i="1"/>
  <c r="AA299" i="1" s="1"/>
  <c r="AM299" i="1" s="1"/>
  <c r="AD299" i="1"/>
  <c r="AE299" i="1" s="1"/>
  <c r="T300" i="1"/>
  <c r="AK300" i="1" l="1"/>
  <c r="AL300" i="1"/>
  <c r="AH298" i="1"/>
  <c r="AO299" i="1"/>
  <c r="AN299" i="1"/>
  <c r="M301" i="1"/>
  <c r="P301" i="1" s="1"/>
  <c r="S301" i="1" s="1"/>
  <c r="Z299" i="1"/>
  <c r="Y299" i="1"/>
  <c r="AH299" i="1"/>
  <c r="F304" i="1"/>
  <c r="G304" i="1" s="1"/>
  <c r="D305" i="1"/>
  <c r="X301" i="1"/>
  <c r="AB301" i="1"/>
  <c r="AC301" i="1" s="1"/>
  <c r="L302" i="1"/>
  <c r="M302" i="1" s="1"/>
  <c r="P302" i="1" s="1"/>
  <c r="K303" i="1"/>
  <c r="J303" i="1"/>
  <c r="Q303" i="1"/>
  <c r="R303" i="1" s="1"/>
  <c r="I303" i="1"/>
  <c r="T301" i="1"/>
  <c r="AH300" i="1"/>
  <c r="U302" i="1"/>
  <c r="V302" i="1" s="1"/>
  <c r="W300" i="1"/>
  <c r="AA300" i="1" s="1"/>
  <c r="AM300" i="1" s="1"/>
  <c r="AD300" i="1"/>
  <c r="AE300" i="1" s="1"/>
  <c r="AF299" i="1"/>
  <c r="AG299" i="1" s="1"/>
  <c r="AK301" i="1" l="1"/>
  <c r="AL301" i="1"/>
  <c r="AN300" i="1"/>
  <c r="AO300" i="1"/>
  <c r="S302" i="1"/>
  <c r="T302" i="1"/>
  <c r="AB302" i="1"/>
  <c r="AC302" i="1" s="1"/>
  <c r="X302" i="1"/>
  <c r="N302" i="1"/>
  <c r="O302" i="1" s="1"/>
  <c r="Y300" i="1"/>
  <c r="F305" i="1"/>
  <c r="G305" i="1" s="1"/>
  <c r="D306" i="1"/>
  <c r="L303" i="1"/>
  <c r="N303" i="1" s="1"/>
  <c r="O303" i="1" s="1"/>
  <c r="Z300" i="1"/>
  <c r="W301" i="1"/>
  <c r="AA301" i="1" s="1"/>
  <c r="AM301" i="1" s="1"/>
  <c r="AD301" i="1"/>
  <c r="AE301" i="1" s="1"/>
  <c r="AF300" i="1"/>
  <c r="AG300" i="1" s="1"/>
  <c r="U303" i="1"/>
  <c r="V303" i="1" s="1"/>
  <c r="K304" i="1"/>
  <c r="I304" i="1"/>
  <c r="J304" i="1"/>
  <c r="Q304" i="1"/>
  <c r="R304" i="1" s="1"/>
  <c r="AK302" i="1" l="1"/>
  <c r="AL302" i="1"/>
  <c r="M303" i="1"/>
  <c r="P303" i="1" s="1"/>
  <c r="S303" i="1" s="1"/>
  <c r="AN301" i="1"/>
  <c r="AO301" i="1"/>
  <c r="T303" i="1"/>
  <c r="AF301" i="1"/>
  <c r="AG301" i="1" s="1"/>
  <c r="AB303" i="1"/>
  <c r="AC303" i="1" s="1"/>
  <c r="X303" i="1"/>
  <c r="U304" i="1"/>
  <c r="V304" i="1" s="1"/>
  <c r="Z301" i="1"/>
  <c r="F306" i="1"/>
  <c r="G306" i="1" s="1"/>
  <c r="D307" i="1"/>
  <c r="W302" i="1"/>
  <c r="AA302" i="1" s="1"/>
  <c r="AM302" i="1" s="1"/>
  <c r="AD302" i="1"/>
  <c r="AE302" i="1" s="1"/>
  <c r="AH301" i="1"/>
  <c r="L304" i="1"/>
  <c r="M304" i="1" s="1"/>
  <c r="P304" i="1" s="1"/>
  <c r="Y301" i="1"/>
  <c r="K305" i="1"/>
  <c r="J305" i="1"/>
  <c r="I305" i="1"/>
  <c r="Q305" i="1"/>
  <c r="R305" i="1" s="1"/>
  <c r="AN302" i="1" l="1"/>
  <c r="AO302" i="1"/>
  <c r="Z302" i="1"/>
  <c r="AK303" i="1"/>
  <c r="AL303" i="1"/>
  <c r="N304" i="1"/>
  <c r="O304" i="1" s="1"/>
  <c r="S304" i="1"/>
  <c r="T304" i="1"/>
  <c r="X304" i="1"/>
  <c r="AB304" i="1"/>
  <c r="AC304" i="1" s="1"/>
  <c r="L305" i="1"/>
  <c r="M305" i="1" s="1"/>
  <c r="P305" i="1" s="1"/>
  <c r="AH302" i="1"/>
  <c r="AF302" i="1"/>
  <c r="AG302" i="1" s="1"/>
  <c r="F307" i="1"/>
  <c r="G307" i="1" s="1"/>
  <c r="D308" i="1"/>
  <c r="K306" i="1"/>
  <c r="J306" i="1"/>
  <c r="Q306" i="1"/>
  <c r="R306" i="1" s="1"/>
  <c r="I306" i="1"/>
  <c r="W303" i="1"/>
  <c r="AA303" i="1" s="1"/>
  <c r="AM303" i="1" s="1"/>
  <c r="AD303" i="1"/>
  <c r="AE303" i="1" s="1"/>
  <c r="U305" i="1"/>
  <c r="V305" i="1" s="1"/>
  <c r="Y302" i="1"/>
  <c r="Z303" i="1" l="1"/>
  <c r="AO303" i="1"/>
  <c r="AN303" i="1"/>
  <c r="Y303" i="1"/>
  <c r="AK304" i="1"/>
  <c r="AL304" i="1"/>
  <c r="N305" i="1"/>
  <c r="O305" i="1" s="1"/>
  <c r="S305" i="1"/>
  <c r="T305" i="1"/>
  <c r="K307" i="1"/>
  <c r="I307" i="1"/>
  <c r="Q307" i="1"/>
  <c r="R307" i="1" s="1"/>
  <c r="J307" i="1"/>
  <c r="D309" i="1"/>
  <c r="F308" i="1"/>
  <c r="G308" i="1" s="1"/>
  <c r="AF303" i="1"/>
  <c r="AG303" i="1"/>
  <c r="U306" i="1"/>
  <c r="V306" i="1" s="1"/>
  <c r="L306" i="1"/>
  <c r="M306" i="1" s="1"/>
  <c r="P306" i="1" s="1"/>
  <c r="W304" i="1"/>
  <c r="AA304" i="1" s="1"/>
  <c r="AM304" i="1" s="1"/>
  <c r="AD304" i="1"/>
  <c r="AE304" i="1" s="1"/>
  <c r="X305" i="1"/>
  <c r="AB305" i="1"/>
  <c r="AC305" i="1" s="1"/>
  <c r="AH303" i="1"/>
  <c r="AK305" i="1" l="1"/>
  <c r="AL305" i="1"/>
  <c r="AO304" i="1"/>
  <c r="AN304" i="1"/>
  <c r="Z304" i="1"/>
  <c r="Y304" i="1"/>
  <c r="AH304" i="1"/>
  <c r="S306" i="1"/>
  <c r="T306" i="1"/>
  <c r="U307" i="1"/>
  <c r="V307" i="1" s="1"/>
  <c r="X306" i="1"/>
  <c r="AB306" i="1"/>
  <c r="AC306" i="1" s="1"/>
  <c r="AF304" i="1"/>
  <c r="AG304" i="1" s="1"/>
  <c r="W305" i="1"/>
  <c r="AA305" i="1" s="1"/>
  <c r="AM305" i="1" s="1"/>
  <c r="AD305" i="1"/>
  <c r="AE305" i="1" s="1"/>
  <c r="K308" i="1"/>
  <c r="J308" i="1"/>
  <c r="I308" i="1"/>
  <c r="Q308" i="1"/>
  <c r="R308" i="1" s="1"/>
  <c r="N306" i="1"/>
  <c r="O306" i="1" s="1"/>
  <c r="F309" i="1"/>
  <c r="G309" i="1" s="1"/>
  <c r="D310" i="1"/>
  <c r="L307" i="1"/>
  <c r="N307" i="1" s="1"/>
  <c r="O307" i="1" s="1"/>
  <c r="Y305" i="1" l="1"/>
  <c r="AN305" i="1"/>
  <c r="AO305" i="1"/>
  <c r="Z305" i="1"/>
  <c r="AK306" i="1"/>
  <c r="AL306" i="1"/>
  <c r="M307" i="1"/>
  <c r="P307" i="1" s="1"/>
  <c r="S307" i="1" s="1"/>
  <c r="AH305" i="1"/>
  <c r="K309" i="1"/>
  <c r="Q309" i="1"/>
  <c r="R309" i="1" s="1"/>
  <c r="I309" i="1"/>
  <c r="J309" i="1"/>
  <c r="L308" i="1"/>
  <c r="M308" i="1" s="1"/>
  <c r="P308" i="1" s="1"/>
  <c r="N308" i="1"/>
  <c r="O308" i="1" s="1"/>
  <c r="AF305" i="1"/>
  <c r="AG305" i="1" s="1"/>
  <c r="W306" i="1"/>
  <c r="AA306" i="1" s="1"/>
  <c r="AM306" i="1" s="1"/>
  <c r="AD306" i="1"/>
  <c r="AE306" i="1" s="1"/>
  <c r="U308" i="1"/>
  <c r="V308" i="1" s="1"/>
  <c r="X307" i="1"/>
  <c r="AB307" i="1"/>
  <c r="AC307" i="1" s="1"/>
  <c r="F310" i="1"/>
  <c r="G310" i="1" s="1"/>
  <c r="D311" i="1"/>
  <c r="AO306" i="1" l="1"/>
  <c r="AN306" i="1"/>
  <c r="T307" i="1"/>
  <c r="S308" i="1"/>
  <c r="T308" i="1"/>
  <c r="X308" i="1"/>
  <c r="AB308" i="1"/>
  <c r="AC308" i="1" s="1"/>
  <c r="F311" i="1"/>
  <c r="G311" i="1" s="1"/>
  <c r="D312" i="1"/>
  <c r="Z306" i="1"/>
  <c r="AF306" i="1"/>
  <c r="AG306" i="1" s="1"/>
  <c r="K310" i="1"/>
  <c r="I310" i="1"/>
  <c r="Q310" i="1"/>
  <c r="R310" i="1" s="1"/>
  <c r="J310" i="1"/>
  <c r="L309" i="1"/>
  <c r="M309" i="1" s="1"/>
  <c r="P309" i="1" s="1"/>
  <c r="U309" i="1"/>
  <c r="V309" i="1" s="1"/>
  <c r="Y306" i="1"/>
  <c r="AH306" i="1"/>
  <c r="W307" i="1"/>
  <c r="AA307" i="1" s="1"/>
  <c r="AM307" i="1" s="1"/>
  <c r="AD307" i="1"/>
  <c r="AE307" i="1" s="1"/>
  <c r="AO307" i="1" l="1"/>
  <c r="AN307" i="1"/>
  <c r="AK308" i="1"/>
  <c r="AL308" i="1"/>
  <c r="AK307" i="1"/>
  <c r="AL307" i="1"/>
  <c r="N309" i="1"/>
  <c r="O309" i="1" s="1"/>
  <c r="AH307" i="1"/>
  <c r="S309" i="1"/>
  <c r="T309" i="1"/>
  <c r="F312" i="1"/>
  <c r="G312" i="1" s="1"/>
  <c r="D313" i="1"/>
  <c r="K311" i="1"/>
  <c r="J311" i="1"/>
  <c r="I311" i="1"/>
  <c r="Q311" i="1"/>
  <c r="R311" i="1" s="1"/>
  <c r="U310" i="1"/>
  <c r="V310" i="1" s="1"/>
  <c r="L310" i="1"/>
  <c r="N310" i="1" s="1"/>
  <c r="O310" i="1" s="1"/>
  <c r="Y307" i="1"/>
  <c r="W308" i="1"/>
  <c r="AA308" i="1" s="1"/>
  <c r="AM308" i="1" s="1"/>
  <c r="AD308" i="1"/>
  <c r="AE308" i="1" s="1"/>
  <c r="X309" i="1"/>
  <c r="AB309" i="1"/>
  <c r="AC309" i="1" s="1"/>
  <c r="AF307" i="1"/>
  <c r="AG307" i="1" s="1"/>
  <c r="Z307" i="1"/>
  <c r="AN308" i="1" l="1"/>
  <c r="AO308" i="1"/>
  <c r="AK309" i="1"/>
  <c r="AL309" i="1"/>
  <c r="M310" i="1"/>
  <c r="P310" i="1" s="1"/>
  <c r="S310" i="1" s="1"/>
  <c r="AH308" i="1"/>
  <c r="Y308" i="1"/>
  <c r="Z308" i="1"/>
  <c r="L311" i="1"/>
  <c r="M311" i="1" s="1"/>
  <c r="P311" i="1" s="1"/>
  <c r="AH309" i="1"/>
  <c r="F313" i="1"/>
  <c r="G313" i="1" s="1"/>
  <c r="D314" i="1"/>
  <c r="AB310" i="1"/>
  <c r="AC310" i="1" s="1"/>
  <c r="X310" i="1"/>
  <c r="W309" i="1"/>
  <c r="AA309" i="1" s="1"/>
  <c r="AM309" i="1" s="1"/>
  <c r="AD309" i="1"/>
  <c r="AE309" i="1" s="1"/>
  <c r="U311" i="1"/>
  <c r="V311" i="1" s="1"/>
  <c r="K312" i="1"/>
  <c r="I312" i="1"/>
  <c r="J312" i="1"/>
  <c r="Q312" i="1"/>
  <c r="R312" i="1" s="1"/>
  <c r="AF308" i="1"/>
  <c r="AG308" i="1" s="1"/>
  <c r="T310" i="1" l="1"/>
  <c r="AN309" i="1"/>
  <c r="AO309" i="1"/>
  <c r="Y309" i="1"/>
  <c r="Z309" i="1"/>
  <c r="S311" i="1"/>
  <c r="T311" i="1"/>
  <c r="W310" i="1"/>
  <c r="AA310" i="1" s="1"/>
  <c r="AM310" i="1" s="1"/>
  <c r="AD310" i="1"/>
  <c r="AE310" i="1" s="1"/>
  <c r="F314" i="1"/>
  <c r="G314" i="1" s="1"/>
  <c r="D315" i="1"/>
  <c r="AB311" i="1"/>
  <c r="AC311" i="1" s="1"/>
  <c r="X311" i="1"/>
  <c r="AF309" i="1"/>
  <c r="AG309" i="1"/>
  <c r="N311" i="1"/>
  <c r="O311" i="1" s="1"/>
  <c r="K313" i="1"/>
  <c r="I313" i="1"/>
  <c r="Q313" i="1"/>
  <c r="R313" i="1" s="1"/>
  <c r="J313" i="1"/>
  <c r="U312" i="1"/>
  <c r="V312" i="1" s="1"/>
  <c r="L312" i="1"/>
  <c r="N312" i="1" s="1"/>
  <c r="O312" i="1" s="1"/>
  <c r="AL311" i="1" l="1"/>
  <c r="AK311" i="1"/>
  <c r="AN310" i="1"/>
  <c r="AO310" i="1"/>
  <c r="AK310" i="1"/>
  <c r="AL310" i="1"/>
  <c r="K314" i="1"/>
  <c r="I314" i="1"/>
  <c r="Q314" i="1"/>
  <c r="R314" i="1" s="1"/>
  <c r="J314" i="1"/>
  <c r="AH310" i="1"/>
  <c r="L313" i="1"/>
  <c r="M313" i="1" s="1"/>
  <c r="P313" i="1" s="1"/>
  <c r="N313" i="1"/>
  <c r="O313" i="1" s="1"/>
  <c r="M312" i="1"/>
  <c r="P312" i="1" s="1"/>
  <c r="AF310" i="1"/>
  <c r="AG310" i="1" s="1"/>
  <c r="X312" i="1"/>
  <c r="AB312" i="1"/>
  <c r="AC312" i="1" s="1"/>
  <c r="Z310" i="1"/>
  <c r="Y310" i="1"/>
  <c r="U313" i="1"/>
  <c r="V313" i="1" s="1"/>
  <c r="W311" i="1"/>
  <c r="AA311" i="1" s="1"/>
  <c r="AM311" i="1" s="1"/>
  <c r="AD311" i="1"/>
  <c r="AE311" i="1" s="1"/>
  <c r="F315" i="1"/>
  <c r="G315" i="1" s="1"/>
  <c r="D316" i="1"/>
  <c r="AN311" i="1" l="1"/>
  <c r="AO311" i="1"/>
  <c r="Y311" i="1"/>
  <c r="S313" i="1"/>
  <c r="T313" i="1"/>
  <c r="AF311" i="1"/>
  <c r="AG311" i="1" s="1"/>
  <c r="X313" i="1"/>
  <c r="AB313" i="1"/>
  <c r="AC313" i="1" s="1"/>
  <c r="U314" i="1"/>
  <c r="V314" i="1" s="1"/>
  <c r="S312" i="1"/>
  <c r="T312" i="1"/>
  <c r="K315" i="1"/>
  <c r="J315" i="1"/>
  <c r="I315" i="1"/>
  <c r="Q315" i="1"/>
  <c r="R315" i="1" s="1"/>
  <c r="L314" i="1"/>
  <c r="N314" i="1" s="1"/>
  <c r="O314" i="1" s="1"/>
  <c r="F316" i="1"/>
  <c r="G316" i="1" s="1"/>
  <c r="D317" i="1"/>
  <c r="Z311" i="1"/>
  <c r="AH311" i="1"/>
  <c r="AK313" i="1" l="1"/>
  <c r="AL313" i="1"/>
  <c r="AK312" i="1"/>
  <c r="AL312" i="1"/>
  <c r="M314" i="1"/>
  <c r="P314" i="1" s="1"/>
  <c r="S314" i="1" s="1"/>
  <c r="U315" i="1"/>
  <c r="V315" i="1" s="1"/>
  <c r="T314" i="1"/>
  <c r="W313" i="1"/>
  <c r="AA313" i="1" s="1"/>
  <c r="AM313" i="1" s="1"/>
  <c r="AD313" i="1"/>
  <c r="AE313" i="1" s="1"/>
  <c r="F317" i="1"/>
  <c r="G317" i="1" s="1"/>
  <c r="D318" i="1"/>
  <c r="K316" i="1"/>
  <c r="I316" i="1"/>
  <c r="Q316" i="1"/>
  <c r="R316" i="1" s="1"/>
  <c r="J316" i="1"/>
  <c r="L315" i="1"/>
  <c r="N315" i="1" s="1"/>
  <c r="O315" i="1" s="1"/>
  <c r="W312" i="1"/>
  <c r="AD312" i="1"/>
  <c r="X314" i="1"/>
  <c r="AB314" i="1"/>
  <c r="AC314" i="1" s="1"/>
  <c r="AN313" i="1" l="1"/>
  <c r="AO313" i="1"/>
  <c r="AK314" i="1"/>
  <c r="AL314" i="1"/>
  <c r="AH313" i="1"/>
  <c r="L316" i="1"/>
  <c r="N316" i="1" s="1"/>
  <c r="O316" i="1" s="1"/>
  <c r="U316" i="1"/>
  <c r="V316" i="1" s="1"/>
  <c r="W314" i="1"/>
  <c r="AA314" i="1" s="1"/>
  <c r="AM314" i="1" s="1"/>
  <c r="AD314" i="1"/>
  <c r="AE314" i="1" s="1"/>
  <c r="AA312" i="1"/>
  <c r="AM312" i="1" s="1"/>
  <c r="Y312" i="1"/>
  <c r="Z312" i="1"/>
  <c r="Z313" i="1"/>
  <c r="M315" i="1"/>
  <c r="P315" i="1" s="1"/>
  <c r="F318" i="1"/>
  <c r="G318" i="1" s="1"/>
  <c r="D319" i="1"/>
  <c r="AF313" i="1"/>
  <c r="AG313" i="1" s="1"/>
  <c r="AE312" i="1"/>
  <c r="AH312" i="1"/>
  <c r="Y313" i="1"/>
  <c r="K317" i="1"/>
  <c r="Q317" i="1"/>
  <c r="R317" i="1" s="1"/>
  <c r="I317" i="1"/>
  <c r="J317" i="1"/>
  <c r="X315" i="1"/>
  <c r="AB315" i="1"/>
  <c r="AC315" i="1" s="1"/>
  <c r="AO312" i="1" l="1"/>
  <c r="AN312" i="1"/>
  <c r="AH314" i="1"/>
  <c r="M316" i="1"/>
  <c r="P316" i="1" s="1"/>
  <c r="AO314" i="1"/>
  <c r="AN314" i="1"/>
  <c r="Z314" i="1"/>
  <c r="Y314" i="1"/>
  <c r="K318" i="1"/>
  <c r="Q318" i="1"/>
  <c r="R318" i="1" s="1"/>
  <c r="J318" i="1"/>
  <c r="I318" i="1"/>
  <c r="AF312" i="1"/>
  <c r="AG312" i="1" s="1"/>
  <c r="L317" i="1"/>
  <c r="N317" i="1" s="1"/>
  <c r="O317" i="1" s="1"/>
  <c r="U317" i="1"/>
  <c r="V317" i="1" s="1"/>
  <c r="AF314" i="1"/>
  <c r="AG314" i="1" s="1"/>
  <c r="S315" i="1"/>
  <c r="T315" i="1"/>
  <c r="X316" i="1"/>
  <c r="AB316" i="1"/>
  <c r="AC316" i="1" s="1"/>
  <c r="F319" i="1"/>
  <c r="G319" i="1" s="1"/>
  <c r="D320" i="1"/>
  <c r="AK315" i="1" l="1"/>
  <c r="AL315" i="1"/>
  <c r="S316" i="1"/>
  <c r="T316" i="1"/>
  <c r="M317" i="1"/>
  <c r="P317" i="1" s="1"/>
  <c r="K319" i="1"/>
  <c r="J319" i="1"/>
  <c r="I319" i="1"/>
  <c r="Q319" i="1"/>
  <c r="R319" i="1" s="1"/>
  <c r="U318" i="1"/>
  <c r="V318" i="1" s="1"/>
  <c r="AB317" i="1"/>
  <c r="AC317" i="1" s="1"/>
  <c r="X317" i="1"/>
  <c r="W315" i="1"/>
  <c r="AD315" i="1"/>
  <c r="L318" i="1"/>
  <c r="N318" i="1" s="1"/>
  <c r="O318" i="1" s="1"/>
  <c r="F320" i="1"/>
  <c r="G320" i="1" s="1"/>
  <c r="D321" i="1"/>
  <c r="AK316" i="1" l="1"/>
  <c r="AL316" i="1"/>
  <c r="W316" i="1"/>
  <c r="AD316" i="1"/>
  <c r="AE316" i="1" s="1"/>
  <c r="AA315" i="1"/>
  <c r="AM315" i="1" s="1"/>
  <c r="Z315" i="1"/>
  <c r="Y315" i="1"/>
  <c r="AE315" i="1"/>
  <c r="AH315" i="1"/>
  <c r="K320" i="1"/>
  <c r="I320" i="1"/>
  <c r="Q320" i="1"/>
  <c r="R320" i="1" s="1"/>
  <c r="J320" i="1"/>
  <c r="AF316" i="1"/>
  <c r="AG316" i="1" s="1"/>
  <c r="U319" i="1"/>
  <c r="V319" i="1" s="1"/>
  <c r="F321" i="1"/>
  <c r="G321" i="1" s="1"/>
  <c r="D322" i="1"/>
  <c r="L319" i="1"/>
  <c r="M319" i="1" s="1"/>
  <c r="P319" i="1" s="1"/>
  <c r="X318" i="1"/>
  <c r="AB318" i="1"/>
  <c r="AC318" i="1" s="1"/>
  <c r="M318" i="1"/>
  <c r="P318" i="1" s="1"/>
  <c r="S317" i="1"/>
  <c r="T317" i="1"/>
  <c r="AA316" i="1" l="1"/>
  <c r="AM316" i="1" s="1"/>
  <c r="Y316" i="1"/>
  <c r="Z316" i="1"/>
  <c r="AO315" i="1"/>
  <c r="AN315" i="1"/>
  <c r="AH316" i="1"/>
  <c r="AK317" i="1"/>
  <c r="AL317" i="1"/>
  <c r="N319" i="1"/>
  <c r="O319" i="1" s="1"/>
  <c r="S319" i="1"/>
  <c r="T319" i="1"/>
  <c r="AF315" i="1"/>
  <c r="AG315" i="1" s="1"/>
  <c r="F322" i="1"/>
  <c r="G322" i="1" s="1"/>
  <c r="D323" i="1"/>
  <c r="K321" i="1"/>
  <c r="J321" i="1"/>
  <c r="Q321" i="1"/>
  <c r="R321" i="1" s="1"/>
  <c r="I321" i="1"/>
  <c r="W317" i="1"/>
  <c r="AD317" i="1"/>
  <c r="S318" i="1"/>
  <c r="T318" i="1"/>
  <c r="L320" i="1"/>
  <c r="N320" i="1" s="1"/>
  <c r="O320" i="1" s="1"/>
  <c r="U320" i="1"/>
  <c r="V320" i="1" s="1"/>
  <c r="X319" i="1"/>
  <c r="AB319" i="1"/>
  <c r="AC319" i="1" s="1"/>
  <c r="AK318" i="1" l="1"/>
  <c r="AL318" i="1"/>
  <c r="AL319" i="1"/>
  <c r="AK319" i="1"/>
  <c r="AN316" i="1"/>
  <c r="AO316" i="1"/>
  <c r="M320" i="1"/>
  <c r="P320" i="1" s="1"/>
  <c r="S320" i="1" s="1"/>
  <c r="AE317" i="1"/>
  <c r="AH317" i="1"/>
  <c r="D324" i="1"/>
  <c r="F323" i="1"/>
  <c r="G323" i="1" s="1"/>
  <c r="K322" i="1"/>
  <c r="I322" i="1"/>
  <c r="Q322" i="1"/>
  <c r="R322" i="1" s="1"/>
  <c r="J322" i="1"/>
  <c r="L321" i="1"/>
  <c r="N321" i="1"/>
  <c r="O321" i="1" s="1"/>
  <c r="AB320" i="1"/>
  <c r="AC320" i="1" s="1"/>
  <c r="X320" i="1"/>
  <c r="M321" i="1"/>
  <c r="P321" i="1" s="1"/>
  <c r="S321" i="1" s="1"/>
  <c r="W319" i="1"/>
  <c r="AA319" i="1" s="1"/>
  <c r="AM319" i="1" s="1"/>
  <c r="AD319" i="1"/>
  <c r="AE319" i="1" s="1"/>
  <c r="T320" i="1"/>
  <c r="AA317" i="1"/>
  <c r="AM317" i="1" s="1"/>
  <c r="Y317" i="1"/>
  <c r="Z317" i="1"/>
  <c r="W318" i="1"/>
  <c r="AD318" i="1"/>
  <c r="U321" i="1"/>
  <c r="V321" i="1" s="1"/>
  <c r="AN317" i="1" l="1"/>
  <c r="AO317" i="1"/>
  <c r="AO319" i="1"/>
  <c r="AN319" i="1"/>
  <c r="AK320" i="1"/>
  <c r="AL320" i="1"/>
  <c r="AH319" i="1"/>
  <c r="L322" i="1"/>
  <c r="N322" i="1" s="1"/>
  <c r="O322" i="1" s="1"/>
  <c r="U322" i="1"/>
  <c r="V322" i="1" s="1"/>
  <c r="M322" i="1"/>
  <c r="P322" i="1" s="1"/>
  <c r="S322" i="1" s="1"/>
  <c r="W320" i="1"/>
  <c r="AA320" i="1" s="1"/>
  <c r="AM320" i="1" s="1"/>
  <c r="AD320" i="1"/>
  <c r="AE320" i="1" s="1"/>
  <c r="AA318" i="1"/>
  <c r="AM318" i="1" s="1"/>
  <c r="Y318" i="1"/>
  <c r="Z318" i="1"/>
  <c r="AB321" i="1"/>
  <c r="AC321" i="1" s="1"/>
  <c r="X321" i="1"/>
  <c r="Z319" i="1"/>
  <c r="K323" i="1"/>
  <c r="J323" i="1"/>
  <c r="I323" i="1"/>
  <c r="Q323" i="1"/>
  <c r="R323" i="1" s="1"/>
  <c r="T321" i="1"/>
  <c r="F324" i="1"/>
  <c r="G324" i="1" s="1"/>
  <c r="D325" i="1"/>
  <c r="AE318" i="1"/>
  <c r="AH318" i="1"/>
  <c r="AF319" i="1"/>
  <c r="AG319" i="1" s="1"/>
  <c r="Y319" i="1"/>
  <c r="AF317" i="1"/>
  <c r="AG317" i="1" s="1"/>
  <c r="AN318" i="1" l="1"/>
  <c r="AO318" i="1"/>
  <c r="AO320" i="1"/>
  <c r="AN320" i="1"/>
  <c r="AK321" i="1"/>
  <c r="AL321" i="1"/>
  <c r="AF320" i="1"/>
  <c r="AG320" i="1" s="1"/>
  <c r="L323" i="1"/>
  <c r="M323" i="1" s="1"/>
  <c r="P323" i="1" s="1"/>
  <c r="F325" i="1"/>
  <c r="G325" i="1" s="1"/>
  <c r="D326" i="1"/>
  <c r="K324" i="1"/>
  <c r="J324" i="1"/>
  <c r="I324" i="1"/>
  <c r="Q324" i="1"/>
  <c r="R324" i="1" s="1"/>
  <c r="W321" i="1"/>
  <c r="AA321" i="1" s="1"/>
  <c r="AM321" i="1" s="1"/>
  <c r="AD321" i="1"/>
  <c r="AE321" i="1" s="1"/>
  <c r="U323" i="1"/>
  <c r="V323" i="1" s="1"/>
  <c r="Z320" i="1"/>
  <c r="Y320" i="1"/>
  <c r="T322" i="1"/>
  <c r="AB322" i="1"/>
  <c r="AC322" i="1" s="1"/>
  <c r="X322" i="1"/>
  <c r="AF318" i="1"/>
  <c r="AG318" i="1" s="1"/>
  <c r="AH320" i="1"/>
  <c r="AK322" i="1" l="1"/>
  <c r="AL322" i="1"/>
  <c r="AN321" i="1"/>
  <c r="AO321" i="1"/>
  <c r="S323" i="1"/>
  <c r="T323" i="1"/>
  <c r="AB323" i="1"/>
  <c r="AC323" i="1" s="1"/>
  <c r="X323" i="1"/>
  <c r="K325" i="1"/>
  <c r="Q325" i="1"/>
  <c r="R325" i="1" s="1"/>
  <c r="J325" i="1"/>
  <c r="I325" i="1"/>
  <c r="Y321" i="1"/>
  <c r="Z321" i="1"/>
  <c r="AF321" i="1"/>
  <c r="AG321" i="1" s="1"/>
  <c r="F326" i="1"/>
  <c r="G326" i="1" s="1"/>
  <c r="D327" i="1"/>
  <c r="W322" i="1"/>
  <c r="AA322" i="1" s="1"/>
  <c r="AM322" i="1" s="1"/>
  <c r="AD322" i="1"/>
  <c r="AE322" i="1" s="1"/>
  <c r="N323" i="1"/>
  <c r="O323" i="1" s="1"/>
  <c r="AH321" i="1"/>
  <c r="U324" i="1"/>
  <c r="V324" i="1" s="1"/>
  <c r="L324" i="1"/>
  <c r="M324" i="1" s="1"/>
  <c r="P324" i="1" s="1"/>
  <c r="S324" i="1" s="1"/>
  <c r="AK323" i="1" l="1"/>
  <c r="AL323" i="1"/>
  <c r="AO322" i="1"/>
  <c r="AN322" i="1"/>
  <c r="N324" i="1"/>
  <c r="O324" i="1" s="1"/>
  <c r="AH322" i="1"/>
  <c r="X324" i="1"/>
  <c r="AB324" i="1"/>
  <c r="AC324" i="1" s="1"/>
  <c r="U325" i="1"/>
  <c r="V325" i="1" s="1"/>
  <c r="Z322" i="1"/>
  <c r="W323" i="1"/>
  <c r="AA323" i="1" s="1"/>
  <c r="AM323" i="1" s="1"/>
  <c r="AD323" i="1"/>
  <c r="AE323" i="1" s="1"/>
  <c r="L325" i="1"/>
  <c r="N325" i="1"/>
  <c r="Y322" i="1"/>
  <c r="F327" i="1"/>
  <c r="G327" i="1" s="1"/>
  <c r="D328" i="1"/>
  <c r="K326" i="1"/>
  <c r="I326" i="1"/>
  <c r="Q326" i="1"/>
  <c r="R326" i="1" s="1"/>
  <c r="J326" i="1"/>
  <c r="O325" i="1"/>
  <c r="T324" i="1"/>
  <c r="AF322" i="1"/>
  <c r="AG322" i="1" s="1"/>
  <c r="M325" i="1"/>
  <c r="P325" i="1" s="1"/>
  <c r="S325" i="1" s="1"/>
  <c r="AH323" i="1" l="1"/>
  <c r="AK324" i="1"/>
  <c r="AL324" i="1"/>
  <c r="Z323" i="1"/>
  <c r="AN323" i="1"/>
  <c r="AO323" i="1"/>
  <c r="Y323" i="1"/>
  <c r="W324" i="1"/>
  <c r="AA324" i="1" s="1"/>
  <c r="AM324" i="1" s="1"/>
  <c r="AD324" i="1"/>
  <c r="AE324" i="1" s="1"/>
  <c r="T325" i="1"/>
  <c r="L326" i="1"/>
  <c r="M326" i="1" s="1"/>
  <c r="P326" i="1" s="1"/>
  <c r="AF323" i="1"/>
  <c r="AG323" i="1" s="1"/>
  <c r="F328" i="1"/>
  <c r="G328" i="1" s="1"/>
  <c r="D329" i="1"/>
  <c r="K327" i="1"/>
  <c r="I327" i="1"/>
  <c r="Q327" i="1"/>
  <c r="R327" i="1" s="1"/>
  <c r="J327" i="1"/>
  <c r="X325" i="1"/>
  <c r="AB325" i="1"/>
  <c r="AC325" i="1" s="1"/>
  <c r="U326" i="1"/>
  <c r="V326" i="1" s="1"/>
  <c r="Z324" i="1"/>
  <c r="Y324" i="1"/>
  <c r="AK325" i="1" l="1"/>
  <c r="AL325" i="1"/>
  <c r="AN324" i="1"/>
  <c r="AO324" i="1"/>
  <c r="S326" i="1"/>
  <c r="T326" i="1"/>
  <c r="N326" i="1"/>
  <c r="O326" i="1" s="1"/>
  <c r="W325" i="1"/>
  <c r="AA325" i="1" s="1"/>
  <c r="AM325" i="1" s="1"/>
  <c r="AD325" i="1"/>
  <c r="AE325" i="1" s="1"/>
  <c r="F329" i="1"/>
  <c r="G329" i="1" s="1"/>
  <c r="D330" i="1"/>
  <c r="Z325" i="1"/>
  <c r="L327" i="1"/>
  <c r="N327" i="1" s="1"/>
  <c r="O327" i="1" s="1"/>
  <c r="U327" i="1"/>
  <c r="V327" i="1" s="1"/>
  <c r="M327" i="1"/>
  <c r="P327" i="1" s="1"/>
  <c r="S327" i="1" s="1"/>
  <c r="X326" i="1"/>
  <c r="AB326" i="1"/>
  <c r="AC326" i="1" s="1"/>
  <c r="AF324" i="1"/>
  <c r="AG324" i="1" s="1"/>
  <c r="K328" i="1"/>
  <c r="I328" i="1"/>
  <c r="J328" i="1"/>
  <c r="Q328" i="1"/>
  <c r="R328" i="1" s="1"/>
  <c r="AH324" i="1"/>
  <c r="AK326" i="1" l="1"/>
  <c r="AL326" i="1"/>
  <c r="AN325" i="1"/>
  <c r="AO325" i="1"/>
  <c r="AH325" i="1"/>
  <c r="AB327" i="1"/>
  <c r="AC327" i="1" s="1"/>
  <c r="X327" i="1"/>
  <c r="T327" i="1"/>
  <c r="U328" i="1"/>
  <c r="V328" i="1" s="1"/>
  <c r="F330" i="1"/>
  <c r="G330" i="1" s="1"/>
  <c r="D331" i="1"/>
  <c r="L328" i="1"/>
  <c r="N328" i="1" s="1"/>
  <c r="O328" i="1" s="1"/>
  <c r="AF325" i="1"/>
  <c r="AG325" i="1" s="1"/>
  <c r="W326" i="1"/>
  <c r="AA326" i="1" s="1"/>
  <c r="AM326" i="1" s="1"/>
  <c r="AD326" i="1"/>
  <c r="AE326" i="1" s="1"/>
  <c r="K329" i="1"/>
  <c r="I329" i="1"/>
  <c r="J329" i="1"/>
  <c r="Q329" i="1"/>
  <c r="R329" i="1" s="1"/>
  <c r="Y325" i="1"/>
  <c r="AN326" i="1" l="1"/>
  <c r="AO326" i="1"/>
  <c r="M328" i="1"/>
  <c r="P328" i="1" s="1"/>
  <c r="AK327" i="1"/>
  <c r="AL327" i="1"/>
  <c r="U329" i="1"/>
  <c r="V329" i="1" s="1"/>
  <c r="AB328" i="1"/>
  <c r="AC328" i="1" s="1"/>
  <c r="X328" i="1"/>
  <c r="W327" i="1"/>
  <c r="AA327" i="1" s="1"/>
  <c r="AM327" i="1" s="1"/>
  <c r="AD327" i="1"/>
  <c r="AE327" i="1" s="1"/>
  <c r="Y326" i="1"/>
  <c r="L329" i="1"/>
  <c r="N329" i="1" s="1"/>
  <c r="O329" i="1" s="1"/>
  <c r="F331" i="1"/>
  <c r="G331" i="1" s="1"/>
  <c r="D332" i="1"/>
  <c r="K330" i="1"/>
  <c r="I330" i="1"/>
  <c r="Q330" i="1"/>
  <c r="R330" i="1" s="1"/>
  <c r="J330" i="1"/>
  <c r="AF326" i="1"/>
  <c r="AG326" i="1" s="1"/>
  <c r="Z326" i="1"/>
  <c r="AH326" i="1"/>
  <c r="AO327" i="1" l="1"/>
  <c r="AN327" i="1"/>
  <c r="S328" i="1"/>
  <c r="T328" i="1"/>
  <c r="M329" i="1"/>
  <c r="P329" i="1" s="1"/>
  <c r="S329" i="1" s="1"/>
  <c r="D333" i="1"/>
  <c r="F332" i="1"/>
  <c r="G332" i="1" s="1"/>
  <c r="AF327" i="1"/>
  <c r="AG327" i="1" s="1"/>
  <c r="K331" i="1"/>
  <c r="J331" i="1"/>
  <c r="I331" i="1"/>
  <c r="Q331" i="1"/>
  <c r="R331" i="1" s="1"/>
  <c r="L330" i="1"/>
  <c r="N330" i="1" s="1"/>
  <c r="O330" i="1" s="1"/>
  <c r="X329" i="1"/>
  <c r="AB329" i="1"/>
  <c r="AC329" i="1" s="1"/>
  <c r="Y327" i="1"/>
  <c r="U330" i="1"/>
  <c r="V330" i="1" s="1"/>
  <c r="T329" i="1"/>
  <c r="AH327" i="1"/>
  <c r="Z327" i="1"/>
  <c r="AL329" i="1" l="1"/>
  <c r="AK329" i="1"/>
  <c r="AK328" i="1"/>
  <c r="AL328" i="1"/>
  <c r="W328" i="1"/>
  <c r="AD328" i="1"/>
  <c r="AE328" i="1" s="1"/>
  <c r="AF328" i="1" s="1"/>
  <c r="AG328" i="1" s="1"/>
  <c r="W329" i="1"/>
  <c r="AA329" i="1" s="1"/>
  <c r="AM329" i="1" s="1"/>
  <c r="AD329" i="1"/>
  <c r="AE329" i="1" s="1"/>
  <c r="AB330" i="1"/>
  <c r="AC330" i="1" s="1"/>
  <c r="X330" i="1"/>
  <c r="U331" i="1"/>
  <c r="V331" i="1" s="1"/>
  <c r="M330" i="1"/>
  <c r="P330" i="1" s="1"/>
  <c r="K332" i="1"/>
  <c r="J332" i="1"/>
  <c r="I332" i="1"/>
  <c r="Q332" i="1"/>
  <c r="R332" i="1" s="1"/>
  <c r="L331" i="1"/>
  <c r="M331" i="1" s="1"/>
  <c r="P331" i="1" s="1"/>
  <c r="S331" i="1" s="1"/>
  <c r="N331" i="1"/>
  <c r="O331" i="1" s="1"/>
  <c r="F333" i="1"/>
  <c r="G333" i="1" s="1"/>
  <c r="D334" i="1"/>
  <c r="AN329" i="1" l="1"/>
  <c r="AO329" i="1"/>
  <c r="AH328" i="1"/>
  <c r="AA328" i="1"/>
  <c r="AM328" i="1" s="1"/>
  <c r="Y328" i="1"/>
  <c r="Z328" i="1"/>
  <c r="L332" i="1"/>
  <c r="N332" i="1"/>
  <c r="T331" i="1"/>
  <c r="O332" i="1"/>
  <c r="K333" i="1"/>
  <c r="Q333" i="1"/>
  <c r="R333" i="1" s="1"/>
  <c r="I333" i="1"/>
  <c r="J333" i="1"/>
  <c r="AB331" i="1"/>
  <c r="AC331" i="1" s="1"/>
  <c r="X331" i="1"/>
  <c r="F334" i="1"/>
  <c r="G334" i="1" s="1"/>
  <c r="D335" i="1"/>
  <c r="S330" i="1"/>
  <c r="T330" i="1"/>
  <c r="U332" i="1"/>
  <c r="V332" i="1" s="1"/>
  <c r="Z329" i="1"/>
  <c r="AF329" i="1"/>
  <c r="AG329" i="1" s="1"/>
  <c r="M332" i="1"/>
  <c r="P332" i="1" s="1"/>
  <c r="S332" i="1" s="1"/>
  <c r="Y329" i="1"/>
  <c r="AH329" i="1"/>
  <c r="AK330" i="1" l="1"/>
  <c r="AL330" i="1"/>
  <c r="AO328" i="1"/>
  <c r="AN328" i="1"/>
  <c r="AK331" i="1"/>
  <c r="AL331" i="1"/>
  <c r="U333" i="1"/>
  <c r="V333" i="1" s="1"/>
  <c r="F335" i="1"/>
  <c r="G335" i="1" s="1"/>
  <c r="D336" i="1"/>
  <c r="T332" i="1"/>
  <c r="K334" i="1"/>
  <c r="J334" i="1"/>
  <c r="Q334" i="1"/>
  <c r="R334" i="1" s="1"/>
  <c r="I334" i="1"/>
  <c r="AB332" i="1"/>
  <c r="AC332" i="1" s="1"/>
  <c r="X332" i="1"/>
  <c r="L333" i="1"/>
  <c r="M333" i="1" s="1"/>
  <c r="P333" i="1" s="1"/>
  <c r="W331" i="1"/>
  <c r="AA331" i="1" s="1"/>
  <c r="AM331" i="1" s="1"/>
  <c r="AD331" i="1"/>
  <c r="AE331" i="1" s="1"/>
  <c r="W330" i="1"/>
  <c r="AD330" i="1"/>
  <c r="AN331" i="1" l="1"/>
  <c r="AO331" i="1"/>
  <c r="AK332" i="1"/>
  <c r="AL332" i="1"/>
  <c r="Z331" i="1"/>
  <c r="Y331" i="1"/>
  <c r="S333" i="1"/>
  <c r="T333" i="1"/>
  <c r="N333" i="1"/>
  <c r="O333" i="1" s="1"/>
  <c r="AE330" i="1"/>
  <c r="AH330" i="1"/>
  <c r="U334" i="1"/>
  <c r="V334" i="1" s="1"/>
  <c r="W332" i="1"/>
  <c r="AA332" i="1" s="1"/>
  <c r="AM332" i="1" s="1"/>
  <c r="AD332" i="1"/>
  <c r="AE332" i="1" s="1"/>
  <c r="AA330" i="1"/>
  <c r="AM330" i="1" s="1"/>
  <c r="Y330" i="1"/>
  <c r="Z330" i="1"/>
  <c r="F336" i="1"/>
  <c r="G336" i="1" s="1"/>
  <c r="D337" i="1"/>
  <c r="L334" i="1"/>
  <c r="N334" i="1" s="1"/>
  <c r="O334" i="1" s="1"/>
  <c r="AF331" i="1"/>
  <c r="AG331" i="1" s="1"/>
  <c r="K335" i="1"/>
  <c r="J335" i="1"/>
  <c r="I335" i="1"/>
  <c r="Q335" i="1"/>
  <c r="R335" i="1" s="1"/>
  <c r="AH331" i="1"/>
  <c r="AB333" i="1"/>
  <c r="AC333" i="1" s="1"/>
  <c r="X333" i="1"/>
  <c r="AK333" i="1" l="1"/>
  <c r="AL333" i="1"/>
  <c r="M334" i="1"/>
  <c r="P334" i="1" s="1"/>
  <c r="S334" i="1" s="1"/>
  <c r="AO330" i="1"/>
  <c r="AN330" i="1"/>
  <c r="AN332" i="1"/>
  <c r="AO332" i="1"/>
  <c r="AH332" i="1"/>
  <c r="L335" i="1"/>
  <c r="N335" i="1"/>
  <c r="T334" i="1"/>
  <c r="AB334" i="1"/>
  <c r="AC334" i="1" s="1"/>
  <c r="X334" i="1"/>
  <c r="AF330" i="1"/>
  <c r="AG330" i="1" s="1"/>
  <c r="Z332" i="1"/>
  <c r="Y332" i="1"/>
  <c r="W333" i="1"/>
  <c r="AA333" i="1" s="1"/>
  <c r="AM333" i="1" s="1"/>
  <c r="AD333" i="1"/>
  <c r="AE333" i="1" s="1"/>
  <c r="K336" i="1"/>
  <c r="J336" i="1"/>
  <c r="I336" i="1"/>
  <c r="Q336" i="1"/>
  <c r="R336" i="1" s="1"/>
  <c r="O335" i="1"/>
  <c r="U335" i="1"/>
  <c r="V335" i="1" s="1"/>
  <c r="M335" i="1"/>
  <c r="P335" i="1" s="1"/>
  <c r="S335" i="1" s="1"/>
  <c r="F337" i="1"/>
  <c r="G337" i="1" s="1"/>
  <c r="D338" i="1"/>
  <c r="AF332" i="1"/>
  <c r="AG332" i="1" s="1"/>
  <c r="AN333" i="1" l="1"/>
  <c r="AO333" i="1"/>
  <c r="AK334" i="1"/>
  <c r="AL334" i="1"/>
  <c r="F338" i="1"/>
  <c r="G338" i="1" s="1"/>
  <c r="D339" i="1"/>
  <c r="AF333" i="1"/>
  <c r="AG333" i="1" s="1"/>
  <c r="AB335" i="1"/>
  <c r="AC335" i="1" s="1"/>
  <c r="X335" i="1"/>
  <c r="L336" i="1"/>
  <c r="M336" i="1" s="1"/>
  <c r="P336" i="1" s="1"/>
  <c r="K337" i="1"/>
  <c r="J337" i="1"/>
  <c r="I337" i="1"/>
  <c r="Q337" i="1"/>
  <c r="R337" i="1" s="1"/>
  <c r="AH333" i="1"/>
  <c r="T335" i="1"/>
  <c r="Z333" i="1"/>
  <c r="Y333" i="1"/>
  <c r="W334" i="1"/>
  <c r="AA334" i="1" s="1"/>
  <c r="AM334" i="1" s="1"/>
  <c r="AD334" i="1"/>
  <c r="AE334" i="1" s="1"/>
  <c r="U336" i="1"/>
  <c r="V336" i="1" s="1"/>
  <c r="AO334" i="1" l="1"/>
  <c r="AN334" i="1"/>
  <c r="AL335" i="1"/>
  <c r="AK335" i="1"/>
  <c r="S336" i="1"/>
  <c r="T336" i="1"/>
  <c r="AF334" i="1"/>
  <c r="AG334" i="1" s="1"/>
  <c r="L337" i="1"/>
  <c r="N337" i="1" s="1"/>
  <c r="O337" i="1" s="1"/>
  <c r="N336" i="1"/>
  <c r="O336" i="1" s="1"/>
  <c r="Y334" i="1"/>
  <c r="W335" i="1"/>
  <c r="AA335" i="1" s="1"/>
  <c r="AM335" i="1" s="1"/>
  <c r="AD335" i="1"/>
  <c r="AE335" i="1" s="1"/>
  <c r="K338" i="1"/>
  <c r="J338" i="1"/>
  <c r="I338" i="1"/>
  <c r="Q338" i="1"/>
  <c r="R338" i="1" s="1"/>
  <c r="X336" i="1"/>
  <c r="AB336" i="1"/>
  <c r="AC336" i="1" s="1"/>
  <c r="U337" i="1"/>
  <c r="V337" i="1" s="1"/>
  <c r="M337" i="1"/>
  <c r="P337" i="1" s="1"/>
  <c r="S337" i="1" s="1"/>
  <c r="Z334" i="1"/>
  <c r="F339" i="1"/>
  <c r="G339" i="1" s="1"/>
  <c r="D340" i="1"/>
  <c r="AH334" i="1"/>
  <c r="AK336" i="1" l="1"/>
  <c r="AL336" i="1"/>
  <c r="AO335" i="1"/>
  <c r="AN335" i="1"/>
  <c r="Z335" i="1"/>
  <c r="Y335" i="1"/>
  <c r="L338" i="1"/>
  <c r="N338" i="1" s="1"/>
  <c r="O338" i="1" s="1"/>
  <c r="AB337" i="1"/>
  <c r="AC337" i="1" s="1"/>
  <c r="X337" i="1"/>
  <c r="W336" i="1"/>
  <c r="AA336" i="1" s="1"/>
  <c r="AM336" i="1" s="1"/>
  <c r="AD336" i="1"/>
  <c r="AE336" i="1" s="1"/>
  <c r="K339" i="1"/>
  <c r="Q339" i="1"/>
  <c r="R339" i="1" s="1"/>
  <c r="J339" i="1"/>
  <c r="I339" i="1"/>
  <c r="T337" i="1"/>
  <c r="AF335" i="1"/>
  <c r="AG335" i="1" s="1"/>
  <c r="AH335" i="1"/>
  <c r="F340" i="1"/>
  <c r="G340" i="1" s="1"/>
  <c r="D341" i="1"/>
  <c r="U338" i="1"/>
  <c r="V338" i="1" s="1"/>
  <c r="AO336" i="1" l="1"/>
  <c r="AN336" i="1"/>
  <c r="AK337" i="1"/>
  <c r="AL337" i="1"/>
  <c r="M338" i="1"/>
  <c r="P338" i="1" s="1"/>
  <c r="S338" i="1" s="1"/>
  <c r="T338" i="1"/>
  <c r="W338" i="1" s="1"/>
  <c r="AA338" i="1" s="1"/>
  <c r="AM338" i="1" s="1"/>
  <c r="X338" i="1"/>
  <c r="AB338" i="1"/>
  <c r="AC338" i="1" s="1"/>
  <c r="F341" i="1"/>
  <c r="G341" i="1" s="1"/>
  <c r="D342" i="1"/>
  <c r="AH336" i="1"/>
  <c r="K340" i="1"/>
  <c r="J340" i="1"/>
  <c r="Q340" i="1"/>
  <c r="R340" i="1" s="1"/>
  <c r="I340" i="1"/>
  <c r="Z336" i="1"/>
  <c r="L339" i="1"/>
  <c r="N339" i="1" s="1"/>
  <c r="O339" i="1" s="1"/>
  <c r="AF336" i="1"/>
  <c r="AG336" i="1" s="1"/>
  <c r="W337" i="1"/>
  <c r="AA337" i="1" s="1"/>
  <c r="AM337" i="1" s="1"/>
  <c r="AD337" i="1"/>
  <c r="AE337" i="1" s="1"/>
  <c r="Y336" i="1"/>
  <c r="U339" i="1"/>
  <c r="V339" i="1" s="1"/>
  <c r="AO338" i="1" l="1"/>
  <c r="AN338" i="1"/>
  <c r="AK338" i="1"/>
  <c r="AL338" i="1"/>
  <c r="AN337" i="1"/>
  <c r="AO337" i="1"/>
  <c r="AH337" i="1"/>
  <c r="F342" i="1"/>
  <c r="G342" i="1" s="1"/>
  <c r="D343" i="1"/>
  <c r="Y337" i="1"/>
  <c r="Z337" i="1"/>
  <c r="AF337" i="1"/>
  <c r="AG337" i="1" s="1"/>
  <c r="M339" i="1"/>
  <c r="P339" i="1" s="1"/>
  <c r="AD338" i="1"/>
  <c r="AE338" i="1" s="1"/>
  <c r="Y338" i="1"/>
  <c r="Z338" i="1"/>
  <c r="L340" i="1"/>
  <c r="M340" i="1" s="1"/>
  <c r="P340" i="1" s="1"/>
  <c r="K341" i="1"/>
  <c r="Q341" i="1"/>
  <c r="R341" i="1" s="1"/>
  <c r="I341" i="1"/>
  <c r="J341" i="1"/>
  <c r="X339" i="1"/>
  <c r="AB339" i="1"/>
  <c r="AC339" i="1" s="1"/>
  <c r="U340" i="1"/>
  <c r="V340" i="1" s="1"/>
  <c r="N340" i="1" l="1"/>
  <c r="O340" i="1" s="1"/>
  <c r="AH338" i="1"/>
  <c r="S340" i="1"/>
  <c r="T340" i="1"/>
  <c r="X340" i="1"/>
  <c r="AB340" i="1"/>
  <c r="AC340" i="1" s="1"/>
  <c r="L341" i="1"/>
  <c r="M341" i="1" s="1"/>
  <c r="P341" i="1" s="1"/>
  <c r="F343" i="1"/>
  <c r="G343" i="1" s="1"/>
  <c r="D344" i="1"/>
  <c r="S339" i="1"/>
  <c r="T339" i="1"/>
  <c r="U341" i="1"/>
  <c r="V341" i="1" s="1"/>
  <c r="AF338" i="1"/>
  <c r="AG338" i="1" s="1"/>
  <c r="K342" i="1"/>
  <c r="J342" i="1"/>
  <c r="I342" i="1"/>
  <c r="Q342" i="1"/>
  <c r="R342" i="1" s="1"/>
  <c r="AK340" i="1" l="1"/>
  <c r="AL340" i="1"/>
  <c r="AK339" i="1"/>
  <c r="AL339" i="1"/>
  <c r="S341" i="1"/>
  <c r="T341" i="1"/>
  <c r="U342" i="1"/>
  <c r="V342" i="1" s="1"/>
  <c r="AB341" i="1"/>
  <c r="AC341" i="1" s="1"/>
  <c r="X341" i="1"/>
  <c r="N341" i="1"/>
  <c r="O341" i="1" s="1"/>
  <c r="L342" i="1"/>
  <c r="N342" i="1" s="1"/>
  <c r="O342" i="1" s="1"/>
  <c r="D345" i="1"/>
  <c r="F344" i="1"/>
  <c r="G344" i="1" s="1"/>
  <c r="W339" i="1"/>
  <c r="AD339" i="1"/>
  <c r="K343" i="1"/>
  <c r="I343" i="1"/>
  <c r="J343" i="1"/>
  <c r="Q343" i="1"/>
  <c r="R343" i="1" s="1"/>
  <c r="W340" i="1"/>
  <c r="AA340" i="1" s="1"/>
  <c r="AM340" i="1" s="1"/>
  <c r="AD340" i="1"/>
  <c r="AE340" i="1" s="1"/>
  <c r="AK341" i="1" l="1"/>
  <c r="AL341" i="1"/>
  <c r="AN340" i="1"/>
  <c r="AO340" i="1"/>
  <c r="M342" i="1"/>
  <c r="P342" i="1" s="1"/>
  <c r="S342" i="1" s="1"/>
  <c r="AE339" i="1"/>
  <c r="AH339" i="1"/>
  <c r="AA339" i="1"/>
  <c r="AM339" i="1" s="1"/>
  <c r="Z339" i="1"/>
  <c r="Y339" i="1"/>
  <c r="L343" i="1"/>
  <c r="M343" i="1" s="1"/>
  <c r="P343" i="1" s="1"/>
  <c r="K344" i="1"/>
  <c r="Q344" i="1"/>
  <c r="R344" i="1" s="1"/>
  <c r="J344" i="1"/>
  <c r="I344" i="1"/>
  <c r="F345" i="1"/>
  <c r="G345" i="1" s="1"/>
  <c r="D346" i="1"/>
  <c r="AH340" i="1"/>
  <c r="W341" i="1"/>
  <c r="AA341" i="1" s="1"/>
  <c r="AM341" i="1" s="1"/>
  <c r="AD341" i="1"/>
  <c r="AE341" i="1" s="1"/>
  <c r="AF340" i="1"/>
  <c r="AG340" i="1" s="1"/>
  <c r="U343" i="1"/>
  <c r="V343" i="1" s="1"/>
  <c r="X342" i="1"/>
  <c r="AB342" i="1"/>
  <c r="AC342" i="1" s="1"/>
  <c r="Y340" i="1"/>
  <c r="Z340" i="1"/>
  <c r="AO341" i="1" l="1"/>
  <c r="AN341" i="1"/>
  <c r="T342" i="1"/>
  <c r="AO339" i="1"/>
  <c r="AN339" i="1"/>
  <c r="S343" i="1"/>
  <c r="T343" i="1"/>
  <c r="K345" i="1"/>
  <c r="Q345" i="1"/>
  <c r="R345" i="1" s="1"/>
  <c r="I345" i="1"/>
  <c r="J345" i="1"/>
  <c r="AF341" i="1"/>
  <c r="AG341" i="1" s="1"/>
  <c r="W342" i="1"/>
  <c r="AA342" i="1" s="1"/>
  <c r="AM342" i="1" s="1"/>
  <c r="AD342" i="1"/>
  <c r="AE342" i="1" s="1"/>
  <c r="N343" i="1"/>
  <c r="O343" i="1" s="1"/>
  <c r="AH341" i="1"/>
  <c r="Y341" i="1"/>
  <c r="AB343" i="1"/>
  <c r="AC343" i="1" s="1"/>
  <c r="X343" i="1"/>
  <c r="F346" i="1"/>
  <c r="G346" i="1" s="1"/>
  <c r="D347" i="1"/>
  <c r="L344" i="1"/>
  <c r="M344" i="1" s="1"/>
  <c r="P344" i="1" s="1"/>
  <c r="N344" i="1"/>
  <c r="O344" i="1" s="1"/>
  <c r="U344" i="1"/>
  <c r="V344" i="1" s="1"/>
  <c r="Z341" i="1"/>
  <c r="AF339" i="1"/>
  <c r="AG339" i="1" s="1"/>
  <c r="AK343" i="1" l="1"/>
  <c r="AL343" i="1"/>
  <c r="AN342" i="1"/>
  <c r="AO342" i="1"/>
  <c r="AK342" i="1"/>
  <c r="AL342" i="1"/>
  <c r="S344" i="1"/>
  <c r="T344" i="1"/>
  <c r="AB344" i="1"/>
  <c r="AC344" i="1" s="1"/>
  <c r="X344" i="1"/>
  <c r="L345" i="1"/>
  <c r="N345" i="1" s="1"/>
  <c r="O345" i="1" s="1"/>
  <c r="AH342" i="1"/>
  <c r="W343" i="1"/>
  <c r="AA343" i="1" s="1"/>
  <c r="AM343" i="1" s="1"/>
  <c r="AD343" i="1"/>
  <c r="AE343" i="1" s="1"/>
  <c r="AF342" i="1"/>
  <c r="AG342" i="1" s="1"/>
  <c r="U345" i="1"/>
  <c r="V345" i="1" s="1"/>
  <c r="F347" i="1"/>
  <c r="G347" i="1" s="1"/>
  <c r="D348" i="1"/>
  <c r="K346" i="1"/>
  <c r="J346" i="1"/>
  <c r="Q346" i="1"/>
  <c r="R346" i="1" s="1"/>
  <c r="I346" i="1"/>
  <c r="Y342" i="1"/>
  <c r="Z342" i="1"/>
  <c r="AN343" i="1" l="1"/>
  <c r="AO343" i="1"/>
  <c r="AH343" i="1"/>
  <c r="AK344" i="1"/>
  <c r="AL344" i="1"/>
  <c r="Y343" i="1"/>
  <c r="M345" i="1"/>
  <c r="P345" i="1" s="1"/>
  <c r="S345" i="1" s="1"/>
  <c r="K347" i="1"/>
  <c r="Q347" i="1"/>
  <c r="R347" i="1" s="1"/>
  <c r="I347" i="1"/>
  <c r="J347" i="1"/>
  <c r="T345" i="1"/>
  <c r="W344" i="1"/>
  <c r="AA344" i="1" s="1"/>
  <c r="AM344" i="1" s="1"/>
  <c r="AD344" i="1"/>
  <c r="AE344" i="1" s="1"/>
  <c r="AB345" i="1"/>
  <c r="AC345" i="1" s="1"/>
  <c r="X345" i="1"/>
  <c r="U346" i="1"/>
  <c r="V346" i="1" s="1"/>
  <c r="L346" i="1"/>
  <c r="M346" i="1" s="1"/>
  <c r="P346" i="1" s="1"/>
  <c r="AF343" i="1"/>
  <c r="AG343" i="1" s="1"/>
  <c r="Z343" i="1"/>
  <c r="F348" i="1"/>
  <c r="G348" i="1" s="1"/>
  <c r="D349" i="1"/>
  <c r="AO344" i="1" l="1"/>
  <c r="AN344" i="1"/>
  <c r="AK345" i="1"/>
  <c r="AL345" i="1"/>
  <c r="Y344" i="1"/>
  <c r="AH344" i="1"/>
  <c r="Z344" i="1"/>
  <c r="S346" i="1"/>
  <c r="T346" i="1"/>
  <c r="N346" i="1"/>
  <c r="O346" i="1" s="1"/>
  <c r="X346" i="1"/>
  <c r="AB346" i="1"/>
  <c r="AC346" i="1" s="1"/>
  <c r="L347" i="1"/>
  <c r="N347" i="1" s="1"/>
  <c r="O347" i="1" s="1"/>
  <c r="U347" i="1"/>
  <c r="V347" i="1" s="1"/>
  <c r="F349" i="1"/>
  <c r="G349" i="1" s="1"/>
  <c r="D350" i="1"/>
  <c r="K348" i="1"/>
  <c r="J348" i="1"/>
  <c r="I348" i="1"/>
  <c r="Q348" i="1"/>
  <c r="R348" i="1" s="1"/>
  <c r="W345" i="1"/>
  <c r="AA345" i="1" s="1"/>
  <c r="AM345" i="1" s="1"/>
  <c r="AD345" i="1"/>
  <c r="AE345" i="1" s="1"/>
  <c r="AF344" i="1"/>
  <c r="AG344" i="1" s="1"/>
  <c r="AN345" i="1" l="1"/>
  <c r="AO345" i="1"/>
  <c r="AK346" i="1"/>
  <c r="AL346" i="1"/>
  <c r="M347" i="1"/>
  <c r="P347" i="1" s="1"/>
  <c r="AH345" i="1"/>
  <c r="Z345" i="1"/>
  <c r="Y345" i="1"/>
  <c r="L348" i="1"/>
  <c r="N348" i="1" s="1"/>
  <c r="O348" i="1" s="1"/>
  <c r="K349" i="1"/>
  <c r="J349" i="1"/>
  <c r="Q349" i="1"/>
  <c r="R349" i="1" s="1"/>
  <c r="I349" i="1"/>
  <c r="F350" i="1"/>
  <c r="G350" i="1" s="1"/>
  <c r="D351" i="1"/>
  <c r="AB347" i="1"/>
  <c r="AC347" i="1" s="1"/>
  <c r="X347" i="1"/>
  <c r="U348" i="1"/>
  <c r="V348" i="1" s="1"/>
  <c r="W346" i="1"/>
  <c r="AA346" i="1" s="1"/>
  <c r="AM346" i="1" s="1"/>
  <c r="AD346" i="1"/>
  <c r="AE346" i="1" s="1"/>
  <c r="AF345" i="1"/>
  <c r="AG345" i="1" s="1"/>
  <c r="AO346" i="1" l="1"/>
  <c r="AN346" i="1"/>
  <c r="AH346" i="1"/>
  <c r="Y346" i="1"/>
  <c r="M348" i="1"/>
  <c r="P348" i="1" s="1"/>
  <c r="S348" i="1" s="1"/>
  <c r="Z346" i="1"/>
  <c r="T348" i="1"/>
  <c r="S347" i="1"/>
  <c r="T347" i="1"/>
  <c r="AB348" i="1"/>
  <c r="AC348" i="1" s="1"/>
  <c r="X348" i="1"/>
  <c r="L349" i="1"/>
  <c r="M349" i="1" s="1"/>
  <c r="P349" i="1" s="1"/>
  <c r="S349" i="1" s="1"/>
  <c r="N349" i="1"/>
  <c r="O349" i="1" s="1"/>
  <c r="AF346" i="1"/>
  <c r="AG346" i="1" s="1"/>
  <c r="U349" i="1"/>
  <c r="V349" i="1" s="1"/>
  <c r="F351" i="1"/>
  <c r="G351" i="1" s="1"/>
  <c r="D352" i="1"/>
  <c r="K350" i="1"/>
  <c r="Q350" i="1"/>
  <c r="R350" i="1" s="1"/>
  <c r="J350" i="1"/>
  <c r="I350" i="1"/>
  <c r="AD347" i="1"/>
  <c r="AE347" i="1" s="1"/>
  <c r="W348" i="1" l="1"/>
  <c r="AA348" i="1" s="1"/>
  <c r="AM348" i="1" s="1"/>
  <c r="AK348" i="1"/>
  <c r="AL348" i="1"/>
  <c r="W347" i="1"/>
  <c r="AA347" i="1" s="1"/>
  <c r="AM347" i="1" s="1"/>
  <c r="AK347" i="1"/>
  <c r="AL347" i="1"/>
  <c r="AD348" i="1"/>
  <c r="AE348" i="1" s="1"/>
  <c r="T349" i="1"/>
  <c r="W349" i="1" s="1"/>
  <c r="AA349" i="1" s="1"/>
  <c r="AM349" i="1" s="1"/>
  <c r="AF347" i="1"/>
  <c r="AG347" i="1" s="1"/>
  <c r="AB349" i="1"/>
  <c r="AC349" i="1" s="1"/>
  <c r="X349" i="1"/>
  <c r="U350" i="1"/>
  <c r="V350" i="1" s="1"/>
  <c r="Y348" i="1"/>
  <c r="Z348" i="1"/>
  <c r="K351" i="1"/>
  <c r="Q351" i="1"/>
  <c r="R351" i="1" s="1"/>
  <c r="J351" i="1"/>
  <c r="I351" i="1"/>
  <c r="AH347" i="1"/>
  <c r="L350" i="1"/>
  <c r="M350" i="1" s="1"/>
  <c r="P350" i="1" s="1"/>
  <c r="AF348" i="1"/>
  <c r="AG348" i="1" s="1"/>
  <c r="F352" i="1"/>
  <c r="G352" i="1" s="1"/>
  <c r="D353" i="1"/>
  <c r="AO349" i="1" l="1"/>
  <c r="AN349" i="1"/>
  <c r="AO347" i="1"/>
  <c r="AN347" i="1"/>
  <c r="AH348" i="1"/>
  <c r="Y347" i="1"/>
  <c r="AD349" i="1"/>
  <c r="AE349" i="1" s="1"/>
  <c r="AK349" i="1"/>
  <c r="AL349" i="1"/>
  <c r="Z347" i="1"/>
  <c r="AN348" i="1"/>
  <c r="AO348" i="1"/>
  <c r="S350" i="1"/>
  <c r="T350" i="1"/>
  <c r="K352" i="1"/>
  <c r="I352" i="1"/>
  <c r="Q352" i="1"/>
  <c r="R352" i="1" s="1"/>
  <c r="J352" i="1"/>
  <c r="L351" i="1"/>
  <c r="M351" i="1" s="1"/>
  <c r="P351" i="1" s="1"/>
  <c r="AF349" i="1"/>
  <c r="AG349" i="1" s="1"/>
  <c r="F353" i="1"/>
  <c r="G353" i="1" s="1"/>
  <c r="D354" i="1"/>
  <c r="U351" i="1"/>
  <c r="V351" i="1" s="1"/>
  <c r="N350" i="1"/>
  <c r="O350" i="1" s="1"/>
  <c r="X350" i="1"/>
  <c r="AB350" i="1"/>
  <c r="AC350" i="1" s="1"/>
  <c r="Y349" i="1"/>
  <c r="Z349" i="1"/>
  <c r="AH349" i="1"/>
  <c r="AK350" i="1" l="1"/>
  <c r="AL350" i="1"/>
  <c r="S351" i="1"/>
  <c r="T351" i="1"/>
  <c r="N351" i="1"/>
  <c r="O351" i="1" s="1"/>
  <c r="L352" i="1"/>
  <c r="N352" i="1" s="1"/>
  <c r="O352" i="1" s="1"/>
  <c r="F354" i="1"/>
  <c r="G354" i="1" s="1"/>
  <c r="D355" i="1"/>
  <c r="W350" i="1"/>
  <c r="AA350" i="1" s="1"/>
  <c r="AM350" i="1" s="1"/>
  <c r="AD350" i="1"/>
  <c r="AE350" i="1" s="1"/>
  <c r="AB351" i="1"/>
  <c r="AC351" i="1" s="1"/>
  <c r="X351" i="1"/>
  <c r="U352" i="1"/>
  <c r="V352" i="1" s="1"/>
  <c r="AH350" i="1"/>
  <c r="K353" i="1"/>
  <c r="I353" i="1"/>
  <c r="J353" i="1"/>
  <c r="Q353" i="1"/>
  <c r="R353" i="1" s="1"/>
  <c r="AL351" i="1" l="1"/>
  <c r="AK351" i="1"/>
  <c r="AO350" i="1"/>
  <c r="AN350" i="1"/>
  <c r="M352" i="1"/>
  <c r="P352" i="1" s="1"/>
  <c r="S352" i="1" s="1"/>
  <c r="Z350" i="1"/>
  <c r="Y350" i="1"/>
  <c r="AB352" i="1"/>
  <c r="AC352" i="1" s="1"/>
  <c r="X352" i="1"/>
  <c r="U353" i="1"/>
  <c r="V353" i="1" s="1"/>
  <c r="F355" i="1"/>
  <c r="G355" i="1" s="1"/>
  <c r="D356" i="1"/>
  <c r="AF350" i="1"/>
  <c r="AG350" i="1" s="1"/>
  <c r="W351" i="1"/>
  <c r="AA351" i="1" s="1"/>
  <c r="AM351" i="1" s="1"/>
  <c r="AD351" i="1"/>
  <c r="AE351" i="1" s="1"/>
  <c r="K354" i="1"/>
  <c r="Q354" i="1"/>
  <c r="R354" i="1" s="1"/>
  <c r="I354" i="1"/>
  <c r="J354" i="1"/>
  <c r="L353" i="1"/>
  <c r="M353" i="1" s="1"/>
  <c r="P353" i="1" s="1"/>
  <c r="T352" i="1" l="1"/>
  <c r="AO351" i="1"/>
  <c r="AN351" i="1"/>
  <c r="N353" i="1"/>
  <c r="O353" i="1" s="1"/>
  <c r="S353" i="1"/>
  <c r="T353" i="1"/>
  <c r="U354" i="1"/>
  <c r="V354" i="1" s="1"/>
  <c r="AH351" i="1"/>
  <c r="K355" i="1"/>
  <c r="J355" i="1"/>
  <c r="I355" i="1"/>
  <c r="Q355" i="1"/>
  <c r="R355" i="1" s="1"/>
  <c r="W352" i="1"/>
  <c r="AA352" i="1" s="1"/>
  <c r="AM352" i="1" s="1"/>
  <c r="AD352" i="1"/>
  <c r="AE352" i="1" s="1"/>
  <c r="X353" i="1"/>
  <c r="AB353" i="1"/>
  <c r="AC353" i="1" s="1"/>
  <c r="Y351" i="1"/>
  <c r="L354" i="1"/>
  <c r="M354" i="1" s="1"/>
  <c r="P354" i="1" s="1"/>
  <c r="F356" i="1"/>
  <c r="G356" i="1" s="1"/>
  <c r="D357" i="1"/>
  <c r="AF351" i="1"/>
  <c r="AG351" i="1" s="1"/>
  <c r="Z351" i="1"/>
  <c r="AK353" i="1" l="1"/>
  <c r="AL353" i="1"/>
  <c r="AO352" i="1"/>
  <c r="AN352" i="1"/>
  <c r="Z352" i="1"/>
  <c r="AK352" i="1"/>
  <c r="AL352" i="1"/>
  <c r="N354" i="1"/>
  <c r="O354" i="1" s="1"/>
  <c r="S354" i="1"/>
  <c r="T354" i="1"/>
  <c r="F357" i="1"/>
  <c r="G357" i="1" s="1"/>
  <c r="D358" i="1"/>
  <c r="AF352" i="1"/>
  <c r="AG352" i="1" s="1"/>
  <c r="W353" i="1"/>
  <c r="AA353" i="1" s="1"/>
  <c r="AM353" i="1" s="1"/>
  <c r="AD353" i="1"/>
  <c r="AE353" i="1" s="1"/>
  <c r="L355" i="1"/>
  <c r="M355" i="1" s="1"/>
  <c r="P355" i="1" s="1"/>
  <c r="X354" i="1"/>
  <c r="AB354" i="1"/>
  <c r="AC354" i="1" s="1"/>
  <c r="K356" i="1"/>
  <c r="I356" i="1"/>
  <c r="Q356" i="1"/>
  <c r="R356" i="1" s="1"/>
  <c r="J356" i="1"/>
  <c r="AH352" i="1"/>
  <c r="U355" i="1"/>
  <c r="V355" i="1" s="1"/>
  <c r="Y352" i="1"/>
  <c r="AN353" i="1" l="1"/>
  <c r="AO353" i="1"/>
  <c r="AK354" i="1"/>
  <c r="AL354" i="1"/>
  <c r="AH353" i="1"/>
  <c r="Y353" i="1"/>
  <c r="Z353" i="1"/>
  <c r="S355" i="1"/>
  <c r="T355" i="1"/>
  <c r="U356" i="1"/>
  <c r="V356" i="1" s="1"/>
  <c r="X355" i="1"/>
  <c r="AB355" i="1"/>
  <c r="AC355" i="1" s="1"/>
  <c r="N355" i="1"/>
  <c r="O355" i="1" s="1"/>
  <c r="F358" i="1"/>
  <c r="G358" i="1" s="1"/>
  <c r="D359" i="1"/>
  <c r="L356" i="1"/>
  <c r="N356" i="1" s="1"/>
  <c r="O356" i="1" s="1"/>
  <c r="K357" i="1"/>
  <c r="Q357" i="1"/>
  <c r="R357" i="1" s="1"/>
  <c r="I357" i="1"/>
  <c r="J357" i="1"/>
  <c r="AF353" i="1"/>
  <c r="AG353" i="1" s="1"/>
  <c r="W354" i="1"/>
  <c r="AA354" i="1" s="1"/>
  <c r="AM354" i="1" s="1"/>
  <c r="AD354" i="1"/>
  <c r="AE354" i="1" s="1"/>
  <c r="AO354" i="1" l="1"/>
  <c r="AN354" i="1"/>
  <c r="AK355" i="1"/>
  <c r="AL355" i="1"/>
  <c r="U357" i="1"/>
  <c r="V357" i="1" s="1"/>
  <c r="Z354" i="1"/>
  <c r="W355" i="1"/>
  <c r="AA355" i="1" s="1"/>
  <c r="AM355" i="1" s="1"/>
  <c r="AD355" i="1"/>
  <c r="AE355" i="1" s="1"/>
  <c r="AF354" i="1"/>
  <c r="AG354" i="1" s="1"/>
  <c r="X356" i="1"/>
  <c r="AB356" i="1"/>
  <c r="AC356" i="1" s="1"/>
  <c r="M356" i="1"/>
  <c r="P356" i="1" s="1"/>
  <c r="Y354" i="1"/>
  <c r="F359" i="1"/>
  <c r="G359" i="1" s="1"/>
  <c r="D360" i="1"/>
  <c r="K358" i="1"/>
  <c r="I358" i="1"/>
  <c r="J358" i="1"/>
  <c r="Q358" i="1"/>
  <c r="R358" i="1" s="1"/>
  <c r="AH354" i="1"/>
  <c r="L357" i="1"/>
  <c r="N357" i="1" s="1"/>
  <c r="O357" i="1" s="1"/>
  <c r="AN355" i="1" l="1"/>
  <c r="AO355" i="1"/>
  <c r="M357" i="1"/>
  <c r="P357" i="1" s="1"/>
  <c r="S357" i="1" s="1"/>
  <c r="U358" i="1"/>
  <c r="V358" i="1" s="1"/>
  <c r="AF355" i="1"/>
  <c r="AG355" i="1" s="1"/>
  <c r="T357" i="1"/>
  <c r="L358" i="1"/>
  <c r="M358" i="1" s="1"/>
  <c r="P358" i="1" s="1"/>
  <c r="Z355" i="1"/>
  <c r="F360" i="1"/>
  <c r="G360" i="1" s="1"/>
  <c r="D361" i="1"/>
  <c r="K359" i="1"/>
  <c r="I359" i="1"/>
  <c r="J359" i="1"/>
  <c r="Q359" i="1"/>
  <c r="R359" i="1" s="1"/>
  <c r="S356" i="1"/>
  <c r="T356" i="1"/>
  <c r="X357" i="1"/>
  <c r="AB357" i="1"/>
  <c r="AC357" i="1" s="1"/>
  <c r="AH355" i="1"/>
  <c r="Y355" i="1"/>
  <c r="AK357" i="1" l="1"/>
  <c r="AL357" i="1"/>
  <c r="AK356" i="1"/>
  <c r="AL356" i="1"/>
  <c r="N358" i="1"/>
  <c r="O358" i="1" s="1"/>
  <c r="S358" i="1"/>
  <c r="T358" i="1"/>
  <c r="F361" i="1"/>
  <c r="G361" i="1" s="1"/>
  <c r="D362" i="1"/>
  <c r="W356" i="1"/>
  <c r="AD356" i="1"/>
  <c r="U359" i="1"/>
  <c r="V359" i="1" s="1"/>
  <c r="W357" i="1"/>
  <c r="AA357" i="1" s="1"/>
  <c r="AM357" i="1" s="1"/>
  <c r="AD357" i="1"/>
  <c r="AE357" i="1" s="1"/>
  <c r="K360" i="1"/>
  <c r="J360" i="1"/>
  <c r="Q360" i="1"/>
  <c r="R360" i="1" s="1"/>
  <c r="I360" i="1"/>
  <c r="L359" i="1"/>
  <c r="M359" i="1" s="1"/>
  <c r="P359" i="1" s="1"/>
  <c r="X358" i="1"/>
  <c r="AB358" i="1"/>
  <c r="AC358" i="1" s="1"/>
  <c r="AN357" i="1" l="1"/>
  <c r="AO357" i="1"/>
  <c r="AK358" i="1"/>
  <c r="AL358" i="1"/>
  <c r="Y357" i="1"/>
  <c r="S359" i="1"/>
  <c r="T359" i="1"/>
  <c r="AF357" i="1"/>
  <c r="AG357" i="1" s="1"/>
  <c r="F362" i="1"/>
  <c r="G362" i="1" s="1"/>
  <c r="D363" i="1"/>
  <c r="K361" i="1"/>
  <c r="I361" i="1"/>
  <c r="J361" i="1"/>
  <c r="Q361" i="1"/>
  <c r="R361" i="1" s="1"/>
  <c r="N359" i="1"/>
  <c r="O359" i="1" s="1"/>
  <c r="AH357" i="1"/>
  <c r="X359" i="1"/>
  <c r="AB359" i="1"/>
  <c r="AC359" i="1" s="1"/>
  <c r="AE356" i="1"/>
  <c r="AH356" i="1"/>
  <c r="AA356" i="1"/>
  <c r="AM356" i="1" s="1"/>
  <c r="Y356" i="1"/>
  <c r="Z356" i="1"/>
  <c r="U360" i="1"/>
  <c r="V360" i="1" s="1"/>
  <c r="W358" i="1"/>
  <c r="AA358" i="1" s="1"/>
  <c r="AM358" i="1" s="1"/>
  <c r="AD358" i="1"/>
  <c r="AE358" i="1" s="1"/>
  <c r="L360" i="1"/>
  <c r="N360" i="1" s="1"/>
  <c r="O360" i="1" s="1"/>
  <c r="Z357" i="1"/>
  <c r="AN356" i="1" l="1"/>
  <c r="AO356" i="1"/>
  <c r="AO358" i="1"/>
  <c r="AN358" i="1"/>
  <c r="AL359" i="1"/>
  <c r="AK359" i="1"/>
  <c r="M360" i="1"/>
  <c r="P360" i="1" s="1"/>
  <c r="S360" i="1" s="1"/>
  <c r="Y358" i="1"/>
  <c r="AH358" i="1"/>
  <c r="K362" i="1"/>
  <c r="Q362" i="1"/>
  <c r="R362" i="1" s="1"/>
  <c r="J362" i="1"/>
  <c r="I362" i="1"/>
  <c r="F363" i="1"/>
  <c r="G363" i="1" s="1"/>
  <c r="D364" i="1"/>
  <c r="AF356" i="1"/>
  <c r="AG356" i="1" s="1"/>
  <c r="W359" i="1"/>
  <c r="AA359" i="1" s="1"/>
  <c r="AM359" i="1" s="1"/>
  <c r="AD359" i="1"/>
  <c r="AE359" i="1" s="1"/>
  <c r="U361" i="1"/>
  <c r="V361" i="1" s="1"/>
  <c r="AF358" i="1"/>
  <c r="AG358" i="1" s="1"/>
  <c r="L361" i="1"/>
  <c r="M361" i="1" s="1"/>
  <c r="P361" i="1" s="1"/>
  <c r="S361" i="1" s="1"/>
  <c r="AB360" i="1"/>
  <c r="AC360" i="1" s="1"/>
  <c r="X360" i="1"/>
  <c r="Z358" i="1"/>
  <c r="AN359" i="1" l="1"/>
  <c r="AO359" i="1"/>
  <c r="T360" i="1"/>
  <c r="Y359" i="1"/>
  <c r="N361" i="1"/>
  <c r="O361" i="1" s="1"/>
  <c r="AH359" i="1"/>
  <c r="Z359" i="1"/>
  <c r="AF359" i="1"/>
  <c r="AG359" i="1" s="1"/>
  <c r="K363" i="1"/>
  <c r="Q363" i="1"/>
  <c r="R363" i="1" s="1"/>
  <c r="J363" i="1"/>
  <c r="I363" i="1"/>
  <c r="X361" i="1"/>
  <c r="AB361" i="1"/>
  <c r="AC361" i="1" s="1"/>
  <c r="F364" i="1"/>
  <c r="G364" i="1" s="1"/>
  <c r="D365" i="1"/>
  <c r="L362" i="1"/>
  <c r="N362" i="1" s="1"/>
  <c r="O362" i="1" s="1"/>
  <c r="U362" i="1"/>
  <c r="V362" i="1" s="1"/>
  <c r="T361" i="1"/>
  <c r="AK361" i="1" l="1"/>
  <c r="AL361" i="1"/>
  <c r="AK360" i="1"/>
  <c r="AL360" i="1"/>
  <c r="AD360" i="1"/>
  <c r="AE360" i="1" s="1"/>
  <c r="W360" i="1"/>
  <c r="AA360" i="1" s="1"/>
  <c r="AM360" i="1" s="1"/>
  <c r="AH360" i="1"/>
  <c r="Z360" i="1"/>
  <c r="F365" i="1"/>
  <c r="G365" i="1" s="1"/>
  <c r="D366" i="1"/>
  <c r="L363" i="1"/>
  <c r="N363" i="1" s="1"/>
  <c r="O363" i="1" s="1"/>
  <c r="K364" i="1"/>
  <c r="I364" i="1"/>
  <c r="J364" i="1"/>
  <c r="Q364" i="1"/>
  <c r="R364" i="1" s="1"/>
  <c r="W361" i="1"/>
  <c r="AA361" i="1" s="1"/>
  <c r="AM361" i="1" s="1"/>
  <c r="AD361" i="1"/>
  <c r="AE361" i="1" s="1"/>
  <c r="M362" i="1"/>
  <c r="P362" i="1" s="1"/>
  <c r="U363" i="1"/>
  <c r="V363" i="1" s="1"/>
  <c r="X362" i="1"/>
  <c r="AB362" i="1"/>
  <c r="AC362" i="1" s="1"/>
  <c r="AF360" i="1"/>
  <c r="AG360" i="1" s="1"/>
  <c r="AO360" i="1" l="1"/>
  <c r="AN360" i="1"/>
  <c r="AN361" i="1"/>
  <c r="AO361" i="1"/>
  <c r="Y360" i="1"/>
  <c r="AH361" i="1"/>
  <c r="Z361" i="1"/>
  <c r="Y361" i="1"/>
  <c r="U364" i="1"/>
  <c r="V364" i="1" s="1"/>
  <c r="L364" i="1"/>
  <c r="N364" i="1" s="1"/>
  <c r="O364" i="1" s="1"/>
  <c r="S362" i="1"/>
  <c r="T362" i="1"/>
  <c r="M363" i="1"/>
  <c r="P363" i="1" s="1"/>
  <c r="AF361" i="1"/>
  <c r="AG361" i="1" s="1"/>
  <c r="F366" i="1"/>
  <c r="G366" i="1" s="1"/>
  <c r="D367" i="1"/>
  <c r="F367" i="1" s="1"/>
  <c r="G367" i="1" s="1"/>
  <c r="X363" i="1"/>
  <c r="AB363" i="1"/>
  <c r="AC363" i="1" s="1"/>
  <c r="K365" i="1"/>
  <c r="J365" i="1"/>
  <c r="Q365" i="1"/>
  <c r="R365" i="1" s="1"/>
  <c r="I365" i="1"/>
  <c r="AK362" i="1" l="1"/>
  <c r="AL362" i="1"/>
  <c r="M364" i="1"/>
  <c r="P364" i="1" s="1"/>
  <c r="S364" i="1" s="1"/>
  <c r="K367" i="1"/>
  <c r="I367" i="1"/>
  <c r="Q367" i="1"/>
  <c r="R367" i="1" s="1"/>
  <c r="J367" i="1"/>
  <c r="K366" i="1"/>
  <c r="J366" i="1"/>
  <c r="I366" i="1"/>
  <c r="Q366" i="1"/>
  <c r="R366" i="1" s="1"/>
  <c r="U365" i="1"/>
  <c r="V365" i="1" s="1"/>
  <c r="S363" i="1"/>
  <c r="T363" i="1"/>
  <c r="T364" i="1"/>
  <c r="O365" i="1"/>
  <c r="AB364" i="1"/>
  <c r="AC364" i="1" s="1"/>
  <c r="X364" i="1"/>
  <c r="L365" i="1"/>
  <c r="M365" i="1" s="1"/>
  <c r="P365" i="1" s="1"/>
  <c r="N365" i="1"/>
  <c r="W362" i="1"/>
  <c r="AD362" i="1"/>
  <c r="AK364" i="1" l="1"/>
  <c r="AL364" i="1"/>
  <c r="AL363" i="1"/>
  <c r="AK363" i="1"/>
  <c r="S365" i="1"/>
  <c r="T365" i="1"/>
  <c r="W364" i="1"/>
  <c r="AA364" i="1" s="1"/>
  <c r="AM364" i="1" s="1"/>
  <c r="AD364" i="1"/>
  <c r="AE364" i="1" s="1"/>
  <c r="AE362" i="1"/>
  <c r="AH362" i="1"/>
  <c r="AA362" i="1"/>
  <c r="AM362" i="1" s="1"/>
  <c r="Y362" i="1"/>
  <c r="Z362" i="1"/>
  <c r="L367" i="1"/>
  <c r="M367" i="1" s="1"/>
  <c r="P367" i="1" s="1"/>
  <c r="AB365" i="1"/>
  <c r="AC365" i="1" s="1"/>
  <c r="X365" i="1"/>
  <c r="U366" i="1"/>
  <c r="V366" i="1" s="1"/>
  <c r="L366" i="1"/>
  <c r="M366" i="1" s="1"/>
  <c r="P366" i="1" s="1"/>
  <c r="W363" i="1"/>
  <c r="AD363" i="1"/>
  <c r="U367" i="1"/>
  <c r="V367" i="1" s="1"/>
  <c r="AO364" i="1" l="1"/>
  <c r="AN364" i="1"/>
  <c r="AK365" i="1"/>
  <c r="AL365" i="1"/>
  <c r="AO362" i="1"/>
  <c r="AN362" i="1"/>
  <c r="S366" i="1"/>
  <c r="T366" i="1"/>
  <c r="S367" i="1"/>
  <c r="T367" i="1"/>
  <c r="AE363" i="1"/>
  <c r="AH363" i="1"/>
  <c r="AA363" i="1"/>
  <c r="AM363" i="1" s="1"/>
  <c r="Y363" i="1"/>
  <c r="Z363" i="1"/>
  <c r="X367" i="1"/>
  <c r="AB367" i="1"/>
  <c r="AC367" i="1" s="1"/>
  <c r="AF362" i="1"/>
  <c r="AG362" i="1" s="1"/>
  <c r="AF364" i="1"/>
  <c r="AG364" i="1" s="1"/>
  <c r="Z364" i="1"/>
  <c r="W365" i="1"/>
  <c r="AA365" i="1" s="1"/>
  <c r="AM365" i="1" s="1"/>
  <c r="AD365" i="1"/>
  <c r="AE365" i="1" s="1"/>
  <c r="X366" i="1"/>
  <c r="AB366" i="1"/>
  <c r="AC366" i="1" s="1"/>
  <c r="N367" i="1"/>
  <c r="O367" i="1" s="1"/>
  <c r="AH364" i="1"/>
  <c r="Y364" i="1"/>
  <c r="N366" i="1"/>
  <c r="O366" i="1" s="1"/>
  <c r="AN363" i="1" l="1"/>
  <c r="AO363" i="1"/>
  <c r="AO365" i="1"/>
  <c r="AN365" i="1"/>
  <c r="AL367" i="1"/>
  <c r="AK367" i="1"/>
  <c r="AK366" i="1"/>
  <c r="AL366" i="1"/>
  <c r="AH365" i="1"/>
  <c r="Y365" i="1"/>
  <c r="AF363" i="1"/>
  <c r="AG363" i="1" s="1"/>
  <c r="AF365" i="1"/>
  <c r="AG365" i="1" s="1"/>
  <c r="Z365" i="1"/>
  <c r="W366" i="1"/>
  <c r="AA366" i="1" s="1"/>
  <c r="AM366" i="1" s="1"/>
  <c r="AD366" i="1"/>
  <c r="AE366" i="1" s="1"/>
  <c r="W367" i="1"/>
  <c r="AA367" i="1" s="1"/>
  <c r="AM367" i="1" s="1"/>
  <c r="AD367" i="1"/>
  <c r="AE367" i="1" s="1"/>
  <c r="AN366" i="1" l="1"/>
  <c r="AO366" i="1"/>
  <c r="AO367" i="1"/>
  <c r="AN367" i="1"/>
  <c r="AF367" i="1"/>
  <c r="AG367" i="1" s="1"/>
  <c r="AF366" i="1"/>
  <c r="AG366" i="1" s="1"/>
  <c r="Y367" i="1"/>
  <c r="Y366" i="1"/>
  <c r="Z367" i="1"/>
  <c r="Z366" i="1"/>
  <c r="AH367" i="1"/>
  <c r="AH36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<sst xmlns="http://schemas.openxmlformats.org/spreadsheetml/2006/main" count="59" uniqueCount="59">
  <si>
    <t>Latitude (+ to N)</t>
  </si>
  <si>
    <t>Longitude (+ to E)</t>
  </si>
  <si>
    <t>Time Zone (+ to E)</t>
  </si>
  <si>
    <t>Time (hrs past local midnight)</t>
  </si>
  <si>
    <t>Eq of Time (minutes)</t>
  </si>
  <si>
    <t>True Solar Time (min)</t>
  </si>
  <si>
    <t>Hour Angle (deg)</t>
  </si>
  <si>
    <t>Date</t>
  </si>
  <si>
    <t>Julian Day</t>
  </si>
  <si>
    <t>Julian Century</t>
  </si>
  <si>
    <t>Sun Eq of Ctr</t>
  </si>
  <si>
    <t>Eccent Earth Orbit</t>
  </si>
  <si>
    <t>Local Time (hrs)</t>
  </si>
  <si>
    <t>Sun Rad Vector (AUs)</t>
  </si>
  <si>
    <t>var y</t>
  </si>
  <si>
    <t>Solar Elevation Angle (deg)</t>
  </si>
  <si>
    <t>Solar Zenith Angle (deg)</t>
  </si>
  <si>
    <t>Solar Azimuth Angle (deg cw from N)</t>
  </si>
  <si>
    <t>HA Sunrise (deg)</t>
  </si>
  <si>
    <t>Sun Declin (deg)</t>
  </si>
  <si>
    <t>Solar Elevation corrected for atm refraction (deg)</t>
  </si>
  <si>
    <t>Approx Atmospheric Refraction (deg)</t>
  </si>
  <si>
    <t>Year</t>
  </si>
  <si>
    <t>NOAA Solar Calculations - Change any of the highlighted cells to get solar position data for that location and time-of-day for a year.</t>
  </si>
  <si>
    <t>Sunrise Time (LST)</t>
  </si>
  <si>
    <t>Sunset Time (LST)</t>
  </si>
  <si>
    <t>Solar Noon (LST)</t>
  </si>
  <si>
    <t>Sunlight Duration (minutes)</t>
  </si>
  <si>
    <t>Mean Obliq Ecliptic (deg)</t>
  </si>
  <si>
    <t>Obliq Corr (deg)</t>
  </si>
  <si>
    <t>Geom Mean Long Sun (deg)</t>
  </si>
  <si>
    <t>Geom Mean Anom Sun (deg)</t>
  </si>
  <si>
    <t>Sun True Long (deg)</t>
  </si>
  <si>
    <t>Sun True Anom (deg)</t>
  </si>
  <si>
    <t>Sun App Long (deg)</t>
  </si>
  <si>
    <t>Sun Rt Ascen (deg)</t>
  </si>
  <si>
    <t>Start</t>
  </si>
  <si>
    <t>End</t>
  </si>
  <si>
    <t>Steps</t>
  </si>
  <si>
    <t>Cos(Dec)</t>
  </si>
  <si>
    <t>Sin(Dec)</t>
  </si>
  <si>
    <t>Daily Insolation (Wh/m^2)</t>
  </si>
  <si>
    <t>SUMPRODUCT(1362*IF(AK2*$AI$2+(AL2*$AJ$2*COS(RADIANS(0.25*(SEQUENCE(AO2-AN2,1,AN2+1)))))&gt;0,AK2*$AI$2+(AL2*$AJ$2*COS(RADIANS(0.25*(SEQUENCE(AO2-AN2,1,AN2+1))))),0)/60)</t>
  </si>
  <si>
    <t>Relative performance</t>
  </si>
  <si>
    <t>Tracking Value</t>
  </si>
  <si>
    <t>Sin(lat)</t>
  </si>
  <si>
    <t>Cos(lat)</t>
  </si>
  <si>
    <t>Tracking</t>
  </si>
  <si>
    <t>Fixed</t>
  </si>
  <si>
    <t>Totals</t>
  </si>
  <si>
    <t>Air Mass calc</t>
  </si>
  <si>
    <t>Zenith angle</t>
  </si>
  <si>
    <t>Cos zenith</t>
  </si>
  <si>
    <t>Colors = used</t>
  </si>
  <si>
    <t>Beam Transmittance</t>
  </si>
  <si>
    <t>SolarConstant*BeamTransmittance*Area*Cos(angle incidence)*TimeInterval</t>
  </si>
  <si>
    <t>Solar Constant = 1362 W/m^2</t>
  </si>
  <si>
    <t>Area = 1m^2</t>
  </si>
  <si>
    <t>Time interval = 1 minute =1/60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</si>
</sst>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000"/>
    <numFmt numFmtId="165" formatCode="h:mm:ss;@"/>
    <numFmt numFmtId="166" formatCode="_(* #,##0.00000_);_(* \(#,##0.0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rgb="FF0C0D0E"/>
      <name val="Menlo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165" fontId="0" fillId="0" borderId="0" xfId="0" applyNumberFormat="1"/>
    <xf numFmtId="165" fontId="0" fillId="2" borderId="0" xfId="0" applyNumberFormat="1" applyFill="1"/>
    <xf numFmtId="166" fontId="0" fillId="0" borderId="0" xfId="1" applyNumberFormat="1" applyFont="1"/>
    <xf numFmtId="0" fontId="3" fillId="0" borderId="0" xfId="0" applyFont="1"/>
    <xf numFmtId="43" fontId="0" fillId="0" borderId="0" xfId="0" applyNumberFormat="1"/>
    <xf numFmtId="0" fontId="2" fillId="0" borderId="0" xfId="0" applyFont="1" applyAlignment="1">
      <alignment vertical="top" wrapText="1"/>
    </xf>
    <xf numFmtId="0" fontId="0" fillId="0" borderId="0" xfId="0"/>
    <xf numFmtId="0" fontId="3" fillId="0" borderId="0" xfId="0" applyNumberFormat="1" applyFont="1"/>
    <xf numFmtId="0" fontId="0" fillId="0" borderId="0" xfId="0" applyNumberFormat="1"/>
    <xf numFmtId="9" fontId="0" fillId="0" borderId="0" xfId="2" applyFont="1"/>
    <xf numFmtId="0" fontId="3" fillId="3" borderId="0" xfId="0" applyNumberFormat="1" applyFont="1" applyFill="1"/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9" fontId="0" fillId="6" borderId="0" xfId="2" applyFont="1" applyFill="1"/>
    <xf numFmtId="0" fontId="3" fillId="0" borderId="0" xfId="0" applyFont="1" applyAlignment="1">
      <alignment wrapText="1"/>
    </xf>
    <xf numFmtId="0" fontId="0" fillId="7" borderId="0" xfId="0" applyFill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Analemma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Calculations!$AH$1</c:f>
              <c:strCache>
                <c:ptCount val="1"/>
                <c:pt idx="0">
                  <c:v>Solar Azimuth Angle (deg cw from N)</c:v>
                </c:pt>
              </c:strCache>
            </c:strRef>
          </c:tx>
          <c:marker>
            <c:symbol val="none"/>
          </c:marker>
          <c:xVal>
            <c:numRef>
              <c:f>Calculations!$AE$2:$AE$367</c:f>
              <c:numCache>
                <c:formatCode>General</c:formatCode>
                <c:ptCount val="366"/>
                <c:pt idx="0">
                  <c:v>29.391713730956816</c:v>
                </c:pt>
                <c:pt idx="1">
                  <c:v>29.477588476005657</c:v>
                </c:pt>
                <c:pt idx="2">
                  <c:v>29.57088643941443</c:v>
                </c:pt>
                <c:pt idx="3">
                  <c:v>29.671570032563309</c:v>
                </c:pt>
                <c:pt idx="4">
                  <c:v>29.779598554118955</c:v>
                </c:pt>
                <c:pt idx="5">
                  <c:v>29.894928234387422</c:v>
                </c:pt>
                <c:pt idx="6">
                  <c:v>30.017512282341883</c:v>
                </c:pt>
                <c:pt idx="7">
                  <c:v>30.147300935143626</c:v>
                </c:pt>
                <c:pt idx="8">
                  <c:v>30.284241509970293</c:v>
                </c:pt>
                <c:pt idx="9">
                  <c:v>30.428278457969128</c:v>
                </c:pt>
                <c:pt idx="10">
                  <c:v>30.579353420150746</c:v>
                </c:pt>
                <c:pt idx="11">
                  <c:v>30.737405285038399</c:v>
                </c:pt>
                <c:pt idx="12">
                  <c:v>30.902370247906951</c:v>
                </c:pt>
                <c:pt idx="13">
                  <c:v>31.074181871426269</c:v>
                </c:pt>
                <c:pt idx="14">
                  <c:v>31.252771147555784</c:v>
                </c:pt>
                <c:pt idx="15">
                  <c:v>31.438066560529485</c:v>
                </c:pt>
                <c:pt idx="16">
                  <c:v>31.629994150777165</c:v>
                </c:pt>
                <c:pt idx="17">
                  <c:v>31.828477579648506</c:v>
                </c:pt>
                <c:pt idx="18">
                  <c:v>32.033438194802969</c:v>
                </c:pt>
                <c:pt idx="19">
                  <c:v>32.244795096145374</c:v>
                </c:pt>
                <c:pt idx="20">
                  <c:v>32.462465202192966</c:v>
                </c:pt>
                <c:pt idx="21">
                  <c:v>32.686363316768663</c:v>
                </c:pt>
                <c:pt idx="22">
                  <c:v>32.916402195929507</c:v>
                </c:pt>
                <c:pt idx="23">
                  <c:v>33.152492615036842</c:v>
                </c:pt>
                <c:pt idx="24">
                  <c:v>33.394543435899394</c:v>
                </c:pt>
                <c:pt idx="25">
                  <c:v>33.642461673907093</c:v>
                </c:pt>
                <c:pt idx="26">
                  <c:v>33.896152565100287</c:v>
                </c:pt>
                <c:pt idx="27">
                  <c:v>34.155519633117216</c:v>
                </c:pt>
                <c:pt idx="28">
                  <c:v>34.420464755958641</c:v>
                </c:pt>
                <c:pt idx="29">
                  <c:v>34.69088823253373</c:v>
                </c:pt>
                <c:pt idx="30">
                  <c:v>34.966688848936101</c:v>
                </c:pt>
                <c:pt idx="31">
                  <c:v>35.247763944416242</c:v>
                </c:pt>
                <c:pt idx="32">
                  <c:v>35.534009477002158</c:v>
                </c:pt>
                <c:pt idx="33">
                  <c:v>35.8253200887481</c:v>
                </c:pt>
                <c:pt idx="34">
                  <c:v>36.121589170563652</c:v>
                </c:pt>
                <c:pt idx="35">
                  <c:v>36.422708926592719</c:v>
                </c:pt>
                <c:pt idx="36">
                  <c:v>36.728570438113877</c:v>
                </c:pt>
                <c:pt idx="37">
                  <c:v>37.039063726916105</c:v>
                </c:pt>
                <c:pt idx="38">
                  <c:v>37.354077818122654</c:v>
                </c:pt>
                <c:pt idx="39">
                  <c:v>37.673500802426581</c:v>
                </c:pt>
                <c:pt idx="40">
                  <c:v>37.997219897688403</c:v>
                </c:pt>
                <c:pt idx="41">
                  <c:v>38.325121509870691</c:v>
                </c:pt>
                <c:pt idx="42">
                  <c:v>38.657091293253494</c:v>
                </c:pt>
                <c:pt idx="43">
                  <c:v>38.993014209893424</c:v>
                </c:pt>
                <c:pt idx="44">
                  <c:v>39.332774588279555</c:v>
                </c:pt>
                <c:pt idx="45">
                  <c:v>39.676256181139124</c:v>
                </c:pt>
                <c:pt idx="46">
                  <c:v>40.023342222342393</c:v>
                </c:pt>
                <c:pt idx="47">
                  <c:v>40.373915482854571</c:v>
                </c:pt>
                <c:pt idx="48">
                  <c:v>40.727858325693397</c:v>
                </c:pt>
                <c:pt idx="49">
                  <c:v>41.085052759826837</c:v>
                </c:pt>
                <c:pt idx="50">
                  <c:v>41.445380492969718</c:v>
                </c:pt>
                <c:pt idx="51">
                  <c:v>41.808722983233388</c:v>
                </c:pt>
                <c:pt idx="52">
                  <c:v>42.174961489555578</c:v>
                </c:pt>
                <c:pt idx="53">
                  <c:v>42.543977120890915</c:v>
                </c:pt>
                <c:pt idx="54">
                  <c:v>42.915650884094063</c:v>
                </c:pt>
                <c:pt idx="55">
                  <c:v>43.289863730460091</c:v>
                </c:pt>
                <c:pt idx="56">
                  <c:v>43.666496600874197</c:v>
                </c:pt>
                <c:pt idx="57">
                  <c:v>44.045430469539184</c:v>
                </c:pt>
                <c:pt idx="58">
                  <c:v>44.426546386238464</c:v>
                </c:pt>
                <c:pt idx="59">
                  <c:v>44.809725517101583</c:v>
                </c:pt>
                <c:pt idx="60">
                  <c:v>45.194849183855709</c:v>
                </c:pt>
                <c:pt idx="61">
                  <c:v>45.581798901521054</c:v>
                </c:pt>
                <c:pt idx="62">
                  <c:v>45.970456414549218</c:v>
                </c:pt>
                <c:pt idx="63">
                  <c:v>46.36070373138007</c:v>
                </c:pt>
                <c:pt idx="64">
                  <c:v>46.752423157407726</c:v>
                </c:pt>
                <c:pt idx="65">
                  <c:v>47.145497326357876</c:v>
                </c:pt>
                <c:pt idx="66">
                  <c:v>47.539809230070333</c:v>
                </c:pt>
                <c:pt idx="67">
                  <c:v>47.935242246695431</c:v>
                </c:pt>
                <c:pt idx="68">
                  <c:v>48.331680167310893</c:v>
                </c:pt>
                <c:pt idx="69">
                  <c:v>48.729007220981025</c:v>
                </c:pt>
                <c:pt idx="70">
                  <c:v>49.127108098269751</c:v>
                </c:pt>
                <c:pt idx="71">
                  <c:v>49.525867973234753</c:v>
                </c:pt>
                <c:pt idx="72">
                  <c:v>49.925172523933277</c:v>
                </c:pt>
                <c:pt idx="73">
                  <c:v>50.324907951456865</c:v>
                </c:pt>
                <c:pt idx="74">
                  <c:v>50.7249609975513</c:v>
                </c:pt>
                <c:pt idx="75">
                  <c:v>51.125218960836932</c:v>
                </c:pt>
                <c:pt idx="76">
                  <c:v>51.525569711684199</c:v>
                </c:pt>
                <c:pt idx="77">
                  <c:v>51.925901705776646</c:v>
                </c:pt>
                <c:pt idx="78">
                  <c:v>52.326103996408506</c:v>
                </c:pt>
                <c:pt idx="79">
                  <c:v>52.726066245560069</c:v>
                </c:pt>
                <c:pt idx="80">
                  <c:v>53.125678733792562</c:v>
                </c:pt>
                <c:pt idx="81">
                  <c:v>53.524832369013076</c:v>
                </c:pt>
                <c:pt idx="82">
                  <c:v>53.923418694151763</c:v>
                </c:pt>
                <c:pt idx="83">
                  <c:v>54.321329893787713</c:v>
                </c:pt>
                <c:pt idx="84">
                  <c:v>54.718458799776982</c:v>
                </c:pt>
                <c:pt idx="85">
                  <c:v>55.114698895919666</c:v>
                </c:pt>
                <c:pt idx="86">
                  <c:v>55.509944321703337</c:v>
                </c:pt>
                <c:pt idx="87">
                  <c:v>55.904089875159087</c:v>
                </c:pt>
                <c:pt idx="88">
                  <c:v>56.297031014870377</c:v>
                </c:pt>
                <c:pt idx="89">
                  <c:v>56.688663861164919</c:v>
                </c:pt>
                <c:pt idx="90">
                  <c:v>57.078885196506455</c:v>
                </c:pt>
                <c:pt idx="91">
                  <c:v>57.467592465138779</c:v>
                </c:pt>
                <c:pt idx="92">
                  <c:v>57.85468377197494</c:v>
                </c:pt>
                <c:pt idx="93">
                  <c:v>58.240057880779062</c:v>
                </c:pt>
                <c:pt idx="94">
                  <c:v>58.623614211635143</c:v>
                </c:pt>
                <c:pt idx="95">
                  <c:v>59.00525283773726</c:v>
                </c:pt>
                <c:pt idx="96">
                  <c:v>59.38487448149823</c:v>
                </c:pt>
                <c:pt idx="97">
                  <c:v>59.762380509999261</c:v>
                </c:pt>
                <c:pt idx="98">
                  <c:v>60.137672929781317</c:v>
                </c:pt>
                <c:pt idx="99">
                  <c:v>60.51065438098631</c:v>
                </c:pt>
                <c:pt idx="100">
                  <c:v>60.881228130863818</c:v>
                </c:pt>
                <c:pt idx="101">
                  <c:v>61.249298066638886</c:v>
                </c:pt>
                <c:pt idx="102">
                  <c:v>61.614768687750512</c:v>
                </c:pt>
                <c:pt idx="103">
                  <c:v>61.9775450974888</c:v>
                </c:pt>
                <c:pt idx="104">
                  <c:v>62.337532994009202</c:v>
                </c:pt>
                <c:pt idx="105">
                  <c:v>62.694638660774459</c:v>
                </c:pt>
                <c:pt idx="106">
                  <c:v>63.048768956422776</c:v>
                </c:pt>
                <c:pt idx="107">
                  <c:v>63.399831304097873</c:v>
                </c:pt>
                <c:pt idx="108">
                  <c:v>63.747733680270201</c:v>
                </c:pt>
                <c:pt idx="109">
                  <c:v>64.092384603097571</c:v>
                </c:pt>
                <c:pt idx="110">
                  <c:v>64.433693120371956</c:v>
                </c:pt>
                <c:pt idx="111">
                  <c:v>64.771568797114512</c:v>
                </c:pt>
                <c:pt idx="112">
                  <c:v>65.105921702904055</c:v>
                </c:pt>
                <c:pt idx="113">
                  <c:v>65.436662399016512</c:v>
                </c:pt>
                <c:pt idx="114">
                  <c:v>65.763701925488846</c:v>
                </c:pt>
                <c:pt idx="115">
                  <c:v>66.086951788228461</c:v>
                </c:pt>
                <c:pt idx="116">
                  <c:v>66.406323946312</c:v>
                </c:pt>
                <c:pt idx="117">
                  <c:v>66.721730799630464</c:v>
                </c:pt>
                <c:pt idx="118">
                  <c:v>67.033085177067207</c:v>
                </c:pt>
                <c:pt idx="119">
                  <c:v>67.340300325415015</c:v>
                </c:pt>
                <c:pt idx="120">
                  <c:v>67.643289899258605</c:v>
                </c:pt>
                <c:pt idx="121">
                  <c:v>67.941967952083573</c:v>
                </c:pt>
                <c:pt idx="122">
                  <c:v>68.236248928887363</c:v>
                </c:pt>
                <c:pt idx="123">
                  <c:v>68.526047660597527</c:v>
                </c:pt>
                <c:pt idx="124">
                  <c:v>68.8112793606427</c:v>
                </c:pt>
                <c:pt idx="125">
                  <c:v>69.091859624013097</c:v>
                </c:pt>
                <c:pt idx="126">
                  <c:v>69.367704429221448</c:v>
                </c:pt>
                <c:pt idx="127">
                  <c:v>69.638730143553616</c:v>
                </c:pt>
                <c:pt idx="128">
                  <c:v>69.904853532053565</c:v>
                </c:pt>
                <c:pt idx="129">
                  <c:v>70.165991770690965</c:v>
                </c:pt>
                <c:pt idx="130">
                  <c:v>70.422062464177543</c:v>
                </c:pt>
                <c:pt idx="131">
                  <c:v>70.672983668925212</c:v>
                </c:pt>
                <c:pt idx="132">
                  <c:v>70.918673921628198</c:v>
                </c:pt>
                <c:pt idx="133">
                  <c:v>71.159052273971469</c:v>
                </c:pt>
                <c:pt idx="134">
                  <c:v>71.394038333954001</c:v>
                </c:pt>
                <c:pt idx="135">
                  <c:v>71.623552314301236</c:v>
                </c:pt>
                <c:pt idx="136">
                  <c:v>71.847515088433241</c:v>
                </c:pt>
                <c:pt idx="137">
                  <c:v>72.065848254412302</c:v>
                </c:pt>
                <c:pt idx="138">
                  <c:v>72.278474207255712</c:v>
                </c:pt>
                <c:pt idx="139">
                  <c:v>72.485316219945702</c:v>
                </c:pt>
                <c:pt idx="140">
                  <c:v>72.686298533407736</c:v>
                </c:pt>
                <c:pt idx="141">
                  <c:v>72.881346455634286</c:v>
                </c:pt>
                <c:pt idx="142">
                  <c:v>73.070386470055581</c:v>
                </c:pt>
                <c:pt idx="143">
                  <c:v>73.253346353133082</c:v>
                </c:pt>
                <c:pt idx="144">
                  <c:v>73.430155301045744</c:v>
                </c:pt>
                <c:pt idx="145">
                  <c:v>73.600744065186461</c:v>
                </c:pt>
                <c:pt idx="146">
                  <c:v>73.765045096055061</c:v>
                </c:pt>
                <c:pt idx="147">
                  <c:v>73.922992694963924</c:v>
                </c:pt>
                <c:pt idx="148">
                  <c:v>74.074523172807417</c:v>
                </c:pt>
                <c:pt idx="149">
                  <c:v>74.219575014977707</c:v>
                </c:pt>
                <c:pt idx="150">
                  <c:v>74.358089051325322</c:v>
                </c:pt>
                <c:pt idx="151">
                  <c:v>74.490008629893154</c:v>
                </c:pt>
                <c:pt idx="152">
                  <c:v>74.615279792977432</c:v>
                </c:pt>
                <c:pt idx="153">
                  <c:v>74.733851453913644</c:v>
                </c:pt>
                <c:pt idx="154">
                  <c:v>74.845675572834153</c:v>
                </c:pt>
                <c:pt idx="155">
                  <c:v>74.950707329519929</c:v>
                </c:pt>
                <c:pt idx="156">
                  <c:v>75.048905291370218</c:v>
                </c:pt>
                <c:pt idx="157">
                  <c:v>75.140231574438332</c:v>
                </c:pt>
                <c:pt idx="158">
                  <c:v>75.224651995448909</c:v>
                </c:pt>
                <c:pt idx="159">
                  <c:v>75.302136212714487</c:v>
                </c:pt>
                <c:pt idx="160">
                  <c:v>75.372657853904499</c:v>
                </c:pt>
                <c:pt idx="161">
                  <c:v>75.436194628719406</c:v>
                </c:pt>
                <c:pt idx="162">
                  <c:v>75.492728424641641</c:v>
                </c:pt>
                <c:pt idx="163">
                  <c:v>75.542245384115702</c:v>
                </c:pt>
                <c:pt idx="164">
                  <c:v>75.584735961721591</c:v>
                </c:pt>
                <c:pt idx="165">
                  <c:v>75.62019496016336</c:v>
                </c:pt>
                <c:pt idx="166">
                  <c:v>75.648621544174489</c:v>
                </c:pt>
                <c:pt idx="167">
                  <c:v>75.67001923176133</c:v>
                </c:pt>
                <c:pt idx="168">
                  <c:v>75.684395862532355</c:v>
                </c:pt>
                <c:pt idx="169">
                  <c:v>75.691763543207983</c:v>
                </c:pt>
                <c:pt idx="170">
                  <c:v>75.692138570750117</c:v>
                </c:pt>
                <c:pt idx="171">
                  <c:v>75.685541333890328</c:v>
                </c:pt>
                <c:pt idx="172">
                  <c:v>75.671996194160329</c:v>
                </c:pt>
                <c:pt idx="173">
                  <c:v>75.651531347829575</c:v>
                </c:pt>
                <c:pt idx="174">
                  <c:v>75.624178670425991</c:v>
                </c:pt>
                <c:pt idx="175">
                  <c:v>75.589973545746446</c:v>
                </c:pt>
                <c:pt idx="176">
                  <c:v>75.548954681459961</c:v>
                </c:pt>
                <c:pt idx="177">
                  <c:v>75.501163913546677</c:v>
                </c:pt>
                <c:pt idx="178">
                  <c:v>75.446646001915937</c:v>
                </c:pt>
                <c:pt idx="179">
                  <c:v>75.38544841959623</c:v>
                </c:pt>
                <c:pt idx="180">
                  <c:v>75.317621137891294</c:v>
                </c:pt>
                <c:pt idx="181">
                  <c:v>75.243216409852508</c:v>
                </c:pt>
                <c:pt idx="182">
                  <c:v>75.162288554334822</c:v>
                </c:pt>
                <c:pt idx="183">
                  <c:v>75.074893742782706</c:v>
                </c:pt>
                <c:pt idx="184">
                  <c:v>74.981089790735766</c:v>
                </c:pt>
                <c:pt idx="185">
                  <c:v>74.880935955872246</c:v>
                </c:pt>
                <c:pt idx="186">
                  <c:v>74.774492744200657</c:v>
                </c:pt>
                <c:pt idx="187">
                  <c:v>74.661821725808608</c:v>
                </c:pt>
                <c:pt idx="188">
                  <c:v>74.542985361347078</c:v>
                </c:pt>
                <c:pt idx="189">
                  <c:v>74.418046840211218</c:v>
                </c:pt>
                <c:pt idx="190">
                  <c:v>74.287069931166258</c:v>
                </c:pt>
                <c:pt idx="191">
                  <c:v>74.15011884593288</c:v>
                </c:pt>
                <c:pt idx="192">
                  <c:v>74.00725811607127</c:v>
                </c:pt>
                <c:pt idx="193">
                  <c:v>73.858552483291263</c:v>
                </c:pt>
                <c:pt idx="194">
                  <c:v>73.704066803157858</c:v>
                </c:pt>
                <c:pt idx="195">
                  <c:v>73.543865961998563</c:v>
                </c:pt>
                <c:pt idx="196">
                  <c:v>73.3780148066854</c:v>
                </c:pt>
                <c:pt idx="197">
                  <c:v>73.206578086846804</c:v>
                </c:pt>
                <c:pt idx="198">
                  <c:v>73.029620408960866</c:v>
                </c:pt>
                <c:pt idx="199">
                  <c:v>72.847206201708801</c:v>
                </c:pt>
                <c:pt idx="200">
                  <c:v>72.659399691893739</c:v>
                </c:pt>
                <c:pt idx="201">
                  <c:v>72.466264890195419</c:v>
                </c:pt>
                <c:pt idx="202">
                  <c:v>72.267865585984524</c:v>
                </c:pt>
                <c:pt idx="203">
                  <c:v>72.064265350416804</c:v>
                </c:pt>
                <c:pt idx="204">
                  <c:v>71.855527547008052</c:v>
                </c:pt>
                <c:pt idx="205">
                  <c:v>71.641715348904597</c:v>
                </c:pt>
                <c:pt idx="206">
                  <c:v>71.422891762070478</c:v>
                </c:pt>
                <c:pt idx="207">
                  <c:v>71.199119653641091</c:v>
                </c:pt>
                <c:pt idx="208">
                  <c:v>70.970461784711716</c:v>
                </c:pt>
                <c:pt idx="209">
                  <c:v>70.736980846866075</c:v>
                </c:pt>
                <c:pt idx="210">
                  <c:v>70.49873950178926</c:v>
                </c:pt>
                <c:pt idx="211">
                  <c:v>70.255800423343544</c:v>
                </c:pt>
                <c:pt idx="212">
                  <c:v>70.008226341531355</c:v>
                </c:pt>
                <c:pt idx="213">
                  <c:v>69.756080087805458</c:v>
                </c:pt>
                <c:pt idx="214">
                  <c:v>69.499424641239017</c:v>
                </c:pt>
                <c:pt idx="215">
                  <c:v>69.23832317510535</c:v>
                </c:pt>
                <c:pt idx="216">
                  <c:v>68.972839103454874</c:v>
                </c:pt>
                <c:pt idx="217">
                  <c:v>68.703036127332965</c:v>
                </c:pt>
                <c:pt idx="218">
                  <c:v>68.428978280306026</c:v>
                </c:pt>
                <c:pt idx="219">
                  <c:v>68.150729973017619</c:v>
                </c:pt>
                <c:pt idx="220">
                  <c:v>67.8683560365115</c:v>
                </c:pt>
                <c:pt idx="221">
                  <c:v>67.581921764126506</c:v>
                </c:pt>
                <c:pt idx="222">
                  <c:v>67.291492951768731</c:v>
                </c:pt>
                <c:pt idx="223">
                  <c:v>66.997135936413258</c:v>
                </c:pt>
                <c:pt idx="224">
                  <c:v>66.698917632725127</c:v>
                </c:pt>
                <c:pt idx="225">
                  <c:v>66.396905567694446</c:v>
                </c:pt>
                <c:pt idx="226">
                  <c:v>66.091167913226258</c:v>
                </c:pt>
                <c:pt idx="227">
                  <c:v>65.78177351663409</c:v>
                </c:pt>
                <c:pt idx="228">
                  <c:v>65.468791929025571</c:v>
                </c:pt>
                <c:pt idx="229">
                  <c:v>65.152293431558292</c:v>
                </c:pt>
                <c:pt idx="230">
                  <c:v>64.832349059592815</c:v>
                </c:pt>
                <c:pt idx="231">
                  <c:v>64.509030624768442</c:v>
                </c:pt>
                <c:pt idx="232">
                  <c:v>64.182410735034892</c:v>
                </c:pt>
                <c:pt idx="233">
                  <c:v>63.852562812708769</c:v>
                </c:pt>
                <c:pt idx="234">
                  <c:v>63.519561110603391</c:v>
                </c:pt>
                <c:pt idx="235">
                  <c:v>63.183480726316532</c:v>
                </c:pt>
                <c:pt idx="236">
                  <c:v>62.844397614748033</c:v>
                </c:pt>
                <c:pt idx="237">
                  <c:v>62.502388598930018</c:v>
                </c:pt>
                <c:pt idx="238">
                  <c:v>62.157531379279909</c:v>
                </c:pt>
                <c:pt idx="239">
                  <c:v>61.809904541332621</c:v>
                </c:pt>
                <c:pt idx="240">
                  <c:v>61.459587562081666</c:v>
                </c:pt>
                <c:pt idx="241">
                  <c:v>61.106660814999515</c:v>
                </c:pt>
                <c:pt idx="242">
                  <c:v>60.751205573842611</c:v>
                </c:pt>
                <c:pt idx="243">
                  <c:v>60.393304015328972</c:v>
                </c:pt>
                <c:pt idx="244">
                  <c:v>60.033039220781511</c:v>
                </c:pt>
                <c:pt idx="245">
                  <c:v>59.670495176817127</c:v>
                </c:pt>
                <c:pt idx="246">
                  <c:v>59.305756775168845</c:v>
                </c:pt>
                <c:pt idx="247">
                  <c:v>58.938909811720677</c:v>
                </c:pt>
                <c:pt idx="248">
                  <c:v>58.570040984807974</c:v>
                </c:pt>
                <c:pt idx="249">
                  <c:v>58.199237892885989</c:v>
                </c:pt>
                <c:pt idx="250">
                  <c:v>57.826589031581115</c:v>
                </c:pt>
                <c:pt idx="251">
                  <c:v>57.45218379021135</c:v>
                </c:pt>
                <c:pt idx="252">
                  <c:v>57.076112447797883</c:v>
                </c:pt>
                <c:pt idx="253">
                  <c:v>56.698466168623625</c:v>
                </c:pt>
                <c:pt idx="254">
                  <c:v>56.319336997355144</c:v>
                </c:pt>
                <c:pt idx="255">
                  <c:v>55.938817853749811</c:v>
                </c:pt>
                <c:pt idx="256">
                  <c:v>55.557002526976206</c:v>
                </c:pt>
                <c:pt idx="257">
                  <c:v>55.173985669538148</c:v>
                </c:pt>
                <c:pt idx="258">
                  <c:v>54.789862790809096</c:v>
                </c:pt>
                <c:pt idx="259">
                  <c:v>54.404730250174694</c:v>
                </c:pt>
                <c:pt idx="260">
                  <c:v>54.01868524975891</c:v>
                </c:pt>
                <c:pt idx="261">
                  <c:v>53.631825826716522</c:v>
                </c:pt>
                <c:pt idx="262">
                  <c:v>53.244250845067015</c:v>
                </c:pt>
                <c:pt idx="263">
                  <c:v>52.856059987033412</c:v>
                </c:pt>
                <c:pt idx="264">
                  <c:v>52.467353743852676</c:v>
                </c:pt>
                <c:pt idx="265">
                  <c:v>52.078233406006781</c:v>
                </c:pt>
                <c:pt idx="266">
                  <c:v>51.688801052834528</c:v>
                </c:pt>
                <c:pt idx="267">
                  <c:v>51.299159541474793</c:v>
                </c:pt>
                <c:pt idx="268">
                  <c:v>50.909412495072758</c:v>
                </c:pt>
                <c:pt idx="269">
                  <c:v>50.519664290222245</c:v>
                </c:pt>
                <c:pt idx="270">
                  <c:v>50.130020043553706</c:v>
                </c:pt>
                <c:pt idx="271">
                  <c:v>49.740585597435832</c:v>
                </c:pt>
                <c:pt idx="272">
                  <c:v>49.351467504715906</c:v>
                </c:pt>
                <c:pt idx="273">
                  <c:v>48.962773012450057</c:v>
                </c:pt>
                <c:pt idx="274">
                  <c:v>48.574610044562064</c:v>
                </c:pt>
                <c:pt idx="275">
                  <c:v>48.18708718337534</c:v>
                </c:pt>
                <c:pt idx="276">
                  <c:v>47.800313649969027</c:v>
                </c:pt>
                <c:pt idx="277">
                  <c:v>47.41439928329595</c:v>
                </c:pt>
                <c:pt idx="278">
                  <c:v>47.029454518033532</c:v>
                </c:pt>
                <c:pt idx="279">
                  <c:v>46.645590361101334</c:v>
                </c:pt>
                <c:pt idx="280">
                  <c:v>46.26291836683113</c:v>
                </c:pt>
                <c:pt idx="281">
                  <c:v>45.881550610728702</c:v>
                </c:pt>
                <c:pt idx="282">
                  <c:v>45.501599661815419</c:v>
                </c:pt>
                <c:pt idx="283">
                  <c:v>45.123178553520631</c:v>
                </c:pt>
                <c:pt idx="284">
                  <c:v>44.746400753095223</c:v>
                </c:pt>
                <c:pt idx="285">
                  <c:v>44.371380129549898</c:v>
                </c:pt>
                <c:pt idx="286">
                  <c:v>43.998230920091203</c:v>
                </c:pt>
                <c:pt idx="287">
                  <c:v>43.627067695066955</c:v>
                </c:pt>
                <c:pt idx="288">
                  <c:v>43.258005321409833</c:v>
                </c:pt>
                <c:pt idx="289">
                  <c:v>42.891158924598948</c:v>
                </c:pt>
                <c:pt idx="290">
                  <c:v>42.526643849150055</c:v>
                </c:pt>
                <c:pt idx="291">
                  <c:v>42.164575617638633</c:v>
                </c:pt>
                <c:pt idx="292">
                  <c:v>41.805069888301269</c:v>
                </c:pt>
                <c:pt idx="293">
                  <c:v>41.448242411222125</c:v>
                </c:pt>
                <c:pt idx="294">
                  <c:v>41.094208983146757</c:v>
                </c:pt>
                <c:pt idx="295">
                  <c:v>40.743085400952936</c:v>
                </c:pt>
                <c:pt idx="296">
                  <c:v>40.394987413819578</c:v>
                </c:pt>
                <c:pt idx="297">
                  <c:v>40.050030674127875</c:v>
                </c:pt>
                <c:pt idx="298">
                  <c:v>39.708330687142876</c:v>
                </c:pt>
                <c:pt idx="299">
                  <c:v>39.370002759512602</c:v>
                </c:pt>
                <c:pt idx="300">
                  <c:v>39.035161946641466</c:v>
                </c:pt>
                <c:pt idx="301">
                  <c:v>38.703922998965162</c:v>
                </c:pt>
                <c:pt idx="302">
                  <c:v>38.376400307187126</c:v>
                </c:pt>
                <c:pt idx="303">
                  <c:v>38.052707846518025</c:v>
                </c:pt>
                <c:pt idx="304">
                  <c:v>37.732959119954188</c:v>
                </c:pt>
                <c:pt idx="305">
                  <c:v>37.417267100653078</c:v>
                </c:pt>
                <c:pt idx="306">
                  <c:v>37.105744173431738</c:v>
                </c:pt>
                <c:pt idx="307">
                  <c:v>36.798502075438115</c:v>
                </c:pt>
                <c:pt idx="308">
                  <c:v>36.495651836028713</c:v>
                </c:pt>
                <c:pt idx="309">
                  <c:v>36.197303715891735</c:v>
                </c:pt>
                <c:pt idx="310">
                  <c:v>35.903567145444001</c:v>
                </c:pt>
                <c:pt idx="311">
                  <c:v>35.614550662538917</c:v>
                </c:pt>
                <c:pt idx="312">
                  <c:v>35.330361849514894</c:v>
                </c:pt>
                <c:pt idx="313">
                  <c:v>35.051107269608728</c:v>
                </c:pt>
                <c:pt idx="314">
                  <c:v>34.776892402766187</c:v>
                </c:pt>
                <c:pt idx="315">
                  <c:v>34.507821580873852</c:v>
                </c:pt>
                <c:pt idx="316">
                  <c:v>34.243997922440919</c:v>
                </c:pt>
                <c:pt idx="317">
                  <c:v>33.985523266753951</c:v>
                </c:pt>
                <c:pt idx="318">
                  <c:v>33.732498107536259</c:v>
                </c:pt>
                <c:pt idx="319">
                  <c:v>33.485021526139917</c:v>
                </c:pt>
                <c:pt idx="320">
                  <c:v>33.243191124302136</c:v>
                </c:pt>
                <c:pt idx="321">
                  <c:v>33.007102956503822</c:v>
                </c:pt>
                <c:pt idx="322">
                  <c:v>32.776851461965229</c:v>
                </c:pt>
                <c:pt idx="323">
                  <c:v>32.552529396330151</c:v>
                </c:pt>
                <c:pt idx="324">
                  <c:v>32.334227763080328</c:v>
                </c:pt>
                <c:pt idx="325">
                  <c:v>32.12203574474831</c:v>
                </c:pt>
                <c:pt idx="326">
                  <c:v>31.916040633982171</c:v>
                </c:pt>
                <c:pt idx="327">
                  <c:v>31.716327764543735</c:v>
                </c:pt>
                <c:pt idx="328">
                  <c:v>31.522980442315557</c:v>
                </c:pt>
                <c:pt idx="329">
                  <c:v>31.336079876409514</c:v>
                </c:pt>
                <c:pt idx="330">
                  <c:v>31.155705110480838</c:v>
                </c:pt>
                <c:pt idx="331">
                  <c:v>30.981932954350839</c:v>
                </c:pt>
                <c:pt idx="332">
                  <c:v>30.814837916065457</c:v>
                </c:pt>
                <c:pt idx="333">
                  <c:v>30.654492134514882</c:v>
                </c:pt>
                <c:pt idx="334">
                  <c:v>30.500965312758254</c:v>
                </c:pt>
                <c:pt idx="335">
                  <c:v>30.354324652201306</c:v>
                </c:pt>
                <c:pt idx="336">
                  <c:v>30.214634787785975</c:v>
                </c:pt>
                <c:pt idx="337">
                  <c:v>30.081957724360578</c:v>
                </c:pt>
                <c:pt idx="338">
                  <c:v>29.956352774402013</c:v>
                </c:pt>
                <c:pt idx="339">
                  <c:v>29.837876497273442</c:v>
                </c:pt>
                <c:pt idx="340">
                  <c:v>29.726582640203411</c:v>
                </c:pt>
                <c:pt idx="341">
                  <c:v>29.62252208117291</c:v>
                </c:pt>
                <c:pt idx="342">
                  <c:v>29.525742773907453</c:v>
                </c:pt>
                <c:pt idx="343">
                  <c:v>29.436289695162841</c:v>
                </c:pt>
                <c:pt idx="344">
                  <c:v>29.354204794496795</c:v>
                </c:pt>
                <c:pt idx="345">
                  <c:v>29.279526946718292</c:v>
                </c:pt>
                <c:pt idx="346">
                  <c:v>29.212291907195301</c:v>
                </c:pt>
                <c:pt idx="347">
                  <c:v>29.152532270201583</c:v>
                </c:pt>
                <c:pt idx="348">
                  <c:v>29.100277430470008</c:v>
                </c:pt>
                <c:pt idx="349">
                  <c:v>29.055553548115064</c:v>
                </c:pt>
                <c:pt idx="350">
                  <c:v>29.018383517069957</c:v>
                </c:pt>
                <c:pt idx="351">
                  <c:v>28.98878693717409</c:v>
                </c:pt>
                <c:pt idx="352">
                  <c:v>28.966780090032465</c:v>
                </c:pt>
                <c:pt idx="353">
                  <c:v>28.952375918748643</c:v>
                </c:pt>
                <c:pt idx="354">
                  <c:v>28.945584011619609</c:v>
                </c:pt>
                <c:pt idx="355">
                  <c:v>28.946410589861124</c:v>
                </c:pt>
                <c:pt idx="356">
                  <c:v>28.954858499412673</c:v>
                </c:pt>
                <c:pt idx="357">
                  <c:v>28.970927206852608</c:v>
                </c:pt>
                <c:pt idx="358">
                  <c:v>28.994612799434009</c:v>
                </c:pt>
                <c:pt idx="359">
                  <c:v>29.025907989231641</c:v>
                </c:pt>
                <c:pt idx="360">
                  <c:v>29.06480212137091</c:v>
                </c:pt>
                <c:pt idx="361">
                  <c:v>29.111281186291215</c:v>
                </c:pt>
                <c:pt idx="362">
                  <c:v>29.165327835975376</c:v>
                </c:pt>
                <c:pt idx="363">
                  <c:v>29.226921404061336</c:v>
                </c:pt>
                <c:pt idx="364">
                  <c:v>29.296037929735206</c:v>
                </c:pt>
                <c:pt idx="365">
                  <c:v>29.372650185286012</c:v>
                </c:pt>
              </c:numCache>
            </c:numRef>
          </c:xVal>
          <c:yVal>
            <c:numRef>
              <c:f>Calculations!$AH$2:$AH$367</c:f>
              <c:numCache>
                <c:formatCode>General</c:formatCode>
                <c:ptCount val="366"/>
                <c:pt idx="0">
                  <c:v>176.95308667931477</c:v>
                </c:pt>
                <c:pt idx="1">
                  <c:v>176.82544898456308</c:v>
                </c:pt>
                <c:pt idx="2">
                  <c:v>176.69858366834262</c:v>
                </c:pt>
                <c:pt idx="3">
                  <c:v>176.57257938275166</c:v>
                </c:pt>
                <c:pt idx="4">
                  <c:v>176.44752404820383</c:v>
                </c:pt>
                <c:pt idx="5">
                  <c:v>176.32350479411696</c:v>
                </c:pt>
                <c:pt idx="6">
                  <c:v>176.20060789823197</c:v>
                </c:pt>
                <c:pt idx="7">
                  <c:v>176.07891872461437</c:v>
                </c:pt>
                <c:pt idx="8">
                  <c:v>175.95852166038412</c:v>
                </c:pt>
                <c:pt idx="9">
                  <c:v>175.83950005128236</c:v>
                </c:pt>
                <c:pt idx="10">
                  <c:v>175.72193613616912</c:v>
                </c:pt>
                <c:pt idx="11">
                  <c:v>175.60591098059547</c:v>
                </c:pt>
                <c:pt idx="12">
                  <c:v>175.49150440958203</c:v>
                </c:pt>
                <c:pt idx="13">
                  <c:v>175.37879493980029</c:v>
                </c:pt>
                <c:pt idx="14">
                  <c:v>175.26785971131358</c:v>
                </c:pt>
                <c:pt idx="15">
                  <c:v>175.15877441910084</c:v>
                </c:pt>
                <c:pt idx="16">
                  <c:v>175.05161324456196</c:v>
                </c:pt>
                <c:pt idx="17">
                  <c:v>174.94644878724125</c:v>
                </c:pt>
                <c:pt idx="18">
                  <c:v>174.84335199698603</c:v>
                </c:pt>
                <c:pt idx="19">
                  <c:v>174.742392106799</c:v>
                </c:pt>
                <c:pt idx="20">
                  <c:v>174.64363656660578</c:v>
                </c:pt>
                <c:pt idx="21">
                  <c:v>174.54715097820076</c:v>
                </c:pt>
                <c:pt idx="22">
                  <c:v>174.45299903159707</c:v>
                </c:pt>
                <c:pt idx="23">
                  <c:v>174.36124244303301</c:v>
                </c:pt>
                <c:pt idx="24">
                  <c:v>174.27194089485988</c:v>
                </c:pt>
                <c:pt idx="25">
                  <c:v>174.18515197754084</c:v>
                </c:pt>
                <c:pt idx="26">
                  <c:v>174.10093113397318</c:v>
                </c:pt>
                <c:pt idx="27">
                  <c:v>174.01933160633735</c:v>
                </c:pt>
                <c:pt idx="28">
                  <c:v>173.94040438566526</c:v>
                </c:pt>
                <c:pt idx="29">
                  <c:v>173.86419816429066</c:v>
                </c:pt>
                <c:pt idx="30">
                  <c:v>173.7907592913491</c:v>
                </c:pt>
                <c:pt idx="31">
                  <c:v>173.72013173145399</c:v>
                </c:pt>
                <c:pt idx="32">
                  <c:v>173.65235702666735</c:v>
                </c:pt>
                <c:pt idx="33">
                  <c:v>173.58747426186233</c:v>
                </c:pt>
                <c:pt idx="34">
                  <c:v>173.52552003354413</c:v>
                </c:pt>
                <c:pt idx="35">
                  <c:v>173.466528422186</c:v>
                </c:pt>
                <c:pt idx="36">
                  <c:v>173.41053096809651</c:v>
                </c:pt>
                <c:pt idx="37">
                  <c:v>173.3575566508307</c:v>
                </c:pt>
                <c:pt idx="38">
                  <c:v>173.30763187211414</c:v>
                </c:pt>
                <c:pt idx="39">
                  <c:v>173.26078044223902</c:v>
                </c:pt>
                <c:pt idx="40">
                  <c:v>173.21702356986202</c:v>
                </c:pt>
                <c:pt idx="41">
                  <c:v>173.17637985510942</c:v>
                </c:pt>
                <c:pt idx="42">
                  <c:v>173.13886528587682</c:v>
                </c:pt>
                <c:pt idx="43">
                  <c:v>173.10449323718285</c:v>
                </c:pt>
                <c:pt idx="44">
                  <c:v>173.07327447341993</c:v>
                </c:pt>
                <c:pt idx="45">
                  <c:v>173.04521715332373</c:v>
                </c:pt>
                <c:pt idx="46">
                  <c:v>173.02032683746074</c:v>
                </c:pt>
                <c:pt idx="47">
                  <c:v>172.99860649802054</c:v>
                </c:pt>
                <c:pt idx="48">
                  <c:v>172.98005653067798</c:v>
                </c:pt>
                <c:pt idx="49">
                  <c:v>172.9646747682807</c:v>
                </c:pt>
                <c:pt idx="50">
                  <c:v>172.95245649609603</c:v>
                </c:pt>
                <c:pt idx="51">
                  <c:v>172.94339446834761</c:v>
                </c:pt>
                <c:pt idx="52">
                  <c:v>172.93747892575607</c:v>
                </c:pt>
                <c:pt idx="53">
                  <c:v>172.9346976137889</c:v>
                </c:pt>
                <c:pt idx="54">
                  <c:v>172.93503580132619</c:v>
                </c:pt>
                <c:pt idx="55">
                  <c:v>172.93847629942672</c:v>
                </c:pt>
                <c:pt idx="56">
                  <c:v>172.94499947989368</c:v>
                </c:pt>
                <c:pt idx="57">
                  <c:v>172.95458329332598</c:v>
                </c:pt>
                <c:pt idx="58">
                  <c:v>172.9672032863449</c:v>
                </c:pt>
                <c:pt idx="59">
                  <c:v>172.98283261768518</c:v>
                </c:pt>
                <c:pt idx="60">
                  <c:v>173.00144207284768</c:v>
                </c:pt>
                <c:pt idx="61">
                  <c:v>173.02300007701285</c:v>
                </c:pt>
                <c:pt idx="62">
                  <c:v>173.04747270591702</c:v>
                </c:pt>
                <c:pt idx="63">
                  <c:v>173.07482369441686</c:v>
                </c:pt>
                <c:pt idx="64">
                  <c:v>173.10501444245597</c:v>
                </c:pt>
                <c:pt idx="65">
                  <c:v>173.13800401818162</c:v>
                </c:pt>
                <c:pt idx="66">
                  <c:v>173.17374915795847</c:v>
                </c:pt>
                <c:pt idx="67">
                  <c:v>173.21220426304376</c:v>
                </c:pt>
                <c:pt idx="68">
                  <c:v>173.25332139271711</c:v>
                </c:pt>
                <c:pt idx="69">
                  <c:v>173.29705025365558</c:v>
                </c:pt>
                <c:pt idx="70">
                  <c:v>173.34333818538357</c:v>
                </c:pt>
                <c:pt idx="71">
                  <c:v>173.39213014163897</c:v>
                </c:pt>
                <c:pt idx="72">
                  <c:v>173.44336866752099</c:v>
                </c:pt>
                <c:pt idx="73">
                  <c:v>173.4969938723068</c:v>
                </c:pt>
                <c:pt idx="74">
                  <c:v>173.5529433978561</c:v>
                </c:pt>
                <c:pt idx="75">
                  <c:v>173.61115238254615</c:v>
                </c:pt>
                <c:pt idx="76">
                  <c:v>173.6715534206968</c:v>
                </c:pt>
                <c:pt idx="77">
                  <c:v>173.73407651750017</c:v>
                </c:pt>
                <c:pt idx="78">
                  <c:v>173.7986490394677</c:v>
                </c:pt>
                <c:pt idx="79">
                  <c:v>173.86519566046536</c:v>
                </c:pt>
                <c:pt idx="80">
                  <c:v>173.93363830343117</c:v>
                </c:pt>
                <c:pt idx="81">
                  <c:v>174.00389607789168</c:v>
                </c:pt>
                <c:pt idx="82">
                  <c:v>174.07588521345804</c:v>
                </c:pt>
                <c:pt idx="83">
                  <c:v>174.14951898948516</c:v>
                </c:pt>
                <c:pt idx="84">
                  <c:v>174.22470766114566</c:v>
                </c:pt>
                <c:pt idx="85">
                  <c:v>174.30135838219076</c:v>
                </c:pt>
                <c:pt idx="86">
                  <c:v>174.37937512472047</c:v>
                </c:pt>
                <c:pt idx="87">
                  <c:v>174.45865859632829</c:v>
                </c:pt>
                <c:pt idx="88">
                  <c:v>174.53910615502468</c:v>
                </c:pt>
                <c:pt idx="89">
                  <c:v>174.62061172240567</c:v>
                </c:pt>
                <c:pt idx="90">
                  <c:v>174.70306569555464</c:v>
                </c:pt>
                <c:pt idx="91">
                  <c:v>174.78635485825396</c:v>
                </c:pt>
                <c:pt idx="92">
                  <c:v>174.87036229210116</c:v>
                </c:pt>
                <c:pt idx="93">
                  <c:v>174.95496728820285</c:v>
                </c:pt>
                <c:pt idx="94">
                  <c:v>175.04004526017309</c:v>
                </c:pt>
                <c:pt idx="95">
                  <c:v>175.12546765922207</c:v>
                </c:pt>
                <c:pt idx="96">
                  <c:v>175.21110189218678</c:v>
                </c:pt>
                <c:pt idx="97">
                  <c:v>175.29681124343313</c:v>
                </c:pt>
                <c:pt idx="98">
                  <c:v>175.38245480160629</c:v>
                </c:pt>
                <c:pt idx="99">
                  <c:v>175.46788739232716</c:v>
                </c:pt>
                <c:pt idx="100">
                  <c:v>175.55295951794801</c:v>
                </c:pt>
                <c:pt idx="101">
                  <c:v>175.63751730563411</c:v>
                </c:pt>
                <c:pt idx="102">
                  <c:v>175.72140246506183</c:v>
                </c:pt>
                <c:pt idx="103">
                  <c:v>175.80445225717392</c:v>
                </c:pt>
                <c:pt idx="104">
                  <c:v>175.88649947546389</c:v>
                </c:pt>
                <c:pt idx="105">
                  <c:v>175.96737244143037</c:v>
                </c:pt>
                <c:pt idx="106">
                  <c:v>176.04689501588439</c:v>
                </c:pt>
                <c:pt idx="107">
                  <c:v>176.12488662793021</c:v>
                </c:pt>
                <c:pt idx="108">
                  <c:v>176.20116232355235</c:v>
                </c:pt>
                <c:pt idx="109">
                  <c:v>176.27553283582677</c:v>
                </c:pt>
                <c:pt idx="110">
                  <c:v>176.3478046789154</c:v>
                </c:pt>
                <c:pt idx="111">
                  <c:v>176.41778026808129</c:v>
                </c:pt>
                <c:pt idx="112">
                  <c:v>176.4852580681204</c:v>
                </c:pt>
                <c:pt idx="113">
                  <c:v>176.55003277264825</c:v>
                </c:pt>
                <c:pt idx="114">
                  <c:v>176.61189551685061</c:v>
                </c:pt>
                <c:pt idx="115">
                  <c:v>176.67063412633161</c:v>
                </c:pt>
                <c:pt idx="116">
                  <c:v>176.72603340486216</c:v>
                </c:pt>
                <c:pt idx="117">
                  <c:v>176.77787546380921</c:v>
                </c:pt>
                <c:pt idx="118">
                  <c:v>176.8259400961291</c:v>
                </c:pt>
                <c:pt idx="119">
                  <c:v>176.87000519787273</c:v>
                </c:pt>
                <c:pt idx="120">
                  <c:v>176.90984724007205</c:v>
                </c:pt>
                <c:pt idx="121">
                  <c:v>176.94524179391203</c:v>
                </c:pt>
                <c:pt idx="122">
                  <c:v>176.97596411202039</c:v>
                </c:pt>
                <c:pt idx="123">
                  <c:v>177.00178976858126</c:v>
                </c:pt>
                <c:pt idx="124">
                  <c:v>177.02249536082331</c:v>
                </c:pt>
                <c:pt idx="125">
                  <c:v>177.03785927422473</c:v>
                </c:pt>
                <c:pt idx="126">
                  <c:v>177.04766251350156</c:v>
                </c:pt>
                <c:pt idx="127">
                  <c:v>177.05168960102037</c:v>
                </c:pt>
                <c:pt idx="128">
                  <c:v>177.04972954395885</c:v>
                </c:pt>
                <c:pt idx="129">
                  <c:v>177.04157687086661</c:v>
                </c:pt>
                <c:pt idx="130">
                  <c:v>177.02703273774659</c:v>
                </c:pt>
                <c:pt idx="131">
                  <c:v>177.00590610298855</c:v>
                </c:pt>
                <c:pt idx="132">
                  <c:v>176.97801496966838</c:v>
                </c:pt>
                <c:pt idx="133">
                  <c:v>176.94318769273252</c:v>
                </c:pt>
                <c:pt idx="134">
                  <c:v>176.90126434754927</c:v>
                </c:pt>
                <c:pt idx="135">
                  <c:v>176.85209815501662</c:v>
                </c:pt>
                <c:pt idx="136">
                  <c:v>176.7955569572506</c:v>
                </c:pt>
                <c:pt idx="137">
                  <c:v>176.7315247362809</c:v>
                </c:pt>
                <c:pt idx="138">
                  <c:v>176.65990316677028</c:v>
                </c:pt>
                <c:pt idx="139">
                  <c:v>176.58061319215165</c:v>
                </c:pt>
                <c:pt idx="140">
                  <c:v>176.49359661183053</c:v>
                </c:pt>
                <c:pt idx="141">
                  <c:v>176.39881766553185</c:v>
                </c:pt>
                <c:pt idx="142">
                  <c:v>176.29626459901567</c:v>
                </c:pt>
                <c:pt idx="143">
                  <c:v>176.18595119381564</c:v>
                </c:pt>
                <c:pt idx="144">
                  <c:v>176.06791824201218</c:v>
                </c:pt>
                <c:pt idx="145">
                  <c:v>175.94223494565244</c:v>
                </c:pt>
                <c:pt idx="146">
                  <c:v>175.80900021903699</c:v>
                </c:pt>
                <c:pt idx="147">
                  <c:v>175.66834387123492</c:v>
                </c:pt>
                <c:pt idx="148">
                  <c:v>175.52042764529688</c:v>
                </c:pt>
                <c:pt idx="149">
                  <c:v>175.36544609040607</c:v>
                </c:pt>
                <c:pt idx="150">
                  <c:v>175.20362724322842</c:v>
                </c:pt>
                <c:pt idx="151">
                  <c:v>175.03523309529442</c:v>
                </c:pt>
                <c:pt idx="152">
                  <c:v>174.86055982432538</c:v>
                </c:pt>
                <c:pt idx="153">
                  <c:v>174.67993776907508</c:v>
                </c:pt>
                <c:pt idx="154">
                  <c:v>174.49373112955391</c:v>
                </c:pt>
                <c:pt idx="155">
                  <c:v>174.30233737720107</c:v>
                </c:pt>
                <c:pt idx="156">
                  <c:v>174.10618636320442</c:v>
                </c:pt>
                <c:pt idx="157">
                  <c:v>173.90573911695913</c:v>
                </c:pt>
                <c:pt idx="158">
                  <c:v>173.70148633119823</c:v>
                </c:pt>
                <c:pt idx="159">
                  <c:v>173.49394653525053</c:v>
                </c:pt>
                <c:pt idx="160">
                  <c:v>173.28366396298759</c:v>
                </c:pt>
                <c:pt idx="161">
                  <c:v>173.07120612746951</c:v>
                </c:pt>
                <c:pt idx="162">
                  <c:v>172.85716111973579</c:v>
                </c:pt>
                <c:pt idx="163">
                  <c:v>172.64213465454213</c:v>
                </c:pt>
                <c:pt idx="164">
                  <c:v>172.42674689090313</c:v>
                </c:pt>
                <c:pt idx="165">
                  <c:v>172.21162906008431</c:v>
                </c:pt>
                <c:pt idx="166">
                  <c:v>171.99741993777195</c:v>
                </c:pt>
                <c:pt idx="167">
                  <c:v>171.78476220063533</c:v>
                </c:pt>
                <c:pt idx="168">
                  <c:v>171.57429871014608</c:v>
                </c:pt>
                <c:pt idx="169">
                  <c:v>171.36666876826996</c:v>
                </c:pt>
                <c:pt idx="170">
                  <c:v>171.16250439046951</c:v>
                </c:pt>
                <c:pt idx="171">
                  <c:v>170.96242664122474</c:v>
                </c:pt>
                <c:pt idx="172">
                  <c:v>170.76704207611442</c:v>
                </c:pt>
                <c:pt idx="173">
                  <c:v>170.576939332385</c:v>
                </c:pt>
                <c:pt idx="174">
                  <c:v>170.39268590691245</c:v>
                </c:pt>
                <c:pt idx="175">
                  <c:v>170.21482515666833</c:v>
                </c:pt>
                <c:pt idx="176">
                  <c:v>170.0438735524026</c:v>
                </c:pt>
                <c:pt idx="177">
                  <c:v>169.88031821128186</c:v>
                </c:pt>
                <c:pt idx="178">
                  <c:v>169.72461472888165</c:v>
                </c:pt>
                <c:pt idx="179">
                  <c:v>169.57718532548938</c:v>
                </c:pt>
                <c:pt idx="180">
                  <c:v>169.43841731605505</c:v>
                </c:pt>
                <c:pt idx="181">
                  <c:v>169.30866190769507</c:v>
                </c:pt>
                <c:pt idx="182">
                  <c:v>169.18823332343356</c:v>
                </c:pt>
                <c:pt idx="183">
                  <c:v>169.07740824599648</c:v>
                </c:pt>
                <c:pt idx="184">
                  <c:v>168.97642557105837</c:v>
                </c:pt>
                <c:pt idx="185">
                  <c:v>168.88548645545643</c:v>
                </c:pt>
                <c:pt idx="186">
                  <c:v>168.80475464256779</c:v>
                </c:pt>
                <c:pt idx="187">
                  <c:v>168.73435704434087</c:v>
                </c:pt>
                <c:pt idx="188">
                  <c:v>168.67438455739864</c:v>
                </c:pt>
                <c:pt idx="189">
                  <c:v>168.62489308910472</c:v>
                </c:pt>
                <c:pt idx="190">
                  <c:v>168.58590476862946</c:v>
                </c:pt>
                <c:pt idx="191">
                  <c:v>168.55740931761284</c:v>
                </c:pt>
                <c:pt idx="192">
                  <c:v>168.53936555519897</c:v>
                </c:pt>
                <c:pt idx="193">
                  <c:v>168.5317030126879</c:v>
                </c:pt>
                <c:pt idx="194">
                  <c:v>168.53432363400987</c:v>
                </c:pt>
                <c:pt idx="195">
                  <c:v>168.54710353938344</c:v>
                </c:pt>
                <c:pt idx="196">
                  <c:v>168.56989483099426</c:v>
                </c:pt>
                <c:pt idx="197">
                  <c:v>168.6025274211255</c:v>
                </c:pt>
                <c:pt idx="198">
                  <c:v>168.64481086492765</c:v>
                </c:pt>
                <c:pt idx="199">
                  <c:v>168.69653618179507</c:v>
                </c:pt>
                <c:pt idx="200">
                  <c:v>168.75747765120968</c:v>
                </c:pt>
                <c:pt idx="201">
                  <c:v>168.82739457065213</c:v>
                </c:pt>
                <c:pt idx="202">
                  <c:v>168.90603296502377</c:v>
                </c:pt>
                <c:pt idx="203">
                  <c:v>168.99312723868513</c:v>
                </c:pt>
                <c:pt idx="204">
                  <c:v>169.08840176283479</c:v>
                </c:pt>
                <c:pt idx="205">
                  <c:v>169.19157239243771</c:v>
                </c:pt>
                <c:pt idx="206">
                  <c:v>169.30234790831889</c:v>
                </c:pt>
                <c:pt idx="207">
                  <c:v>169.42043138124291</c:v>
                </c:pt>
                <c:pt idx="208">
                  <c:v>169.54552145597927</c:v>
                </c:pt>
                <c:pt idx="209">
                  <c:v>169.67731355430351</c:v>
                </c:pt>
                <c:pt idx="210">
                  <c:v>169.81550099678464</c:v>
                </c:pt>
                <c:pt idx="211">
                  <c:v>169.95977604396489</c:v>
                </c:pt>
                <c:pt idx="212">
                  <c:v>170.1098308581611</c:v>
                </c:pt>
                <c:pt idx="213">
                  <c:v>170.26535838767563</c:v>
                </c:pt>
                <c:pt idx="214">
                  <c:v>170.42605317564312</c:v>
                </c:pt>
                <c:pt idx="215">
                  <c:v>170.59161209608578</c:v>
                </c:pt>
                <c:pt idx="216">
                  <c:v>170.76173502003564</c:v>
                </c:pt>
                <c:pt idx="217">
                  <c:v>170.9361254147891</c:v>
                </c:pt>
                <c:pt idx="218">
                  <c:v>171.11449087949836</c:v>
                </c:pt>
                <c:pt idx="219">
                  <c:v>171.29654362040299</c:v>
                </c:pt>
                <c:pt idx="220">
                  <c:v>171.48200086904444</c:v>
                </c:pt>
                <c:pt idx="221">
                  <c:v>171.67058524682511</c:v>
                </c:pt>
                <c:pt idx="222">
                  <c:v>171.8620250792228</c:v>
                </c:pt>
                <c:pt idx="223">
                  <c:v>172.05605466295685</c:v>
                </c:pt>
                <c:pt idx="224">
                  <c:v>172.25241448927977</c:v>
                </c:pt>
                <c:pt idx="225">
                  <c:v>172.45085142652761</c:v>
                </c:pt>
                <c:pt idx="226">
                  <c:v>172.65111886490672</c:v>
                </c:pt>
                <c:pt idx="227">
                  <c:v>172.85297682642306</c:v>
                </c:pt>
                <c:pt idx="228">
                  <c:v>173.05619204269954</c:v>
                </c:pt>
                <c:pt idx="229">
                  <c:v>173.26053800333978</c:v>
                </c:pt>
                <c:pt idx="230">
                  <c:v>173.46579497733319</c:v>
                </c:pt>
                <c:pt idx="231">
                  <c:v>173.67175000988266</c:v>
                </c:pt>
                <c:pt idx="232">
                  <c:v>173.87819689692503</c:v>
                </c:pt>
                <c:pt idx="233">
                  <c:v>174.08493613945132</c:v>
                </c:pt>
                <c:pt idx="234">
                  <c:v>174.29177487965205</c:v>
                </c:pt>
                <c:pt idx="235">
                  <c:v>174.498526820763</c:v>
                </c:pt>
                <c:pt idx="236">
                  <c:v>174.70501213240652</c:v>
                </c:pt>
                <c:pt idx="237">
                  <c:v>174.91105734307348</c:v>
                </c:pt>
                <c:pt idx="238">
                  <c:v>175.11649522132723</c:v>
                </c:pt>
                <c:pt idx="239">
                  <c:v>175.32116464719013</c:v>
                </c:pt>
                <c:pt idx="240">
                  <c:v>175.52491047508852</c:v>
                </c:pt>
                <c:pt idx="241">
                  <c:v>175.72758338963706</c:v>
                </c:pt>
                <c:pt idx="242">
                  <c:v>175.92903975546176</c:v>
                </c:pt>
                <c:pt idx="243">
                  <c:v>176.12914146220339</c:v>
                </c:pt>
                <c:pt idx="244">
                  <c:v>176.32775576571771</c:v>
                </c:pt>
                <c:pt idx="245">
                  <c:v>176.52475512648664</c:v>
                </c:pt>
                <c:pt idx="246">
                  <c:v>176.72001704613206</c:v>
                </c:pt>
                <c:pt idx="247">
                  <c:v>176.91342390288435</c:v>
                </c:pt>
                <c:pt idx="248">
                  <c:v>177.10486278681901</c:v>
                </c:pt>
                <c:pt idx="249">
                  <c:v>177.29422533556351</c:v>
                </c:pt>
                <c:pt idx="250">
                  <c:v>177.48140757119529</c:v>
                </c:pt>
                <c:pt idx="251">
                  <c:v>177.66630973894337</c:v>
                </c:pt>
                <c:pt idx="252">
                  <c:v>177.84883614828277</c:v>
                </c:pt>
                <c:pt idx="253">
                  <c:v>178.02889501697837</c:v>
                </c:pt>
                <c:pt idx="254">
                  <c:v>178.2063983185509</c:v>
                </c:pt>
                <c:pt idx="255">
                  <c:v>178.38126163365507</c:v>
                </c:pt>
                <c:pt idx="256">
                  <c:v>178.5534040057488</c:v>
                </c:pt>
                <c:pt idx="257">
                  <c:v>178.72274780147222</c:v>
                </c:pt>
                <c:pt idx="258">
                  <c:v>178.88921857603714</c:v>
                </c:pt>
                <c:pt idx="259">
                  <c:v>179.0527449439727</c:v>
                </c:pt>
                <c:pt idx="260">
                  <c:v>179.21325845545005</c:v>
                </c:pt>
                <c:pt idx="261">
                  <c:v>179.37069347846978</c:v>
                </c:pt>
                <c:pt idx="262">
                  <c:v>179.5249870870939</c:v>
                </c:pt>
                <c:pt idx="263">
                  <c:v>179.67607895585627</c:v>
                </c:pt>
                <c:pt idx="264">
                  <c:v>179.82391126058735</c:v>
                </c:pt>
                <c:pt idx="265">
                  <c:v>179.96842858561149</c:v>
                </c:pt>
                <c:pt idx="266">
                  <c:v>180.10957783759665</c:v>
                </c:pt>
                <c:pt idx="267">
                  <c:v>180.24730816580353</c:v>
                </c:pt>
                <c:pt idx="268">
                  <c:v>180.38157088921577</c:v>
                </c:pt>
                <c:pt idx="269">
                  <c:v>180.51231942993846</c:v>
                </c:pt>
                <c:pt idx="270">
                  <c:v>180.63950925342087</c:v>
                </c:pt>
                <c:pt idx="271">
                  <c:v>180.7630978149852</c:v>
                </c:pt>
                <c:pt idx="272">
                  <c:v>180.88304451289312</c:v>
                </c:pt>
                <c:pt idx="273">
                  <c:v>180.9993106475921</c:v>
                </c:pt>
                <c:pt idx="274">
                  <c:v>181.11185938717733</c:v>
                </c:pt>
                <c:pt idx="275">
                  <c:v>181.22065573879397</c:v>
                </c:pt>
                <c:pt idx="276">
                  <c:v>181.3256665258782</c:v>
                </c:pt>
                <c:pt idx="277">
                  <c:v>181.42686037094458</c:v>
                </c:pt>
                <c:pt idx="278">
                  <c:v>181.52420768378562</c:v>
                </c:pt>
                <c:pt idx="279">
                  <c:v>181.61768065474635</c:v>
                </c:pt>
                <c:pt idx="280">
                  <c:v>181.70725325288288</c:v>
                </c:pt>
                <c:pt idx="281">
                  <c:v>181.79290122868261</c:v>
                </c:pt>
                <c:pt idx="282">
                  <c:v>181.87460212106024</c:v>
                </c:pt>
                <c:pt idx="283">
                  <c:v>181.95233526832251</c:v>
                </c:pt>
                <c:pt idx="284">
                  <c:v>182.02608182277601</c:v>
                </c:pt>
                <c:pt idx="285">
                  <c:v>182.09582476863932</c:v>
                </c:pt>
                <c:pt idx="286">
                  <c:v>182.16154894292401</c:v>
                </c:pt>
                <c:pt idx="287">
                  <c:v>182.22324105892852</c:v>
                </c:pt>
                <c:pt idx="288">
                  <c:v>182.2808897319766</c:v>
                </c:pt>
                <c:pt idx="289">
                  <c:v>182.3344855070653</c:v>
                </c:pt>
                <c:pt idx="290">
                  <c:v>182.38402088801479</c:v>
                </c:pt>
                <c:pt idx="291">
                  <c:v>182.4294903677953</c:v>
                </c:pt>
                <c:pt idx="292">
                  <c:v>182.47089045963702</c:v>
                </c:pt>
                <c:pt idx="293">
                  <c:v>182.50821972856448</c:v>
                </c:pt>
                <c:pt idx="294">
                  <c:v>182.54147882299949</c:v>
                </c:pt>
                <c:pt idx="295">
                  <c:v>182.5706705060733</c:v>
                </c:pt>
                <c:pt idx="296">
                  <c:v>182.59579968630678</c:v>
                </c:pt>
                <c:pt idx="297">
                  <c:v>182.61687344730603</c:v>
                </c:pt>
                <c:pt idx="298">
                  <c:v>182.63390107616749</c:v>
                </c:pt>
                <c:pt idx="299">
                  <c:v>182.64689409025678</c:v>
                </c:pt>
                <c:pt idx="300">
                  <c:v>182.65586626207696</c:v>
                </c:pt>
                <c:pt idx="301">
                  <c:v>182.66083364192986</c:v>
                </c:pt>
                <c:pt idx="302">
                  <c:v>182.66181457811078</c:v>
                </c:pt>
                <c:pt idx="303">
                  <c:v>182.6588297343838</c:v>
                </c:pt>
                <c:pt idx="304">
                  <c:v>182.65190210450825</c:v>
                </c:pt>
                <c:pt idx="305">
                  <c:v>182.64105702360769</c:v>
                </c:pt>
                <c:pt idx="306">
                  <c:v>182.62632217619804</c:v>
                </c:pt>
                <c:pt idx="307">
                  <c:v>182.60772760071407</c:v>
                </c:pt>
                <c:pt idx="308">
                  <c:v>182.58530569038311</c:v>
                </c:pt>
                <c:pt idx="309">
                  <c:v>182.55909119034933</c:v>
                </c:pt>
                <c:pt idx="310">
                  <c:v>182.52912119094194</c:v>
                </c:pt>
                <c:pt idx="311">
                  <c:v>182.49543511703914</c:v>
                </c:pt>
                <c:pt idx="312">
                  <c:v>182.45807471347797</c:v>
                </c:pt>
                <c:pt idx="313">
                  <c:v>182.41708402650229</c:v>
                </c:pt>
                <c:pt idx="314">
                  <c:v>182.37250938126974</c:v>
                </c:pt>
                <c:pt idx="315">
                  <c:v>182.32439935543476</c:v>
                </c:pt>
                <c:pt idx="316">
                  <c:v>182.27280474890708</c:v>
                </c:pt>
                <c:pt idx="317">
                  <c:v>182.2177785498302</c:v>
                </c:pt>
                <c:pt idx="318">
                  <c:v>182.15937589692891</c:v>
                </c:pt>
                <c:pt idx="319">
                  <c:v>182.09765403833796</c:v>
                </c:pt>
                <c:pt idx="320">
                  <c:v>182.03267228706741</c:v>
                </c:pt>
                <c:pt idx="321">
                  <c:v>181.96449197328926</c:v>
                </c:pt>
                <c:pt idx="322">
                  <c:v>181.89317639362301</c:v>
                </c:pt>
                <c:pt idx="323">
                  <c:v>181.81879075763518</c:v>
                </c:pt>
                <c:pt idx="324">
                  <c:v>181.74140213177839</c:v>
                </c:pt>
                <c:pt idx="325">
                  <c:v>181.66107938099302</c:v>
                </c:pt>
                <c:pt idx="326">
                  <c:v>181.57789310821587</c:v>
                </c:pt>
                <c:pt idx="327">
                  <c:v>181.49191559206503</c:v>
                </c:pt>
                <c:pt idx="328">
                  <c:v>181.40322072293156</c:v>
                </c:pt>
                <c:pt idx="329">
                  <c:v>181.3118839377594</c:v>
                </c:pt>
                <c:pt idx="330">
                  <c:v>181.21798215375668</c:v>
                </c:pt>
                <c:pt idx="331">
                  <c:v>181.12159370129993</c:v>
                </c:pt>
                <c:pt idx="332">
                  <c:v>181.02279825630174</c:v>
                </c:pt>
                <c:pt idx="333">
                  <c:v>180.92167677225939</c:v>
                </c:pt>
                <c:pt idx="334">
                  <c:v>180.81831141223711</c:v>
                </c:pt>
                <c:pt idx="335">
                  <c:v>180.7127854810112</c:v>
                </c:pt>
                <c:pt idx="336">
                  <c:v>180.60518335757754</c:v>
                </c:pt>
                <c:pt idx="337">
                  <c:v>180.49559042821167</c:v>
                </c:pt>
                <c:pt idx="338">
                  <c:v>180.38409302028606</c:v>
                </c:pt>
                <c:pt idx="339">
                  <c:v>180.27077833697149</c:v>
                </c:pt>
                <c:pt idx="340">
                  <c:v>180.15573439298805</c:v>
                </c:pt>
                <c:pt idx="341">
                  <c:v>180.03904995146652</c:v>
                </c:pt>
                <c:pt idx="342">
                  <c:v>179.92081446206328</c:v>
                </c:pt>
                <c:pt idx="343">
                  <c:v>179.80111800049929</c:v>
                </c:pt>
                <c:pt idx="344">
                  <c:v>179.68005120921418</c:v>
                </c:pt>
                <c:pt idx="345">
                  <c:v>179.55770523960075</c:v>
                </c:pt>
                <c:pt idx="346">
                  <c:v>179.43417169554448</c:v>
                </c:pt>
                <c:pt idx="347">
                  <c:v>179.30954257828182</c:v>
                </c:pt>
                <c:pt idx="348">
                  <c:v>179.18391023257686</c:v>
                </c:pt>
                <c:pt idx="349">
                  <c:v>179.05736729412138</c:v>
                </c:pt>
                <c:pt idx="350">
                  <c:v>178.9300066380581</c:v>
                </c:pt>
                <c:pt idx="351">
                  <c:v>178.80192132853517</c:v>
                </c:pt>
                <c:pt idx="352">
                  <c:v>178.67320456916195</c:v>
                </c:pt>
                <c:pt idx="353">
                  <c:v>178.54394965421534</c:v>
                </c:pt>
                <c:pt idx="354">
                  <c:v>178.4142499204537</c:v>
                </c:pt>
                <c:pt idx="355">
                  <c:v>178.28419869938807</c:v>
                </c:pt>
                <c:pt idx="356">
                  <c:v>178.15388926981689</c:v>
                </c:pt>
                <c:pt idx="357">
                  <c:v>178.02341481046903</c:v>
                </c:pt>
                <c:pt idx="358">
                  <c:v>177.89286835258304</c:v>
                </c:pt>
                <c:pt idx="359">
                  <c:v>177.76234273223315</c:v>
                </c:pt>
                <c:pt idx="360">
                  <c:v>177.63193054224962</c:v>
                </c:pt>
                <c:pt idx="361">
                  <c:v>177.50172408355706</c:v>
                </c:pt>
                <c:pt idx="362">
                  <c:v>177.37181531578858</c:v>
                </c:pt>
                <c:pt idx="363">
                  <c:v>177.24229580702047</c:v>
                </c:pt>
                <c:pt idx="364">
                  <c:v>177.1132566825105</c:v>
                </c:pt>
                <c:pt idx="365">
                  <c:v>176.98478857231783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72-0D44-AD89-9AA537144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893008"/>
        <c:axId val="1"/>
      </c:scatterChart>
      <c:valAx>
        <c:axId val="188289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289300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Sunlight Dur. (min)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Calculations!$AA$1</c:f>
              <c:strCache>
                <c:ptCount val="1"/>
                <c:pt idx="0">
                  <c:v>Sunlight Duration (minutes)</c:v>
                </c:pt>
              </c:strCache>
            </c:strRef>
          </c:tx>
          <c:marker>
            <c:symbol val="none"/>
          </c:marker>
          <c:val>
            <c:numRef>
              <c:f>Calculations!$AA$2:$AA$367</c:f>
              <c:numCache>
                <c:formatCode>General</c:formatCode>
                <c:ptCount val="366"/>
                <c:pt idx="0">
                  <c:v>577.38992758828556</c:v>
                </c:pt>
                <c:pt idx="1">
                  <c:v>578.07710933285443</c:v>
                </c:pt>
                <c:pt idx="2">
                  <c:v>578.82015184342958</c:v>
                </c:pt>
                <c:pt idx="3">
                  <c:v>579.61837364453481</c:v>
                </c:pt>
                <c:pt idx="4">
                  <c:v>580.47104888947661</c:v>
                </c:pt>
                <c:pt idx="5">
                  <c:v>581.37740970065693</c:v>
                </c:pt>
                <c:pt idx="6">
                  <c:v>582.33664860245028</c:v>
                </c:pt>
                <c:pt idx="7">
                  <c:v>583.34792103166819</c:v>
                </c:pt>
                <c:pt idx="8">
                  <c:v>584.41034791056234</c:v>
                </c:pt>
                <c:pt idx="9">
                  <c:v>585.52301826741541</c:v>
                </c:pt>
                <c:pt idx="10">
                  <c:v>586.68499188996987</c:v>
                </c:pt>
                <c:pt idx="11">
                  <c:v>587.89530199724004</c:v>
                </c:pt>
                <c:pt idx="12">
                  <c:v>589.15295791582821</c:v>
                </c:pt>
                <c:pt idx="13">
                  <c:v>590.45694774721528</c:v>
                </c:pt>
                <c:pt idx="14">
                  <c:v>591.80624101334604</c:v>
                </c:pt>
                <c:pt idx="15">
                  <c:v>593.1997912684235</c:v>
                </c:pt>
                <c:pt idx="16">
                  <c:v>594.63653866561299</c:v>
                </c:pt>
                <c:pt idx="17">
                  <c:v>596.11541246827494</c:v>
                </c:pt>
                <c:pt idx="18">
                  <c:v>597.63533349614318</c:v>
                </c:pt>
                <c:pt idx="19">
                  <c:v>599.19521649781461</c:v>
                </c:pt>
                <c:pt idx="20">
                  <c:v>600.79397244183417</c:v>
                </c:pt>
                <c:pt idx="21">
                  <c:v>602.43051071956734</c:v>
                </c:pt>
                <c:pt idx="22">
                  <c:v>604.10374125403234</c:v>
                </c:pt>
                <c:pt idx="23">
                  <c:v>605.81257650968746</c:v>
                </c:pt>
                <c:pt idx="24">
                  <c:v>607.55593339917823</c:v>
                </c:pt>
                <c:pt idx="25">
                  <c:v>609.33273508376146</c:v>
                </c:pt>
                <c:pt idx="26">
                  <c:v>611.14191266508635</c:v>
                </c:pt>
                <c:pt idx="27">
                  <c:v>612.98240676673879</c:v>
                </c:pt>
                <c:pt idx="28">
                  <c:v>614.85316900462408</c:v>
                </c:pt>
                <c:pt idx="29">
                  <c:v>616.75316334609568</c:v>
                </c:pt>
                <c:pt idx="30">
                  <c:v>618.68136735823771</c:v>
                </c:pt>
                <c:pt idx="31">
                  <c:v>620.63677334638942</c:v>
                </c:pt>
                <c:pt idx="32">
                  <c:v>622.61838938441031</c:v>
                </c:pt>
                <c:pt idx="33">
                  <c:v>624.62524023884293</c:v>
                </c:pt>
                <c:pt idx="34">
                  <c:v>626.65636818934468</c:v>
                </c:pt>
                <c:pt idx="35">
                  <c:v>628.71083374825037</c:v>
                </c:pt>
                <c:pt idx="36">
                  <c:v>630.78771628244988</c:v>
                </c:pt>
                <c:pt idx="37">
                  <c:v>632.88611454091688</c:v>
                </c:pt>
                <c:pt idx="38">
                  <c:v>635.00514709157846</c:v>
                </c:pt>
                <c:pt idx="39">
                  <c:v>637.14395267133364</c:v>
                </c:pt>
                <c:pt idx="40">
                  <c:v>639.30169045308253</c:v>
                </c:pt>
                <c:pt idx="41">
                  <c:v>641.47754023389757</c:v>
                </c:pt>
                <c:pt idx="42">
                  <c:v>643.6707025483289</c:v>
                </c:pt>
                <c:pt idx="43">
                  <c:v>645.88039871099829</c:v>
                </c:pt>
                <c:pt idx="44">
                  <c:v>648.10587079257857</c:v>
                </c:pt>
                <c:pt idx="45">
                  <c:v>650.34638153323101</c:v>
                </c:pt>
                <c:pt idx="46">
                  <c:v>652.60121419750385</c:v>
                </c:pt>
                <c:pt idx="47">
                  <c:v>654.86967237461499</c:v>
                </c:pt>
                <c:pt idx="48">
                  <c:v>657.15107972802218</c:v>
                </c:pt>
                <c:pt idx="49">
                  <c:v>659.44477969791944</c:v>
                </c:pt>
                <c:pt idx="50">
                  <c:v>661.75013516033312</c:v>
                </c:pt>
                <c:pt idx="51">
                  <c:v>664.06652804632427</c:v>
                </c:pt>
                <c:pt idx="52">
                  <c:v>666.39335892448219</c:v>
                </c:pt>
                <c:pt idx="53">
                  <c:v>668.73004655008128</c:v>
                </c:pt>
                <c:pt idx="54">
                  <c:v>671.0760273837916</c:v>
                </c:pt>
                <c:pt idx="55">
                  <c:v>673.43075508288291</c:v>
                </c:pt>
                <c:pt idx="56">
                  <c:v>675.79369996759738</c:v>
                </c:pt>
                <c:pt idx="57">
                  <c:v>678.16434846529489</c:v>
                </c:pt>
                <c:pt idx="58">
                  <c:v>680.54220253473409</c:v>
                </c:pt>
                <c:pt idx="59">
                  <c:v>682.92677907272696</c:v>
                </c:pt>
                <c:pt idx="60">
                  <c:v>685.31760930533039</c:v>
                </c:pt>
                <c:pt idx="61">
                  <c:v>687.71423816540857</c:v>
                </c:pt>
                <c:pt idx="62">
                  <c:v>690.11622365848018</c:v>
                </c:pt>
                <c:pt idx="63">
                  <c:v>692.52313621845292</c:v>
                </c:pt>
                <c:pt idx="64">
                  <c:v>694.93455805478061</c:v>
                </c:pt>
                <c:pt idx="65">
                  <c:v>697.35008249248801</c:v>
                </c:pt>
                <c:pt idx="66">
                  <c:v>699.76931330631533</c:v>
                </c:pt>
                <c:pt idx="67">
                  <c:v>702.19186405017524</c:v>
                </c:pt>
                <c:pt idx="68">
                  <c:v>704.61735738296841</c:v>
                </c:pt>
                <c:pt idx="69">
                  <c:v>707.04542439177499</c:v>
                </c:pt>
                <c:pt idx="70">
                  <c:v>709.47570391324882</c:v>
                </c:pt>
                <c:pt idx="71">
                  <c:v>711.90784185403277</c:v>
                </c:pt>
                <c:pt idx="72">
                  <c:v>714.34149051093164</c:v>
                </c:pt>
                <c:pt idx="73">
                  <c:v>716.77630789140176</c:v>
                </c:pt>
                <c:pt idx="74">
                  <c:v>719.21195703507658</c:v>
                </c:pt>
                <c:pt idx="75">
                  <c:v>721.64810533671857</c:v>
                </c:pt>
                <c:pt idx="76">
                  <c:v>724.08442387116941</c:v>
                </c:pt>
                <c:pt idx="77">
                  <c:v>726.52058672067346</c:v>
                </c:pt>
                <c:pt idx="78">
                  <c:v>728.95627030500225</c:v>
                </c:pt>
                <c:pt idx="79">
                  <c:v>731.39115271473918</c:v>
                </c:pt>
                <c:pt idx="80">
                  <c:v>733.82491304805467</c:v>
                </c:pt>
                <c:pt idx="81">
                  <c:v>736.25723075134022</c:v>
                </c:pt>
                <c:pt idx="82">
                  <c:v>738.68778496400159</c:v>
                </c:pt>
                <c:pt idx="83">
                  <c:v>741.11625386768947</c:v>
                </c:pt>
                <c:pt idx="84">
                  <c:v>743.54231404034851</c:v>
                </c:pt>
                <c:pt idx="85">
                  <c:v>745.96563981538975</c:v>
                </c:pt>
                <c:pt idx="86">
                  <c:v>748.38590264631512</c:v>
                </c:pt>
                <c:pt idx="87">
                  <c:v>750.80277047715128</c:v>
                </c:pt>
                <c:pt idx="88">
                  <c:v>753.21590711911722</c:v>
                </c:pt>
                <c:pt idx="89">
                  <c:v>755.62497163392823</c:v>
                </c:pt>
                <c:pt idx="90">
                  <c:v>758.02961772412493</c:v>
                </c:pt>
                <c:pt idx="91">
                  <c:v>760.42949313107522</c:v>
                </c:pt>
                <c:pt idx="92">
                  <c:v>762.82423904101472</c:v>
                </c:pt>
                <c:pt idx="93">
                  <c:v>765.21348949988226</c:v>
                </c:pt>
                <c:pt idx="94">
                  <c:v>767.59687083746371</c:v>
                </c:pt>
                <c:pt idx="95">
                  <c:v>769.97400110167405</c:v>
                </c:pt>
                <c:pt idx="96">
                  <c:v>772.34448950366357</c:v>
                </c:pt>
                <c:pt idx="97">
                  <c:v>774.70793587466744</c:v>
                </c:pt>
                <c:pt idx="98">
                  <c:v>777.06393013547302</c:v>
                </c:pt>
                <c:pt idx="99">
                  <c:v>779.41205177950098</c:v>
                </c:pt>
                <c:pt idx="100">
                  <c:v>781.75186937063449</c:v>
                </c:pt>
                <c:pt idx="101">
                  <c:v>784.08294005688242</c:v>
                </c:pt>
                <c:pt idx="102">
                  <c:v>786.40480910113138</c:v>
                </c:pt>
                <c:pt idx="103">
                  <c:v>788.71700943043197</c:v>
                </c:pt>
                <c:pt idx="104">
                  <c:v>791.01906120503122</c:v>
                </c:pt>
                <c:pt idx="105">
                  <c:v>793.31047140887244</c:v>
                </c:pt>
                <c:pt idx="106">
                  <c:v>795.5907334630283</c:v>
                </c:pt>
                <c:pt idx="107">
                  <c:v>797.85932686381261</c:v>
                </c:pt>
                <c:pt idx="108">
                  <c:v>800.11571684731689</c:v>
                </c:pt>
                <c:pt idx="109">
                  <c:v>802.35935408227999</c:v>
                </c:pt>
                <c:pt idx="110">
                  <c:v>804.58967439320111</c:v>
                </c:pt>
                <c:pt idx="111">
                  <c:v>806.80609851571853</c:v>
                </c:pt>
                <c:pt idx="112">
                  <c:v>809.00803188641771</c:v>
                </c:pt>
                <c:pt idx="113">
                  <c:v>811.19486446915914</c:v>
                </c:pt>
                <c:pt idx="114">
                  <c:v>813.36597062021076</c:v>
                </c:pt>
                <c:pt idx="115">
                  <c:v>815.52070899446414</c:v>
                </c:pt>
                <c:pt idx="116">
                  <c:v>817.65842249507762</c:v>
                </c:pt>
                <c:pt idx="117">
                  <c:v>819.77843826888932</c:v>
                </c:pt>
                <c:pt idx="118">
                  <c:v>821.88006775000611</c:v>
                </c:pt>
                <c:pt idx="119">
                  <c:v>823.96260675396661</c:v>
                </c:pt>
                <c:pt idx="120">
                  <c:v>826.0253356248478</c:v>
                </c:pt>
                <c:pt idx="121">
                  <c:v>828.06751943771928</c:v>
                </c:pt>
                <c:pt idx="122">
                  <c:v>830.08840825873597</c:v>
                </c:pt>
                <c:pt idx="123">
                  <c:v>832.08723746512294</c:v>
                </c:pt>
                <c:pt idx="124">
                  <c:v>834.0632281273148</c:v>
                </c:pt>
                <c:pt idx="125">
                  <c:v>836.01558745517286</c:v>
                </c:pt>
                <c:pt idx="126">
                  <c:v>837.94350931040083</c:v>
                </c:pt>
                <c:pt idx="127">
                  <c:v>839.84617478682003</c:v>
                </c:pt>
                <c:pt idx="128">
                  <c:v>841.72275286019647</c:v>
                </c:pt>
                <c:pt idx="129">
                  <c:v>843.57240110900636</c:v>
                </c:pt>
                <c:pt idx="130">
                  <c:v>845.3942665072808</c:v>
                </c:pt>
                <c:pt idx="131">
                  <c:v>847.18748629051515</c:v>
                </c:pt>
                <c:pt idx="132">
                  <c:v>848.95118889519733</c:v>
                </c:pt>
                <c:pt idx="133">
                  <c:v>850.68449497230961</c:v>
                </c:pt>
                <c:pt idx="134">
                  <c:v>852.38651847474898</c:v>
                </c:pt>
                <c:pt idx="135">
                  <c:v>854.05636781822079</c:v>
                </c:pt>
                <c:pt idx="136">
                  <c:v>855.69314711483673</c:v>
                </c:pt>
                <c:pt idx="137">
                  <c:v>857.29595747816188</c:v>
                </c:pt>
                <c:pt idx="138">
                  <c:v>858.86389839801382</c:v>
                </c:pt>
                <c:pt idx="139">
                  <c:v>860.39606918285108</c:v>
                </c:pt>
                <c:pt idx="140">
                  <c:v>861.8915704671557</c:v>
                </c:pt>
                <c:pt idx="141">
                  <c:v>863.34950578059124</c:v>
                </c:pt>
                <c:pt idx="142">
                  <c:v>864.7689831753562</c:v>
                </c:pt>
                <c:pt idx="143">
                  <c:v>866.14911690749477</c:v>
                </c:pt>
                <c:pt idx="144">
                  <c:v>867.4890291675315</c:v>
                </c:pt>
                <c:pt idx="145">
                  <c:v>868.78785185513902</c:v>
                </c:pt>
                <c:pt idx="146">
                  <c:v>870.04472839218136</c:v>
                </c:pt>
                <c:pt idx="147">
                  <c:v>871.25881556786544</c:v>
                </c:pt>
                <c:pt idx="148">
                  <c:v>872.42928540929859</c:v>
                </c:pt>
                <c:pt idx="149">
                  <c:v>873.55532707031284</c:v>
                </c:pt>
                <c:pt idx="150">
                  <c:v>874.63614873094991</c:v>
                </c:pt>
                <c:pt idx="151">
                  <c:v>875.67097949965034</c:v>
                </c:pt>
                <c:pt idx="152">
                  <c:v>876.65907130982316</c:v>
                </c:pt>
                <c:pt idx="153">
                  <c:v>877.59970080221137</c:v>
                </c:pt>
                <c:pt idx="154">
                  <c:v>878.49217118418676</c:v>
                </c:pt>
                <c:pt idx="155">
                  <c:v>879.33581405696543</c:v>
                </c:pt>
                <c:pt idx="156">
                  <c:v>880.12999120160634</c:v>
                </c:pt>
                <c:pt idx="157">
                  <c:v>880.87409631460321</c:v>
                </c:pt>
                <c:pt idx="158">
                  <c:v>881.56755668392987</c:v>
                </c:pt>
                <c:pt idx="159">
                  <c:v>882.20983479649692</c:v>
                </c:pt>
                <c:pt idx="160">
                  <c:v>882.80042986811054</c:v>
                </c:pt>
                <c:pt idx="161">
                  <c:v>883.33887928737795</c:v>
                </c:pt>
                <c:pt idx="162">
                  <c:v>883.82475996524545</c:v>
                </c:pt>
                <c:pt idx="163">
                  <c:v>884.25768958232391</c:v>
                </c:pt>
                <c:pt idx="164">
                  <c:v>884.63732772662127</c:v>
                </c:pt>
                <c:pt idx="165">
                  <c:v>884.96337691488088</c:v>
                </c:pt>
                <c:pt idx="166">
                  <c:v>885.23558349131542</c:v>
                </c:pt>
                <c:pt idx="167">
                  <c:v>885.45373839826311</c:v>
                </c:pt>
                <c:pt idx="168">
                  <c:v>885.61767781398919</c:v>
                </c:pt>
                <c:pt idx="169">
                  <c:v>885.72728365368857</c:v>
                </c:pt>
                <c:pt idx="170">
                  <c:v>885.78248393055082</c:v>
                </c:pt>
                <c:pt idx="171">
                  <c:v>885.78325297463414</c:v>
                </c:pt>
                <c:pt idx="172">
                  <c:v>885.72961150817639</c:v>
                </c:pt>
                <c:pt idx="173">
                  <c:v>885.62162657688157</c:v>
                </c:pt>
                <c:pt idx="174">
                  <c:v>885.4594113376254</c:v>
                </c:pt>
                <c:pt idx="175">
                  <c:v>885.24312470392977</c:v>
                </c:pt>
                <c:pt idx="176">
                  <c:v>884.97297085145499</c:v>
                </c:pt>
                <c:pt idx="177">
                  <c:v>884.64919858660733</c:v>
                </c:pt>
                <c:pt idx="178">
                  <c:v>884.27210058221362</c:v>
                </c:pt>
                <c:pt idx="179">
                  <c:v>883.84201248499323</c:v>
                </c:pt>
                <c:pt idx="180">
                  <c:v>883.35931190031329</c:v>
                </c:pt>
                <c:pt idx="181">
                  <c:v>882.8244172603878</c:v>
                </c:pt>
                <c:pt idx="182">
                  <c:v>882.23778658271942</c:v>
                </c:pt>
                <c:pt idx="183">
                  <c:v>881.59991612614442</c:v>
                </c:pt>
                <c:pt idx="184">
                  <c:v>880.91133895230143</c:v>
                </c:pt>
                <c:pt idx="185">
                  <c:v>880.17262340080845</c:v>
                </c:pt>
                <c:pt idx="186">
                  <c:v>879.38437148670073</c:v>
                </c:pt>
                <c:pt idx="187">
                  <c:v>878.54721722902252</c:v>
                </c:pt>
                <c:pt idx="188">
                  <c:v>877.66182491955624</c:v>
                </c:pt>
                <c:pt idx="189">
                  <c:v>876.7288873408329</c:v>
                </c:pt>
                <c:pt idx="190">
                  <c:v>875.74912394263163</c:v>
                </c:pt>
                <c:pt idx="191">
                  <c:v>874.72327898598644</c:v>
                </c:pt>
                <c:pt idx="192">
                  <c:v>873.65211966379923</c:v>
                </c:pt>
                <c:pt idx="193">
                  <c:v>872.53643420681567</c:v>
                </c:pt>
                <c:pt idx="194">
                  <c:v>871.37702998358168</c:v>
                </c:pt>
                <c:pt idx="195">
                  <c:v>870.17473160265968</c:v>
                </c:pt>
                <c:pt idx="196">
                  <c:v>868.93037902505682</c:v>
                </c:pt>
                <c:pt idx="197">
                  <c:v>867.6448256944376</c:v>
                </c:pt>
                <c:pt idx="198">
                  <c:v>866.31893669223962</c:v>
                </c:pt>
                <c:pt idx="199">
                  <c:v>864.95358692441607</c:v>
                </c:pt>
                <c:pt idx="200">
                  <c:v>863.54965934596476</c:v>
                </c:pt>
                <c:pt idx="201">
                  <c:v>862.10804322902015</c:v>
                </c:pt>
                <c:pt idx="202">
                  <c:v>860.62963247964149</c:v>
                </c:pt>
                <c:pt idx="203">
                  <c:v>859.11532400803594</c:v>
                </c:pt>
                <c:pt idx="204">
                  <c:v>857.56601615633622</c:v>
                </c:pt>
                <c:pt idx="205">
                  <c:v>855.98260718760662</c:v>
                </c:pt>
                <c:pt idx="206">
                  <c:v>854.36599383918053</c:v>
                </c:pt>
                <c:pt idx="207">
                  <c:v>852.71706994300337</c:v>
                </c:pt>
                <c:pt idx="208">
                  <c:v>851.0367251150883</c:v>
                </c:pt>
                <c:pt idx="209">
                  <c:v>849.32584351577054</c:v>
                </c:pt>
                <c:pt idx="210">
                  <c:v>847.58530268201264</c:v>
                </c:pt>
                <c:pt idx="211">
                  <c:v>845.81597243254828</c:v>
                </c:pt>
                <c:pt idx="212">
                  <c:v>844.01871384629783</c:v>
                </c:pt>
                <c:pt idx="213">
                  <c:v>842.1943783140531</c:v>
                </c:pt>
                <c:pt idx="214">
                  <c:v>840.34380666315963</c:v>
                </c:pt>
                <c:pt idx="215">
                  <c:v>838.46782835456497</c:v>
                </c:pt>
                <c:pt idx="216">
                  <c:v>836.56726075127608</c:v>
                </c:pt>
                <c:pt idx="217">
                  <c:v>834.6429084571098</c:v>
                </c:pt>
                <c:pt idx="218">
                  <c:v>832.69556272427405</c:v>
                </c:pt>
                <c:pt idx="219">
                  <c:v>830.7260009282187</c:v>
                </c:pt>
                <c:pt idx="220">
                  <c:v>828.7349861078626</c:v>
                </c:pt>
                <c:pt idx="221">
                  <c:v>826.72326656937821</c:v>
                </c:pt>
                <c:pt idx="222">
                  <c:v>824.69157555136405</c:v>
                </c:pt>
                <c:pt idx="223">
                  <c:v>822.6406309492271</c:v>
                </c:pt>
                <c:pt idx="224">
                  <c:v>820.57113509658711</c:v>
                </c:pt>
                <c:pt idx="225">
                  <c:v>818.48377460128518</c:v>
                </c:pt>
                <c:pt idx="226">
                  <c:v>816.37922023369129</c:v>
                </c:pt>
                <c:pt idx="227">
                  <c:v>814.25812686487507</c:v>
                </c:pt>
                <c:pt idx="228">
                  <c:v>812.12113345232046</c:v>
                </c:pt>
                <c:pt idx="229">
                  <c:v>809.96886307067598</c:v>
                </c:pt>
                <c:pt idx="230">
                  <c:v>807.80192298526492</c:v>
                </c:pt>
                <c:pt idx="231">
                  <c:v>805.62090476600486</c:v>
                </c:pt>
                <c:pt idx="232">
                  <c:v>803.4263844393804</c:v>
                </c:pt>
                <c:pt idx="233">
                  <c:v>801.21892267633928</c:v>
                </c:pt>
                <c:pt idx="234">
                  <c:v>798.99906501382884</c:v>
                </c:pt>
                <c:pt idx="235">
                  <c:v>796.76734210794882</c:v>
                </c:pt>
                <c:pt idx="236">
                  <c:v>794.5242700166358</c:v>
                </c:pt>
                <c:pt idx="237">
                  <c:v>792.2703505099156</c:v>
                </c:pt>
                <c:pt idx="238">
                  <c:v>790.00607140598822</c:v>
                </c:pt>
                <c:pt idx="239">
                  <c:v>787.7319069311294</c:v>
                </c:pt>
                <c:pt idx="240">
                  <c:v>785.44831810195092</c:v>
                </c:pt>
                <c:pt idx="241">
                  <c:v>783.15575312825945</c:v>
                </c:pt>
                <c:pt idx="242">
                  <c:v>780.85464783507621</c:v>
                </c:pt>
                <c:pt idx="243">
                  <c:v>778.54542610236763</c:v>
                </c:pt>
                <c:pt idx="244">
                  <c:v>776.22850032118004</c:v>
                </c:pt>
                <c:pt idx="245">
                  <c:v>773.9042718648916</c:v>
                </c:pt>
                <c:pt idx="246">
                  <c:v>771.57313157446117</c:v>
                </c:pt>
                <c:pt idx="247">
                  <c:v>769.23546025661915</c:v>
                </c:pt>
                <c:pt idx="248">
                  <c:v>766.8916291938873</c:v>
                </c:pt>
                <c:pt idx="249">
                  <c:v>764.54200066576027</c:v>
                </c:pt>
                <c:pt idx="250">
                  <c:v>762.18692847992452</c:v>
                </c:pt>
                <c:pt idx="251">
                  <c:v>759.8267585129779</c:v>
                </c:pt>
                <c:pt idx="252">
                  <c:v>757.46182925981134</c:v>
                </c:pt>
                <c:pt idx="253">
                  <c:v>755.09247239113813</c:v>
                </c:pt>
                <c:pt idx="254">
                  <c:v>752.71901331852598</c:v>
                </c:pt>
                <c:pt idx="255">
                  <c:v>750.34177176641651</c:v>
                </c:pt>
                <c:pt idx="256">
                  <c:v>747.96106235076127</c:v>
                </c:pt>
                <c:pt idx="257">
                  <c:v>745.57719516376198</c:v>
                </c:pt>
                <c:pt idx="258">
                  <c:v>743.1904763643945</c:v>
                </c:pt>
                <c:pt idx="259">
                  <c:v>740.80120877442209</c:v>
                </c:pt>
                <c:pt idx="260">
                  <c:v>738.40969247954513</c:v>
                </c:pt>
                <c:pt idx="261">
                  <c:v>736.01622543544261</c:v>
                </c:pt>
                <c:pt idx="262">
                  <c:v>733.62110407848513</c:v>
                </c:pt>
                <c:pt idx="263">
                  <c:v>731.22462394087336</c:v>
                </c:pt>
                <c:pt idx="264">
                  <c:v>728.8270802700215</c:v>
                </c:pt>
                <c:pt idx="265">
                  <c:v>726.42876865194398</c:v>
                </c:pt>
                <c:pt idx="266">
                  <c:v>724.02998563848394</c:v>
                </c:pt>
                <c:pt idx="267">
                  <c:v>721.63102937819951</c:v>
                </c:pt>
                <c:pt idx="268">
                  <c:v>719.23220025060357</c:v>
                </c:pt>
                <c:pt idx="269">
                  <c:v>716.83380150371363</c:v>
                </c:pt>
                <c:pt idx="270">
                  <c:v>714.43613989447135</c:v>
                </c:pt>
                <c:pt idx="271">
                  <c:v>712.03952633191989</c:v>
                </c:pt>
                <c:pt idx="272">
                  <c:v>709.64427652274901</c:v>
                </c:pt>
                <c:pt idx="273">
                  <c:v>707.25071161892197</c:v>
                </c:pt>
                <c:pt idx="274">
                  <c:v>704.85915886698683</c:v>
                </c:pt>
                <c:pt idx="275">
                  <c:v>702.46995225863748</c:v>
                </c:pt>
                <c:pt idx="276">
                  <c:v>700.08343318207028</c:v>
                </c:pt>
                <c:pt idx="277">
                  <c:v>697.69995107350951</c:v>
                </c:pt>
                <c:pt idx="278">
                  <c:v>695.31986406840281</c:v>
                </c:pt>
                <c:pt idx="279">
                  <c:v>692.94353965144126</c:v>
                </c:pt>
                <c:pt idx="280">
                  <c:v>690.5713553047899</c:v>
                </c:pt>
                <c:pt idx="281">
                  <c:v>688.20369915349238</c:v>
                </c:pt>
                <c:pt idx="282">
                  <c:v>685.84097060719569</c:v>
                </c:pt>
                <c:pt idx="283">
                  <c:v>683.4835809971006</c:v>
                </c:pt>
                <c:pt idx="284">
                  <c:v>681.13195420689101</c:v>
                </c:pt>
                <c:pt idx="285">
                  <c:v>678.78652729645535</c:v>
                </c:pt>
                <c:pt idx="286">
                  <c:v>676.44775111686181</c:v>
                </c:pt>
                <c:pt idx="287">
                  <c:v>674.11609091512878</c:v>
                </c:pt>
                <c:pt idx="288">
                  <c:v>671.79202692701654</c:v>
                </c:pt>
                <c:pt idx="289">
                  <c:v>669.47605495608957</c:v>
                </c:pt>
                <c:pt idx="290">
                  <c:v>667.16868693706056</c:v>
                </c:pt>
                <c:pt idx="291">
                  <c:v>664.87045148120785</c:v>
                </c:pt>
                <c:pt idx="292">
                  <c:v>662.58189440173624</c:v>
                </c:pt>
                <c:pt idx="293">
                  <c:v>660.30357921651944</c:v>
                </c:pt>
                <c:pt idx="294">
                  <c:v>658.03608762571116</c:v>
                </c:pt>
                <c:pt idx="295">
                  <c:v>655.78001996144576</c:v>
                </c:pt>
                <c:pt idx="296">
                  <c:v>653.53599560675048</c:v>
                </c:pt>
                <c:pt idx="297">
                  <c:v>651.30465338056763</c:v>
                </c:pt>
                <c:pt idx="298">
                  <c:v>649.08665188572149</c:v>
                </c:pt>
                <c:pt idx="299">
                  <c:v>646.88266981642175</c:v>
                </c:pt>
                <c:pt idx="300">
                  <c:v>644.69340622189168</c:v>
                </c:pt>
                <c:pt idx="301">
                  <c:v>642.51958072236857</c:v>
                </c:pt>
                <c:pt idx="302">
                  <c:v>640.36193367383055</c:v>
                </c:pt>
                <c:pt idx="303">
                  <c:v>638.22122627756926</c:v>
                </c:pt>
                <c:pt idx="304">
                  <c:v>636.0982406306141</c:v>
                </c:pt>
                <c:pt idx="305">
                  <c:v>633.99377971309184</c:v>
                </c:pt>
                <c:pt idx="306">
                  <c:v>631.90866730835762</c:v>
                </c:pt>
                <c:pt idx="307">
                  <c:v>629.8437478518731</c:v>
                </c:pt>
                <c:pt idx="308">
                  <c:v>627.79988620471897</c:v>
                </c:pt>
                <c:pt idx="309">
                  <c:v>625.77796734770982</c:v>
                </c:pt>
                <c:pt idx="310">
                  <c:v>623.77889599208675</c:v>
                </c:pt>
                <c:pt idx="311">
                  <c:v>621.80359610294033</c:v>
                </c:pt>
                <c:pt idx="312">
                  <c:v>619.85301033161863</c:v>
                </c:pt>
                <c:pt idx="313">
                  <c:v>617.92809935353341</c:v>
                </c:pt>
                <c:pt idx="314">
                  <c:v>616.02984110807347</c:v>
                </c:pt>
                <c:pt idx="315">
                  <c:v>614.15922993755635</c:v>
                </c:pt>
                <c:pt idx="316">
                  <c:v>612.31727562251513</c:v>
                </c:pt>
                <c:pt idx="317">
                  <c:v>610.50500231094895</c:v>
                </c:pt>
                <c:pt idx="318">
                  <c:v>608.72344733965576</c:v>
                </c:pt>
                <c:pt idx="319">
                  <c:v>606.9736599462168</c:v>
                </c:pt>
                <c:pt idx="320">
                  <c:v>605.25669987074104</c:v>
                </c:pt>
                <c:pt idx="321">
                  <c:v>603.57363584710458</c:v>
                </c:pt>
                <c:pt idx="322">
                  <c:v>601.92554398401205</c:v>
                </c:pt>
                <c:pt idx="323">
                  <c:v>600.31350603698297</c:v>
                </c:pt>
                <c:pt idx="324">
                  <c:v>598.73860757301293</c:v>
                </c:pt>
                <c:pt idx="325">
                  <c:v>597.20193603058135</c:v>
                </c:pt>
                <c:pt idx="326">
                  <c:v>595.70457867835989</c:v>
                </c:pt>
                <c:pt idx="327">
                  <c:v>594.24762047697834</c:v>
                </c:pt>
                <c:pt idx="328">
                  <c:v>592.83214184899475</c:v>
                </c:pt>
                <c:pt idx="329">
                  <c:v>591.45921636318815</c:v>
                </c:pt>
                <c:pt idx="330">
                  <c:v>590.12990834022355</c:v>
                </c:pt>
                <c:pt idx="331">
                  <c:v>588.84527038759768</c:v>
                </c:pt>
                <c:pt idx="332">
                  <c:v>587.60634087278254</c:v>
                </c:pt>
                <c:pt idx="333">
                  <c:v>586.41414134430272</c:v>
                </c:pt>
                <c:pt idx="334">
                  <c:v>585.26967391140943</c:v>
                </c:pt>
                <c:pt idx="335">
                  <c:v>584.17391859380041</c:v>
                </c:pt>
                <c:pt idx="336">
                  <c:v>583.12783065361282</c:v>
                </c:pt>
                <c:pt idx="337">
                  <c:v>582.13233792262906</c:v>
                </c:pt>
                <c:pt idx="338">
                  <c:v>581.18833813821277</c:v>
                </c:pt>
                <c:pt idx="339">
                  <c:v>580.29669630206615</c:v>
                </c:pt>
                <c:pt idx="340">
                  <c:v>579.45824207628607</c:v>
                </c:pt>
                <c:pt idx="341">
                  <c:v>578.67376723148516</c:v>
                </c:pt>
                <c:pt idx="342">
                  <c:v>577.94402316197898</c:v>
                </c:pt>
                <c:pt idx="343">
                  <c:v>577.2697184830123</c:v>
                </c:pt>
                <c:pt idx="344">
                  <c:v>576.65151672493823</c:v>
                </c:pt>
                <c:pt idx="345">
                  <c:v>576.09003413903906</c:v>
                </c:pt>
                <c:pt idx="346">
                  <c:v>575.58583762923274</c:v>
                </c:pt>
                <c:pt idx="347">
                  <c:v>575.13944282342402</c:v>
                </c:pt>
                <c:pt idx="348">
                  <c:v>574.75131229752799</c:v>
                </c:pt>
                <c:pt idx="349">
                  <c:v>574.42185396440414</c:v>
                </c:pt>
                <c:pt idx="350">
                  <c:v>574.1514196389287</c:v>
                </c:pt>
                <c:pt idx="351">
                  <c:v>573.9403037893602</c:v>
                </c:pt>
                <c:pt idx="352">
                  <c:v>573.78874248394027</c:v>
                </c:pt>
                <c:pt idx="353">
                  <c:v>573.69691254032102</c:v>
                </c:pt>
                <c:pt idx="354">
                  <c:v>573.66493088402513</c:v>
                </c:pt>
                <c:pt idx="355">
                  <c:v>573.6928541206405</c:v>
                </c:pt>
                <c:pt idx="356">
                  <c:v>573.78067832490524</c:v>
                </c:pt>
                <c:pt idx="357">
                  <c:v>573.92833904825238</c:v>
                </c:pt>
                <c:pt idx="358">
                  <c:v>574.13571154478427</c:v>
                </c:pt>
                <c:pt idx="359">
                  <c:v>574.40261121402989</c:v>
                </c:pt>
                <c:pt idx="360">
                  <c:v>574.72879425726023</c:v>
                </c:pt>
                <c:pt idx="361">
                  <c:v>575.11395854259467</c:v>
                </c:pt>
                <c:pt idx="362">
                  <c:v>575.55774467262449</c:v>
                </c:pt>
                <c:pt idx="363">
                  <c:v>576.05973724688965</c:v>
                </c:pt>
                <c:pt idx="364">
                  <c:v>576.61946631021669</c:v>
                </c:pt>
                <c:pt idx="365">
                  <c:v>577.23640897668815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91-4C4A-B48F-1C517FFE7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3144192"/>
        <c:axId val="1"/>
      </c:lineChart>
      <c:catAx>
        <c:axId val="188314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44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3144192"/>
        <c:crosses val="autoZero"/>
        <c:crossBetween val="between"/>
        <c:majorUnit val="20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91362126245848"/>
          <c:y val="4.5454545454545456E-2"/>
          <c:w val="0.6013289036544851"/>
          <c:h val="0.7590909090909090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Calculations!$Y$1</c:f>
              <c:strCache>
                <c:ptCount val="1"/>
                <c:pt idx="0">
                  <c:v>Sunrise Time (LST)</c:v>
                </c:pt>
              </c:strCache>
            </c:strRef>
          </c:tx>
          <c:marker>
            <c:symbol val="none"/>
          </c:marker>
          <c:val>
            <c:numRef>
              <c:f>Calculations!$Y$2:$Y$367</c:f>
              <c:numCache>
                <c:formatCode>h:mm:ss;@</c:formatCode>
                <c:ptCount val="366"/>
                <c:pt idx="0">
                  <c:v>0.30752497310923743</c:v>
                </c:pt>
                <c:pt idx="1">
                  <c:v>0.30760912351995184</c:v>
                </c:pt>
                <c:pt idx="2">
                  <c:v>0.30766973383064511</c:v>
                </c:pt>
                <c:pt idx="3">
                  <c:v>0.30770670360696395</c:v>
                </c:pt>
                <c:pt idx="4">
                  <c:v>0.30771995555795784</c:v>
                </c:pt>
                <c:pt idx="5">
                  <c:v>0.30770943522673122</c:v>
                </c:pt>
                <c:pt idx="6">
                  <c:v>0.30767511062809189</c:v>
                </c:pt>
                <c:pt idx="7">
                  <c:v>0.30761697183731768</c:v>
                </c:pt>
                <c:pt idx="8">
                  <c:v>0.30753503053427084</c:v>
                </c:pt>
                <c:pt idx="9">
                  <c:v>0.30742931950713737</c:v>
                </c:pt>
                <c:pt idx="10">
                  <c:v>0.3072998921200803</c:v>
                </c:pt>
                <c:pt idx="11">
                  <c:v>0.30714682174907187</c:v>
                </c:pt>
                <c:pt idx="12">
                  <c:v>0.306970201190086</c:v>
                </c:pt>
                <c:pt idx="13">
                  <c:v>0.3067701420437608</c:v>
                </c:pt>
                <c:pt idx="14">
                  <c:v>0.30654677408047698</c:v>
                </c:pt>
                <c:pt idx="15">
                  <c:v>0.30630024458965682</c:v>
                </c:pt>
                <c:pt idx="16">
                  <c:v>0.30603071771692403</c:v>
                </c:pt>
                <c:pt idx="17">
                  <c:v>0.30573837379252888</c:v>
                </c:pt>
                <c:pt idx="18">
                  <c:v>0.30542340865427042</c:v>
                </c:pt>
                <c:pt idx="19">
                  <c:v>0.30508603296789927</c:v>
                </c:pt>
                <c:pt idx="20">
                  <c:v>0.30472647154776605</c:v>
                </c:pt>
                <c:pt idx="21">
                  <c:v>0.30434496268024802</c:v>
                </c:pt>
                <c:pt idx="22">
                  <c:v>0.30394175745224383</c:v>
                </c:pt>
                <c:pt idx="23">
                  <c:v>0.30351711908681678</c:v>
                </c:pt>
                <c:pt idx="24">
                  <c:v>0.30307132228780886</c:v>
                </c:pt>
                <c:pt idx="25">
                  <c:v>0.30260465259507602</c:v>
                </c:pt>
                <c:pt idx="26">
                  <c:v>0.3021174057517419</c:v>
                </c:pt>
                <c:pt idx="27">
                  <c:v>0.30160988708469333</c:v>
                </c:pt>
                <c:pt idx="28">
                  <c:v>0.30108241089936644</c:v>
                </c:pt>
                <c:pt idx="29">
                  <c:v>0.30053529988967148</c:v>
                </c:pt>
                <c:pt idx="30">
                  <c:v>0.29996888456377352</c:v>
                </c:pt>
                <c:pt idx="31">
                  <c:v>0.29938350268628183</c:v>
                </c:pt>
                <c:pt idx="32">
                  <c:v>0.29877949873730569</c:v>
                </c:pt>
                <c:pt idx="33">
                  <c:v>0.29815722338866113</c:v>
                </c:pt>
                <c:pt idx="34">
                  <c:v>0.29751703299747123</c:v>
                </c:pt>
                <c:pt idx="35">
                  <c:v>0.29685928911729104</c:v>
                </c:pt>
                <c:pt idx="36">
                  <c:v>0.29618435802678655</c:v>
                </c:pt>
                <c:pt idx="37">
                  <c:v>0.29549261027599494</c:v>
                </c:pt>
                <c:pt idx="38">
                  <c:v>0.29478442025007989</c:v>
                </c:pt>
                <c:pt idx="39">
                  <c:v>0.29406016575047389</c:v>
                </c:pt>
                <c:pt idx="40">
                  <c:v>0.29332022759330634</c:v>
                </c:pt>
                <c:pt idx="41">
                  <c:v>0.29256498922490826</c:v>
                </c:pt>
                <c:pt idx="42">
                  <c:v>0.29179483635425219</c:v>
                </c:pt>
                <c:pt idx="43">
                  <c:v>0.29101015660212037</c:v>
                </c:pt>
                <c:pt idx="44">
                  <c:v>0.29021133916680236</c:v>
                </c:pt>
                <c:pt idx="45">
                  <c:v>0.28939877450611784</c:v>
                </c:pt>
                <c:pt idx="46">
                  <c:v>0.28857285403557315</c:v>
                </c:pt>
                <c:pt idx="47">
                  <c:v>0.28773396984245508</c:v>
                </c:pt>
                <c:pt idx="48">
                  <c:v>0.28688251441564377</c:v>
                </c:pt>
                <c:pt idx="49">
                  <c:v>0.28601888039099521</c:v>
                </c:pt>
                <c:pt idx="50">
                  <c:v>0.28514346031208415</c:v>
                </c:pt>
                <c:pt idx="51">
                  <c:v>0.28425664640611259</c:v>
                </c:pt>
                <c:pt idx="52">
                  <c:v>0.28335883037487347</c:v>
                </c:pt>
                <c:pt idx="53">
                  <c:v>0.28245040320052078</c:v>
                </c:pt>
                <c:pt idx="54">
                  <c:v>0.28153175496602906</c:v>
                </c:pt>
                <c:pt idx="55">
                  <c:v>0.28060327469015073</c:v>
                </c:pt>
                <c:pt idx="56">
                  <c:v>0.27966535017670563</c:v>
                </c:pt>
                <c:pt idx="57">
                  <c:v>0.27871836787801374</c:v>
                </c:pt>
                <c:pt idx="58">
                  <c:v>0.27776271277229198</c:v>
                </c:pt>
                <c:pt idx="59">
                  <c:v>0.27679876825482402</c:v>
                </c:pt>
                <c:pt idx="60">
                  <c:v>0.27582691604266607</c:v>
                </c:pt>
                <c:pt idx="61">
                  <c:v>0.2748475360927099</c:v>
                </c:pt>
                <c:pt idx="62">
                  <c:v>0.27386100653281331</c:v>
                </c:pt>
                <c:pt idx="63">
                  <c:v>0.2728677036057664</c:v>
                </c:pt>
                <c:pt idx="64">
                  <c:v>0.27186800162580654</c:v>
                </c:pt>
                <c:pt idx="65">
                  <c:v>0.2708622729473632</c:v>
                </c:pt>
                <c:pt idx="66">
                  <c:v>0.26985088794571527</c:v>
                </c:pt>
                <c:pt idx="67">
                  <c:v>0.26883421500919674</c:v>
                </c:pt>
                <c:pt idx="68">
                  <c:v>0.26781262054257793</c:v>
                </c:pt>
                <c:pt idx="69">
                  <c:v>0.26678646898118713</c:v>
                </c:pt>
                <c:pt idx="70">
                  <c:v>0.26575612281535932</c:v>
                </c:pt>
                <c:pt idx="71">
                  <c:v>0.26472194262472748</c:v>
                </c:pt>
                <c:pt idx="72">
                  <c:v>0.2636842871218536</c:v>
                </c:pt>
                <c:pt idx="73">
                  <c:v>0.2626435132047083</c:v>
                </c:pt>
                <c:pt idx="74">
                  <c:v>0.26159997601739043</c:v>
                </c:pt>
                <c:pt idx="75">
                  <c:v>0.26055402901856028</c:v>
                </c:pt>
                <c:pt idx="76">
                  <c:v>0.25950602405694223</c:v>
                </c:pt>
                <c:pt idx="77">
                  <c:v>0.25845631145329218</c:v>
                </c:pt>
                <c:pt idx="78">
                  <c:v>0.25740524008816268</c:v>
                </c:pt>
                <c:pt idx="79">
                  <c:v>0.25635315749479465</c:v>
                </c:pt>
                <c:pt idx="80">
                  <c:v>0.25530040995645237</c:v>
                </c:pt>
                <c:pt idx="81">
                  <c:v>0.25424734260747195</c:v>
                </c:pt>
                <c:pt idx="82">
                  <c:v>0.25319429953730599</c:v>
                </c:pt>
                <c:pt idx="83">
                  <c:v>0.25214162389684491</c:v>
                </c:pt>
                <c:pt idx="84">
                  <c:v>0.25108965800623573</c:v>
                </c:pt>
                <c:pt idx="85">
                  <c:v>0.25003874346345561</c:v>
                </c:pt>
                <c:pt idx="86">
                  <c:v>0.24898922125287884</c:v>
                </c:pt>
                <c:pt idx="87">
                  <c:v>0.24794143185307618</c:v>
                </c:pt>
                <c:pt idx="88">
                  <c:v>0.24689571534306715</c:v>
                </c:pt>
                <c:pt idx="89">
                  <c:v>0.24585241150626089</c:v>
                </c:pt>
                <c:pt idx="90">
                  <c:v>0.24481185993136381</c:v>
                </c:pt>
                <c:pt idx="91">
                  <c:v>0.24377440010942833</c:v>
                </c:pt>
                <c:pt idx="92">
                  <c:v>0.24274037152637784</c:v>
                </c:pt>
                <c:pt idx="93">
                  <c:v>0.24171011375020818</c:v>
                </c:pt>
                <c:pt idx="94">
                  <c:v>0.24068396651219889</c:v>
                </c:pt>
                <c:pt idx="95">
                  <c:v>0.23966226978138608</c:v>
                </c:pt>
                <c:pt idx="96">
                  <c:v>0.23864536383164142</c:v>
                </c:pt>
                <c:pt idx="97">
                  <c:v>0.23763358930066225</c:v>
                </c:pt>
                <c:pt idx="98">
                  <c:v>0.23662728724023863</c:v>
                </c:pt>
                <c:pt idx="99">
                  <c:v>0.23562679915717177</c:v>
                </c:pt>
                <c:pt idx="100">
                  <c:v>0.23463246704421192</c:v>
                </c:pt>
                <c:pt idx="101">
                  <c:v>0.23364463340046418</c:v>
                </c:pt>
                <c:pt idx="102">
                  <c:v>0.23266364124070035</c:v>
                </c:pt>
                <c:pt idx="103">
                  <c:v>0.23168983409299559</c:v>
                </c:pt>
                <c:pt idx="104">
                  <c:v>0.23072355598426819</c:v>
                </c:pt>
                <c:pt idx="105">
                  <c:v>0.22976515141315421</c:v>
                </c:pt>
                <c:pt idx="106">
                  <c:v>0.22881496530981529</c:v>
                </c:pt>
                <c:pt idx="107">
                  <c:v>0.22787334298223039</c:v>
                </c:pt>
                <c:pt idx="108">
                  <c:v>0.22694063004857995</c:v>
                </c:pt>
                <c:pt idx="109">
                  <c:v>0.22601717235533078</c:v>
                </c:pt>
                <c:pt idx="110">
                  <c:v>0.22510331588069007</c:v>
                </c:pt>
                <c:pt idx="111">
                  <c:v>0.22419940662310817</c:v>
                </c:pt>
                <c:pt idx="112">
                  <c:v>0.22330579047451735</c:v>
                </c:pt>
                <c:pt idx="113">
                  <c:v>0.22242281307806858</c:v>
                </c:pt>
                <c:pt idx="114">
                  <c:v>0.22155081967011522</c:v>
                </c:pt>
                <c:pt idx="115">
                  <c:v>0.22069015490623675</c:v>
                </c:pt>
                <c:pt idx="116">
                  <c:v>0.21984116267112172</c:v>
                </c:pt>
                <c:pt idx="117">
                  <c:v>0.21900418587217019</c:v>
                </c:pt>
                <c:pt idx="118">
                  <c:v>0.21817956621669557</c:v>
                </c:pt>
                <c:pt idx="119">
                  <c:v>0.21736764397263894</c:v>
                </c:pt>
                <c:pt idx="120">
                  <c:v>0.21656875771275658</c:v>
                </c:pt>
                <c:pt idx="121">
                  <c:v>0.21578324404225518</c:v>
                </c:pt>
                <c:pt idx="122">
                  <c:v>0.21501143730991332</c:v>
                </c:pt>
                <c:pt idx="123">
                  <c:v>0.21425366930276118</c:v>
                </c:pt>
                <c:pt idx="124">
                  <c:v>0.21351026892440561</c:v>
                </c:pt>
                <c:pt idx="125">
                  <c:v>0.21278156185721397</c:v>
                </c:pt>
                <c:pt idx="126">
                  <c:v>0.21206787020851181</c:v>
                </c:pt>
                <c:pt idx="127">
                  <c:v>0.21136951214111169</c:v>
                </c:pt>
                <c:pt idx="128">
                  <c:v>0.21068680148847735</c:v>
                </c:pt>
                <c:pt idx="129">
                  <c:v>0.2100200473549288</c:v>
                </c:pt>
                <c:pt idx="130">
                  <c:v>0.20936955370136426</c:v>
                </c:pt>
                <c:pt idx="131">
                  <c:v>0.20873561891702477</c:v>
                </c:pt>
                <c:pt idx="132">
                  <c:v>0.20811853537794009</c:v>
                </c:pt>
                <c:pt idx="133">
                  <c:v>0.20751858899275638</c:v>
                </c:pt>
                <c:pt idx="134">
                  <c:v>0.2069360587367495</c:v>
                </c:pt>
                <c:pt idx="135">
                  <c:v>0.20637121617493376</c:v>
                </c:pt>
                <c:pt idx="136">
                  <c:v>0.20582432497525016</c:v>
                </c:pt>
                <c:pt idx="137">
                  <c:v>0.2052956404129504</c:v>
                </c:pt>
                <c:pt idx="138">
                  <c:v>0.20478540886739319</c:v>
                </c:pt>
                <c:pt idx="139">
                  <c:v>0.20429386731258975</c:v>
                </c:pt>
                <c:pt idx="140">
                  <c:v>0.20382124280293162</c:v>
                </c:pt>
                <c:pt idx="141">
                  <c:v>0.20336775195569284</c:v>
                </c:pt>
                <c:pt idx="142">
                  <c:v>0.2029336004319697</c:v>
                </c:pt>
                <c:pt idx="143">
                  <c:v>0.20251898241788241</c:v>
                </c:pt>
                <c:pt idx="144">
                  <c:v>0.20212408010795066</c:v>
                </c:pt>
                <c:pt idx="145">
                  <c:v>0.20174906319269634</c:v>
                </c:pt>
                <c:pt idx="146">
                  <c:v>0.20139408835260567</c:v>
                </c:pt>
                <c:pt idx="147">
                  <c:v>0.20105929876072151</c:v>
                </c:pt>
                <c:pt idx="148">
                  <c:v>0.20074482359620388</c:v>
                </c:pt>
                <c:pt idx="149">
                  <c:v>0.2004507775712982</c:v>
                </c:pt>
                <c:pt idx="150">
                  <c:v>0.20017726047422582</c:v>
                </c:pt>
                <c:pt idx="151">
                  <c:v>0.19992435673056472</c:v>
                </c:pt>
                <c:pt idx="152">
                  <c:v>0.19969213498574404</c:v>
                </c:pt>
                <c:pt idx="153">
                  <c:v>0.19948064771130067</c:v>
                </c:pt>
                <c:pt idx="154">
                  <c:v>0.19928993083755728</c:v>
                </c:pt>
                <c:pt idx="155">
                  <c:v>0.19912000341538025</c:v>
                </c:pt>
                <c:pt idx="156">
                  <c:v>0.19897086730963742</c:v>
                </c:pt>
                <c:pt idx="157">
                  <c:v>0.19884250692692629</c:v>
                </c:pt>
                <c:pt idx="158">
                  <c:v>0.19873488898007688</c:v>
                </c:pt>
                <c:pt idx="159">
                  <c:v>0.19864796229181714</c:v>
                </c:pt>
                <c:pt idx="160">
                  <c:v>0.19858165763988783</c:v>
                </c:pt>
                <c:pt idx="161">
                  <c:v>0.19853588764572738</c:v>
                </c:pt>
                <c:pt idx="162">
                  <c:v>0.19851054670868623</c:v>
                </c:pt>
                <c:pt idx="163">
                  <c:v>0.19850551098753197</c:v>
                </c:pt>
                <c:pt idx="164">
                  <c:v>0.19852063843079604</c:v>
                </c:pt>
                <c:pt idx="165">
                  <c:v>0.19855576885726439</c:v>
                </c:pt>
                <c:pt idx="166">
                  <c:v>0.19861072408766384</c:v>
                </c:pt>
                <c:pt idx="167">
                  <c:v>0.19868530812832519</c:v>
                </c:pt>
                <c:pt idx="168">
                  <c:v>0.19877930740730609</c:v>
                </c:pt>
                <c:pt idx="169">
                  <c:v>0.19889249106315982</c:v>
                </c:pt>
                <c:pt idx="170">
                  <c:v>0.19902461128622487</c:v>
                </c:pt>
                <c:pt idx="171">
                  <c:v>0.19917540371198933</c:v>
                </c:pt>
                <c:pt idx="172">
                  <c:v>0.19934458786577006</c:v>
                </c:pt>
                <c:pt idx="173">
                  <c:v>0.19953186765761083</c:v>
                </c:pt>
                <c:pt idx="174">
                  <c:v>0.19973693192600001</c:v>
                </c:pt>
                <c:pt idx="175">
                  <c:v>0.19995945502869925</c:v>
                </c:pt>
                <c:pt idx="176">
                  <c:v>0.20019909747864237</c:v>
                </c:pt>
                <c:pt idx="177">
                  <c:v>0.20045550662262418</c:v>
                </c:pt>
                <c:pt idx="178">
                  <c:v>0.20072831736018693</c:v>
                </c:pt>
                <c:pt idx="179">
                  <c:v>0.20101715289987471</c:v>
                </c:pt>
                <c:pt idx="180">
                  <c:v>0.20132162554979255</c:v>
                </c:pt>
                <c:pt idx="181">
                  <c:v>0.20164133753920588</c:v>
                </c:pt>
                <c:pt idx="182">
                  <c:v>0.20197588186772475</c:v>
                </c:pt>
                <c:pt idx="183">
                  <c:v>0.20232484317846383</c:v>
                </c:pt>
                <c:pt idx="184">
                  <c:v>0.20268779865146308</c:v>
                </c:pt>
                <c:pt idx="185">
                  <c:v>0.2030643189135225</c:v>
                </c:pt>
                <c:pt idx="186">
                  <c:v>0.20345396896058676</c:v>
                </c:pt>
                <c:pt idx="187">
                  <c:v>0.2038563090887319</c:v>
                </c:pt>
                <c:pt idx="188">
                  <c:v>0.20427089582984637</c:v>
                </c:pt>
                <c:pt idx="189">
                  <c:v>0.20469728288810554</c:v>
                </c:pt>
                <c:pt idx="190">
                  <c:v>0.20513502207335996</c:v>
                </c:pt>
                <c:pt idx="191">
                  <c:v>0.20558366422773144</c:v>
                </c:pt>
                <c:pt idx="192">
                  <c:v>0.20604276014170161</c:v>
                </c:pt>
                <c:pt idx="193">
                  <c:v>0.2065118614562084</c:v>
                </c:pt>
                <c:pt idx="194">
                  <c:v>0.20699052154736289</c:v>
                </c:pt>
                <c:pt idx="195">
                  <c:v>0.20747829639059784</c:v>
                </c:pt>
                <c:pt idx="196">
                  <c:v>0.20797474540124267</c:v>
                </c:pt>
                <c:pt idx="197">
                  <c:v>0.20847943224872714</c:v>
                </c:pt>
                <c:pt idx="198">
                  <c:v>0.2089919256418534</c:v>
                </c:pt>
                <c:pt idx="199">
                  <c:v>0.20951180008277451</c:v>
                </c:pt>
                <c:pt idx="200">
                  <c:v>0.21003863658759833</c:v>
                </c:pt>
                <c:pt idx="201">
                  <c:v>0.21057202337173458</c:v>
                </c:pt>
                <c:pt idx="202">
                  <c:v>0.21111155649840121</c:v>
                </c:pt>
                <c:pt idx="203">
                  <c:v>0.21165684048891018</c:v>
                </c:pt>
                <c:pt idx="204">
                  <c:v>0.21220748889363605</c:v>
                </c:pt>
                <c:pt idx="205">
                  <c:v>0.21276312482279003</c:v>
                </c:pt>
                <c:pt idx="206">
                  <c:v>0.21332338143638918</c:v>
                </c:pt>
                <c:pt idx="207">
                  <c:v>0.21388790239300862</c:v>
                </c:pt>
                <c:pt idx="208">
                  <c:v>0.21445634225717025</c:v>
                </c:pt>
                <c:pt idx="209">
                  <c:v>0.21502836686541538</c:v>
                </c:pt>
                <c:pt idx="210">
                  <c:v>0.21560365365130948</c:v>
                </c:pt>
                <c:pt idx="211">
                  <c:v>0.21618189192983725</c:v>
                </c:pt>
                <c:pt idx="212">
                  <c:v>0.2167627831418148</c:v>
                </c:pt>
                <c:pt idx="213">
                  <c:v>0.21734604105912914</c:v>
                </c:pt>
                <c:pt idx="214">
                  <c:v>0.21793139195174535</c:v>
                </c:pt>
                <c:pt idx="215">
                  <c:v>0.21851857471758554</c:v>
                </c:pt>
                <c:pt idx="216">
                  <c:v>0.21910734097650406</c:v>
                </c:pt>
                <c:pt idx="217">
                  <c:v>0.21969745512968078</c:v>
                </c:pt>
                <c:pt idx="218">
                  <c:v>0.22028869438587093</c:v>
                </c:pt>
                <c:pt idx="219">
                  <c:v>0.22088084875601202</c:v>
                </c:pt>
                <c:pt idx="220">
                  <c:v>0.22147372101780077</c:v>
                </c:pt>
                <c:pt idx="221">
                  <c:v>0.22206712665182901</c:v>
                </c:pt>
                <c:pt idx="222">
                  <c:v>0.22266089375099374</c:v>
                </c:pt>
                <c:pt idx="223">
                  <c:v>0.22325486290488486</c:v>
                </c:pt>
                <c:pt idx="224">
                  <c:v>0.22384888706084732</c:v>
                </c:pt>
                <c:pt idx="225">
                  <c:v>0.22444283136347801</c:v>
                </c:pt>
                <c:pt idx="226">
                  <c:v>0.2250365729742588</c:v>
                </c:pt>
                <c:pt idx="227">
                  <c:v>0.2256300008730448</c:v>
                </c:pt>
                <c:pt idx="228">
                  <c:v>0.22622301564305428</c:v>
                </c:pt>
                <c:pt idx="229">
                  <c:v>0.226815529241047</c:v>
                </c:pt>
                <c:pt idx="230">
                  <c:v>0.22740746475425083</c:v>
                </c:pt>
                <c:pt idx="231">
                  <c:v>0.22799875614558296</c:v>
                </c:pt>
                <c:pt idx="232">
                  <c:v>0.22858934798867603</c:v>
                </c:pt>
                <c:pt idx="233">
                  <c:v>0.22917919519408581</c:v>
                </c:pt>
                <c:pt idx="234">
                  <c:v>0.22976826272806031</c:v>
                </c:pt>
                <c:pt idx="235">
                  <c:v>0.23035652532511486</c:v>
                </c:pt>
                <c:pt idx="236">
                  <c:v>0.23094396719561183</c:v>
                </c:pt>
                <c:pt idx="237">
                  <c:v>0.23153058172945487</c:v>
                </c:pt>
                <c:pt idx="238">
                  <c:v>0.23211637119686626</c:v>
                </c:pt>
                <c:pt idx="239">
                  <c:v>0.23270134644724258</c:v>
                </c:pt>
                <c:pt idx="240">
                  <c:v>0.2332855266068507</c:v>
                </c:pt>
                <c:pt idx="241">
                  <c:v>0.23386893877614442</c:v>
                </c:pt>
                <c:pt idx="242">
                  <c:v>0.23445161772732573</c:v>
                </c:pt>
                <c:pt idx="243">
                  <c:v>0.23503360560270686</c:v>
                </c:pt>
                <c:pt idx="244">
                  <c:v>0.23561495161432303</c:v>
                </c:pt>
                <c:pt idx="245">
                  <c:v>0.2361957117451664</c:v>
                </c:pt>
                <c:pt idx="246">
                  <c:v>0.23677594845231098</c:v>
                </c:pt>
                <c:pt idx="247">
                  <c:v>0.23735573037209942</c:v>
                </c:pt>
                <c:pt idx="248">
                  <c:v>0.23793513202752681</c:v>
                </c:pt>
                <c:pt idx="249">
                  <c:v>0.2385142335377666</c:v>
                </c:pt>
                <c:pt idx="250">
                  <c:v>0.23909312032985086</c:v>
                </c:pt>
                <c:pt idx="251">
                  <c:v>0.23967188285229812</c:v>
                </c:pt>
                <c:pt idx="252">
                  <c:v>0.24025061629051511</c:v>
                </c:pt>
                <c:pt idx="253">
                  <c:v>0.24082942028365434</c:v>
                </c:pt>
                <c:pt idx="254">
                  <c:v>0.24140839864260202</c:v>
                </c:pt>
                <c:pt idx="255">
                  <c:v>0.2419876590686901</c:v>
                </c:pt>
                <c:pt idx="256">
                  <c:v>0.24256731287265082</c:v>
                </c:pt>
                <c:pt idx="257">
                  <c:v>0.24314747469333331</c:v>
                </c:pt>
                <c:pt idx="258">
                  <c:v>0.24372826221561808</c:v>
                </c:pt>
                <c:pt idx="259">
                  <c:v>0.24430979588693832</c:v>
                </c:pt>
                <c:pt idx="260">
                  <c:v>0.24489219863180686</c:v>
                </c:pt>
                <c:pt idx="261">
                  <c:v>0.24547559556370074</c:v>
                </c:pt>
                <c:pt idx="262">
                  <c:v>0.24606011369364664</c:v>
                </c:pt>
                <c:pt idx="263">
                  <c:v>0.24664588163484011</c:v>
                </c:pt>
                <c:pt idx="264">
                  <c:v>0.24723302930262264</c:v>
                </c:pt>
                <c:pt idx="265">
                  <c:v>0.24782168760915424</c:v>
                </c:pt>
                <c:pt idx="266">
                  <c:v>0.24841198815211421</c:v>
                </c:pt>
                <c:pt idx="267">
                  <c:v>0.24900406289677693</c:v>
                </c:pt>
                <c:pt idx="268">
                  <c:v>0.24959804385086634</c:v>
                </c:pt>
                <c:pt idx="269">
                  <c:v>0.25019406273154715</c:v>
                </c:pt>
                <c:pt idx="270">
                  <c:v>0.25079225062404437</c:v>
                </c:pt>
                <c:pt idx="271">
                  <c:v>0.25139273763133418</c:v>
                </c:pt>
                <c:pt idx="272">
                  <c:v>0.25199565251445993</c:v>
                </c:pt>
                <c:pt idx="273">
                  <c:v>0.25260112232304466</c:v>
                </c:pt>
                <c:pt idx="274">
                  <c:v>0.25320927201564958</c:v>
                </c:pt>
                <c:pt idx="275">
                  <c:v>0.25382022406969451</c:v>
                </c:pt>
                <c:pt idx="276">
                  <c:v>0.25443409808071127</c:v>
                </c:pt>
                <c:pt idx="277">
                  <c:v>0.25505101035081468</c:v>
                </c:pt>
                <c:pt idx="278">
                  <c:v>0.25567107346630435</c:v>
                </c:pt>
                <c:pt idx="279">
                  <c:v>0.25629439586446795</c:v>
                </c:pt>
                <c:pt idx="280">
                  <c:v>0.25692108138966968</c:v>
                </c:pt>
                <c:pt idx="281">
                  <c:v>0.25755122883898923</c:v>
                </c:pt>
                <c:pt idx="282">
                  <c:v>0.25818493149770966</c:v>
                </c:pt>
                <c:pt idx="283">
                  <c:v>0.25882227666508673</c:v>
                </c:pt>
                <c:pt idx="284">
                  <c:v>0.25946334517096131</c:v>
                </c:pt>
                <c:pt idx="285">
                  <c:v>0.26010821088383174</c:v>
                </c:pt>
                <c:pt idx="286">
                  <c:v>0.2607569402111885</c:v>
                </c:pt>
                <c:pt idx="287">
                  <c:v>0.26140959159296551</c:v>
                </c:pt>
                <c:pt idx="288">
                  <c:v>0.26206621498913657</c:v>
                </c:pt>
                <c:pt idx="289">
                  <c:v>0.2627268513625568</c:v>
                </c:pt>
                <c:pt idx="290">
                  <c:v>0.26339153215829658</c:v>
                </c:pt>
                <c:pt idx="291">
                  <c:v>0.26406027878085581</c:v>
                </c:pt>
                <c:pt idx="292">
                  <c:v>0.2647331020707015</c:v>
                </c:pt>
                <c:pt idx="293">
                  <c:v>0.26541000178176966</c:v>
                </c:pt>
                <c:pt idx="294">
                  <c:v>0.26609096606162985</c:v>
                </c:pt>
                <c:pt idx="295">
                  <c:v>0.26677597093615935</c:v>
                </c:pt>
                <c:pt idx="296">
                  <c:v>0.26746497980066664</c:v>
                </c:pt>
                <c:pt idx="297">
                  <c:v>0.26815794291953193</c:v>
                </c:pt>
                <c:pt idx="298">
                  <c:v>0.26885479693651226</c:v>
                </c:pt>
                <c:pt idx="299">
                  <c:v>0.26955546439798084</c:v>
                </c:pt>
                <c:pt idx="300">
                  <c:v>0.27025985329142416</c:v>
                </c:pt>
                <c:pt idx="301">
                  <c:v>0.27096785660166317</c:v>
                </c:pt>
                <c:pt idx="302">
                  <c:v>0.27167935188727615</c:v>
                </c:pt>
                <c:pt idx="303">
                  <c:v>0.27239420087980049</c:v>
                </c:pt>
                <c:pt idx="304">
                  <c:v>0.27311224910835796</c:v>
                </c:pt>
                <c:pt idx="305">
                  <c:v>0.27383332555233836</c:v>
                </c:pt>
                <c:pt idx="306">
                  <c:v>0.27455724232487749</c:v>
                </c:pt>
                <c:pt idx="307">
                  <c:v>0.27528379438982253</c:v>
                </c:pt>
                <c:pt idx="308">
                  <c:v>0.27601275931491071</c:v>
                </c:pt>
                <c:pt idx="309">
                  <c:v>0.27674389706386032</c:v>
                </c:pt>
                <c:pt idx="310">
                  <c:v>0.27747694983005639</c:v>
                </c:pt>
                <c:pt idx="311">
                  <c:v>0.27821164191443826</c:v>
                </c:pt>
                <c:pt idx="312">
                  <c:v>0.27894767965014711</c:v>
                </c:pt>
                <c:pt idx="313">
                  <c:v>0.2796847513764017</c:v>
                </c:pt>
                <c:pt idx="314">
                  <c:v>0.28042252746394197</c:v>
                </c:pt>
                <c:pt idx="315">
                  <c:v>0.28116066039426774</c:v>
                </c:pt>
                <c:pt idx="316">
                  <c:v>0.28189878489472775</c:v>
                </c:pt>
                <c:pt idx="317">
                  <c:v>0.28263651813135177</c:v>
                </c:pt>
                <c:pt idx="318">
                  <c:v>0.28337345996110153</c:v>
                </c:pt>
                <c:pt idx="319">
                  <c:v>0.28410919324499478</c:v>
                </c:pt>
                <c:pt idx="320">
                  <c:v>0.28484328422331756</c:v>
                </c:pt>
                <c:pt idx="321">
                  <c:v>0.28557528295384549</c:v>
                </c:pt>
                <c:pt idx="322">
                  <c:v>0.28630472381373051</c:v>
                </c:pt>
                <c:pt idx="323">
                  <c:v>0.28703112606535552</c:v>
                </c:pt>
                <c:pt idx="324">
                  <c:v>0.2877539944861679</c:v>
                </c:pt>
                <c:pt idx="325">
                  <c:v>0.28847282006208885</c:v>
                </c:pt>
                <c:pt idx="326">
                  <c:v>0.28918708074378852</c:v>
                </c:pt>
                <c:pt idx="327">
                  <c:v>0.28989624226467148</c:v>
                </c:pt>
                <c:pt idx="328">
                  <c:v>0.29059975901905777</c:v>
                </c:pt>
                <c:pt idx="329">
                  <c:v>0.29129707499862073</c:v>
                </c:pt>
                <c:pt idx="330">
                  <c:v>0.29198762478471507</c:v>
                </c:pt>
                <c:pt idx="331">
                  <c:v>0.2926708345938519</c:v>
                </c:pt>
                <c:pt idx="332">
                  <c:v>0.29334612337311994</c:v>
                </c:pt>
                <c:pt idx="333">
                  <c:v>0.29401290394198104</c:v>
                </c:pt>
                <c:pt idx="334">
                  <c:v>0.29467058417644443</c:v>
                </c:pt>
                <c:pt idx="335">
                  <c:v>0.29531856823126379</c:v>
                </c:pt>
                <c:pt idx="336">
                  <c:v>0.29595625779542917</c:v>
                </c:pt>
                <c:pt idx="337">
                  <c:v>0.29658305337589141</c:v>
                </c:pt>
                <c:pt idx="338">
                  <c:v>0.29719835560416163</c:v>
                </c:pt>
                <c:pt idx="339">
                  <c:v>0.2978015665601414</c:v>
                </c:pt>
                <c:pt idx="340">
                  <c:v>0.29839209110731296</c:v>
                </c:pt>
                <c:pt idx="341">
                  <c:v>0.29896933823324462</c:v>
                </c:pt>
                <c:pt idx="342">
                  <c:v>0.29953272238918432</c:v>
                </c:pt>
                <c:pt idx="343">
                  <c:v>0.3000816648224694</c:v>
                </c:pt>
                <c:pt idx="344">
                  <c:v>0.30061559489540668</c:v>
                </c:pt>
                <c:pt idx="345">
                  <c:v>0.30113395138429133</c:v>
                </c:pt>
                <c:pt idx="346">
                  <c:v>0.30163618375232404</c:v>
                </c:pt>
                <c:pt idx="347">
                  <c:v>0.30212175339028607</c:v>
                </c:pt>
                <c:pt idx="348">
                  <c:v>0.3025901348190343</c:v>
                </c:pt>
                <c:pt idx="349">
                  <c:v>0.30304081684809187</c:v>
                </c:pt>
                <c:pt idx="350">
                  <c:v>0.30347330368492365</c:v>
                </c:pt>
                <c:pt idx="351">
                  <c:v>0.30388711598981161</c:v>
                </c:pt>
                <c:pt idx="352">
                  <c:v>0.3042817918716233</c:v>
                </c:pt>
                <c:pt idx="353">
                  <c:v>0.30465688782022249</c:v>
                </c:pt>
                <c:pt idx="354">
                  <c:v>0.30501197957171006</c:v>
                </c:pt>
                <c:pt idx="355">
                  <c:v>0.30534666290319767</c:v>
                </c:pt>
                <c:pt idx="356">
                  <c:v>0.30566055435433331</c:v>
                </c:pt>
                <c:pt idx="357">
                  <c:v>0.30595329187335457</c:v>
                </c:pt>
                <c:pt idx="358">
                  <c:v>0.30622453538598643</c:v>
                </c:pt>
                <c:pt idx="359">
                  <c:v>0.30647396728607468</c:v>
                </c:pt>
                <c:pt idx="360">
                  <c:v>0.30670129284740916</c:v>
                </c:pt>
                <c:pt idx="361">
                  <c:v>0.30690624055673882</c:v>
                </c:pt>
                <c:pt idx="362">
                  <c:v>0.30708856236852577</c:v>
                </c:pt>
                <c:pt idx="363">
                  <c:v>0.30724803388251143</c:v>
                </c:pt>
                <c:pt idx="364">
                  <c:v>0.30738445444564955</c:v>
                </c:pt>
                <c:pt idx="365">
                  <c:v>0.30749764718043182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9-8747-9AC2-BB246A95D285}"/>
            </c:ext>
          </c:extLst>
        </c:ser>
        <c:ser>
          <c:idx val="1"/>
          <c:order val="1"/>
          <c:tx>
            <c:strRef>
              <c:f>Calculations!$Z$1</c:f>
              <c:strCache>
                <c:ptCount val="1"/>
                <c:pt idx="0">
                  <c:v>Sunset Time (LST)</c:v>
                </c:pt>
              </c:strCache>
            </c:strRef>
          </c:tx>
          <c:marker>
            <c:symbol val="none"/>
          </c:marker>
          <c:val>
            <c:numRef>
              <c:f>Calculations!$Z$2:$Z$367</c:f>
              <c:numCache>
                <c:formatCode>h:mm:ss;@</c:formatCode>
                <c:ptCount val="366"/>
                <c:pt idx="0">
                  <c:v>0.70849020060110235</c:v>
                </c:pt>
                <c:pt idx="1">
                  <c:v>0.7090515605566563</c:v>
                </c:pt>
                <c:pt idx="2">
                  <c:v>0.70962817261080446</c:v>
                </c:pt>
                <c:pt idx="3">
                  <c:v>0.71021946308233541</c:v>
                </c:pt>
                <c:pt idx="4">
                  <c:v>0.71082485062009437</c:v>
                </c:pt>
                <c:pt idx="5">
                  <c:v>0.71144374751885409</c:v>
                </c:pt>
                <c:pt idx="6">
                  <c:v>0.71207556104646019</c:v>
                </c:pt>
                <c:pt idx="7">
                  <c:v>0.71271969477597608</c:v>
                </c:pt>
                <c:pt idx="8">
                  <c:v>0.71337554991660579</c:v>
                </c:pt>
                <c:pt idx="9">
                  <c:v>0.71404252663728696</c:v>
                </c:pt>
                <c:pt idx="10">
                  <c:v>0.71472002537700374</c:v>
                </c:pt>
                <c:pt idx="11">
                  <c:v>0.71540744813604407</c:v>
                </c:pt>
                <c:pt idx="12">
                  <c:v>0.71610419974274453</c:v>
                </c:pt>
                <c:pt idx="13">
                  <c:v>0.71680968909043818</c:v>
                </c:pt>
                <c:pt idx="14">
                  <c:v>0.71752333033974514</c:v>
                </c:pt>
                <c:pt idx="15">
                  <c:v>0.71824454408161764</c:v>
                </c:pt>
                <c:pt idx="16">
                  <c:v>0.71897275845693309</c:v>
                </c:pt>
                <c:pt idx="17">
                  <c:v>0.71970741022883089</c:v>
                </c:pt>
                <c:pt idx="18">
                  <c:v>0.72044794580436988</c:v>
                </c:pt>
                <c:pt idx="19">
                  <c:v>0.72119382220249284</c:v>
                </c:pt>
                <c:pt idx="20">
                  <c:v>0.72194450796570653</c:v>
                </c:pt>
                <c:pt idx="21">
                  <c:v>0.72269948401328088</c:v>
                </c:pt>
                <c:pt idx="22">
                  <c:v>0.72345824443421081</c:v>
                </c:pt>
                <c:pt idx="23">
                  <c:v>0.7242202972185442</c:v>
                </c:pt>
                <c:pt idx="24">
                  <c:v>0.72498516492612708</c:v>
                </c:pt>
                <c:pt idx="25">
                  <c:v>0.72575238529213248</c:v>
                </c:pt>
                <c:pt idx="26">
                  <c:v>0.72652151176916291</c:v>
                </c:pt>
                <c:pt idx="27">
                  <c:v>0.72729211400603966</c:v>
                </c:pt>
                <c:pt idx="28">
                  <c:v>0.72806377826368873</c:v>
                </c:pt>
                <c:pt idx="29">
                  <c:v>0.72883610776890462</c:v>
                </c:pt>
                <c:pt idx="30">
                  <c:v>0.7296087230069942</c:v>
                </c:pt>
                <c:pt idx="31">
                  <c:v>0.73038126195460795</c:v>
                </c:pt>
                <c:pt idx="32">
                  <c:v>0.73115338025425736</c:v>
                </c:pt>
                <c:pt idx="33">
                  <c:v>0.73192475133230206</c:v>
                </c:pt>
                <c:pt idx="34">
                  <c:v>0.73269506646229399</c:v>
                </c:pt>
                <c:pt idx="35">
                  <c:v>0.73346403477579825</c:v>
                </c:pt>
                <c:pt idx="36">
                  <c:v>0.73423138322293224</c:v>
                </c:pt>
                <c:pt idx="37">
                  <c:v>0.73499685648496493</c:v>
                </c:pt>
                <c:pt idx="38">
                  <c:v>0.73576021684145387</c:v>
                </c:pt>
                <c:pt idx="39">
                  <c:v>0.73652124399445551</c:v>
                </c:pt>
                <c:pt idx="40">
                  <c:v>0.7372797348523914</c:v>
                </c:pt>
                <c:pt idx="41">
                  <c:v>0.73803550327622591</c:v>
                </c:pt>
                <c:pt idx="42">
                  <c:v>0.73878837979059175</c:v>
                </c:pt>
                <c:pt idx="43">
                  <c:v>0.73953821126253594</c:v>
                </c:pt>
                <c:pt idx="44">
                  <c:v>0.74028486055053755</c:v>
                </c:pt>
                <c:pt idx="45">
                  <c:v>0.74102820612641707</c:v>
                </c:pt>
                <c:pt idx="46">
                  <c:v>0.74176814167272864</c:v>
                </c:pt>
                <c:pt idx="47">
                  <c:v>0.74250457565815997</c:v>
                </c:pt>
                <c:pt idx="48">
                  <c:v>0.74323743089343697</c:v>
                </c:pt>
                <c:pt idx="49">
                  <c:v>0.74396664407010593</c:v>
                </c:pt>
                <c:pt idx="50">
                  <c:v>0.74469216528453774</c:v>
                </c:pt>
                <c:pt idx="51">
                  <c:v>0.74541395754939344</c:v>
                </c:pt>
                <c:pt idx="52">
                  <c:v>0.74613199629465277</c:v>
                </c:pt>
                <c:pt idx="53">
                  <c:v>0.74684626886029948</c:v>
                </c:pt>
                <c:pt idx="54">
                  <c:v>0.74755677398255094</c:v>
                </c:pt>
                <c:pt idx="55">
                  <c:v>0.74826352127548601</c:v>
                </c:pt>
                <c:pt idx="56">
                  <c:v>0.74896653070975927</c:v>
                </c:pt>
                <c:pt idx="57">
                  <c:v>0.74966583209002413</c:v>
                </c:pt>
                <c:pt idx="58">
                  <c:v>0.75036146453252395</c:v>
                </c:pt>
                <c:pt idx="59">
                  <c:v>0.75105347594421767</c:v>
                </c:pt>
                <c:pt idx="60">
                  <c:v>0.75174192250470107</c:v>
                </c:pt>
                <c:pt idx="61">
                  <c:v>0.75242686815202131</c:v>
                </c:pt>
                <c:pt idx="62">
                  <c:v>0.75310838407342451</c:v>
                </c:pt>
                <c:pt idx="63">
                  <c:v>0.75378654820191426</c:v>
                </c:pt>
                <c:pt idx="64">
                  <c:v>0.75446144471940424</c:v>
                </c:pt>
                <c:pt idx="65">
                  <c:v>0.75513316356714655</c:v>
                </c:pt>
                <c:pt idx="66">
                  <c:v>0.75580179996398977</c:v>
                </c:pt>
                <c:pt idx="67">
                  <c:v>0.75646745393292947</c:v>
                </c:pt>
                <c:pt idx="68">
                  <c:v>0.75713022983630607</c:v>
                </c:pt>
                <c:pt idx="69">
                  <c:v>0.7577902359199199</c:v>
                </c:pt>
                <c:pt idx="70">
                  <c:v>0.75844758386622657</c:v>
                </c:pt>
                <c:pt idx="71">
                  <c:v>0.75910238835669475</c:v>
                </c:pt>
                <c:pt idx="72">
                  <c:v>0.75975476664333397</c:v>
                </c:pt>
                <c:pt idx="73">
                  <c:v>0.76040483812929283</c:v>
                </c:pt>
                <c:pt idx="74">
                  <c:v>0.76105272395841583</c:v>
                </c:pt>
                <c:pt idx="75">
                  <c:v>0.76169854661350378</c:v>
                </c:pt>
                <c:pt idx="76">
                  <c:v>0.76234242952303199</c:v>
                </c:pt>
                <c:pt idx="77">
                  <c:v>0.76298449667598212</c:v>
                </c:pt>
                <c:pt idx="78">
                  <c:v>0.76362487224441433</c:v>
                </c:pt>
                <c:pt idx="79">
                  <c:v>0.76426368021336355</c:v>
                </c:pt>
                <c:pt idx="80">
                  <c:v>0.76490104401760151</c:v>
                </c:pt>
                <c:pt idx="81">
                  <c:v>0.76553708618479155</c:v>
                </c:pt>
                <c:pt idx="82">
                  <c:v>0.76617192798452938</c:v>
                </c:pt>
                <c:pt idx="83">
                  <c:v>0.76680568908274027</c:v>
                </c:pt>
                <c:pt idx="84">
                  <c:v>0.76743848720092223</c:v>
                </c:pt>
                <c:pt idx="85">
                  <c:v>0.76807043777969852</c:v>
                </c:pt>
                <c:pt idx="86">
                  <c:v>0.76870165364615317</c:v>
                </c:pt>
                <c:pt idx="87">
                  <c:v>0.76933224468443118</c:v>
                </c:pt>
                <c:pt idx="88">
                  <c:v>0.76996231750912081</c:v>
                </c:pt>
                <c:pt idx="89">
                  <c:v>0.77059197514093336</c:v>
                </c:pt>
                <c:pt idx="90">
                  <c:v>0.77122131668422833</c:v>
                </c:pt>
                <c:pt idx="91">
                  <c:v>0.77185043700600842</c:v>
                </c:pt>
                <c:pt idx="92">
                  <c:v>0.77247942641597134</c:v>
                </c:pt>
                <c:pt idx="93">
                  <c:v>0.77310837034734858</c:v>
                </c:pt>
                <c:pt idx="94">
                  <c:v>0.77373734903821523</c:v>
                </c:pt>
                <c:pt idx="95">
                  <c:v>0.77436643721310428</c:v>
                </c:pt>
                <c:pt idx="96">
                  <c:v>0.77499570376474114</c:v>
                </c:pt>
                <c:pt idx="97">
                  <c:v>0.77562521143584795</c:v>
                </c:pt>
                <c:pt idx="98">
                  <c:v>0.77625501650098383</c:v>
                </c:pt>
                <c:pt idx="99">
                  <c:v>0.77688516844849198</c:v>
                </c:pt>
                <c:pt idx="100">
                  <c:v>0.777515709662708</c:v>
                </c:pt>
                <c:pt idx="101">
                  <c:v>0.77814667510663249</c:v>
                </c:pt>
                <c:pt idx="102">
                  <c:v>0.77877809200537496</c:v>
                </c:pt>
                <c:pt idx="103">
                  <c:v>0.7794099795307956</c:v>
                </c:pt>
                <c:pt idx="104">
                  <c:v>0.78004234848776199</c:v>
                </c:pt>
                <c:pt idx="105">
                  <c:v>0.78067520100264887</c:v>
                </c:pt>
                <c:pt idx="106">
                  <c:v>0.78130853021469604</c:v>
                </c:pt>
                <c:pt idx="107">
                  <c:v>0.78194231997098917</c:v>
                </c:pt>
                <c:pt idx="108">
                  <c:v>0.78257654452588332</c:v>
                </c:pt>
                <c:pt idx="109">
                  <c:v>0.78321116824580295</c:v>
                </c:pt>
                <c:pt idx="110">
                  <c:v>0.78384614532041308</c:v>
                </c:pt>
                <c:pt idx="111">
                  <c:v>0.78448141948124606</c:v>
                </c:pt>
                <c:pt idx="112">
                  <c:v>0.78511692372897401</c:v>
                </c:pt>
                <c:pt idx="113">
                  <c:v>0.78575258007054016</c:v>
                </c:pt>
                <c:pt idx="114">
                  <c:v>0.78638829926748377</c:v>
                </c:pt>
                <c:pt idx="115">
                  <c:v>0.78702398059683687</c:v>
                </c:pt>
                <c:pt idx="116">
                  <c:v>0.78765951162603676</c:v>
                </c:pt>
                <c:pt idx="117">
                  <c:v>0.7882947680033433</c:v>
                </c:pt>
                <c:pt idx="118">
                  <c:v>0.78892961326531086</c:v>
                </c:pt>
                <c:pt idx="119">
                  <c:v>0.78956389866289356</c:v>
                </c:pt>
                <c:pt idx="120">
                  <c:v>0.7901974630077897</c:v>
                </c:pt>
                <c:pt idx="121">
                  <c:v>0.79083013254067147</c:v>
                </c:pt>
                <c:pt idx="122">
                  <c:v>0.79146172082292432</c:v>
                </c:pt>
                <c:pt idx="123">
                  <c:v>0.792092028653541</c:v>
                </c:pt>
                <c:pt idx="124">
                  <c:v>0.79272084401281862</c:v>
                </c:pt>
                <c:pt idx="125">
                  <c:v>0.79334794203441739</c:v>
                </c:pt>
                <c:pt idx="126">
                  <c:v>0.79397308500740127</c:v>
                </c:pt>
                <c:pt idx="127">
                  <c:v>0.7945960224097367</c:v>
                </c:pt>
                <c:pt idx="128">
                  <c:v>0.79521649097472491</c:v>
                </c:pt>
                <c:pt idx="129">
                  <c:v>0.79583421479173877</c:v>
                </c:pt>
                <c:pt idx="130">
                  <c:v>0.79644890544253144</c:v>
                </c:pt>
                <c:pt idx="131">
                  <c:v>0.79706026217432691</c:v>
                </c:pt>
                <c:pt idx="132">
                  <c:v>0.79766797211071605</c:v>
                </c:pt>
                <c:pt idx="133">
                  <c:v>0.79827171050130474</c:v>
                </c:pt>
                <c:pt idx="134">
                  <c:v>0.79887114101088075</c:v>
                </c:pt>
                <c:pt idx="135">
                  <c:v>0.7994659160486981</c:v>
                </c:pt>
                <c:pt idx="136">
                  <c:v>0.80005567713833126</c:v>
                </c:pt>
                <c:pt idx="137">
                  <c:v>0.80064005532834071</c:v>
                </c:pt>
                <c:pt idx="138">
                  <c:v>0.80121867164379179</c:v>
                </c:pt>
                <c:pt idx="139">
                  <c:v>0.80179113757845866</c:v>
                </c:pt>
                <c:pt idx="140">
                  <c:v>0.80235705562734538</c:v>
                </c:pt>
                <c:pt idx="141">
                  <c:v>0.80291601985888117</c:v>
                </c:pt>
                <c:pt idx="142">
                  <c:v>0.8034676165259671</c:v>
                </c:pt>
                <c:pt idx="143">
                  <c:v>0.80401142471475373</c:v>
                </c:pt>
                <c:pt idx="144">
                  <c:v>0.80454701702984754</c:v>
                </c:pt>
                <c:pt idx="145">
                  <c:v>0.80507396031432055</c:v>
                </c:pt>
                <c:pt idx="146">
                  <c:v>0.8055918164027317</c:v>
                </c:pt>
                <c:pt idx="147">
                  <c:v>0.80610014290507259</c:v>
                </c:pt>
                <c:pt idx="148">
                  <c:v>0.80659849401932793</c:v>
                </c:pt>
                <c:pt idx="149">
                  <c:v>0.80708642137012654</c:v>
                </c:pt>
                <c:pt idx="150">
                  <c:v>0.80756347487071878</c:v>
                </c:pt>
                <c:pt idx="151">
                  <c:v>0.80802920360532193</c:v>
                </c:pt>
                <c:pt idx="152">
                  <c:v>0.80848315672867688</c:v>
                </c:pt>
                <c:pt idx="153">
                  <c:v>0.80892488437950305</c:v>
                </c:pt>
                <c:pt idx="154">
                  <c:v>0.80935393860435356</c:v>
                </c:pt>
                <c:pt idx="155">
                  <c:v>0.80976987428827285</c:v>
                </c:pt>
                <c:pt idx="156">
                  <c:v>0.81017225008853078</c:v>
                </c:pt>
                <c:pt idx="157">
                  <c:v>0.81056062936762296</c:v>
                </c:pt>
                <c:pt idx="158">
                  <c:v>0.81093458112169481</c:v>
                </c:pt>
                <c:pt idx="159">
                  <c:v>0.81129368090049558</c:v>
                </c:pt>
                <c:pt idx="160">
                  <c:v>0.81163751171496457</c:v>
                </c:pt>
                <c:pt idx="161">
                  <c:v>0.81196566492862876</c:v>
                </c:pt>
                <c:pt idx="162">
                  <c:v>0.81227774112899553</c:v>
                </c:pt>
                <c:pt idx="163">
                  <c:v>0.81257335097525685</c:v>
                </c:pt>
                <c:pt idx="164">
                  <c:v>0.81285211601872742</c:v>
                </c:pt>
                <c:pt idx="165">
                  <c:v>0.81311366949259833</c:v>
                </c:pt>
                <c:pt idx="166">
                  <c:v>0.81335765706774399</c:v>
                </c:pt>
                <c:pt idx="167">
                  <c:v>0.81358373757156344</c:v>
                </c:pt>
                <c:pt idx="168">
                  <c:v>0.81379158366702076</c:v>
                </c:pt>
                <c:pt idx="169">
                  <c:v>0.81398088248933254</c:v>
                </c:pt>
                <c:pt idx="170">
                  <c:v>0.81415133623799629</c:v>
                </c:pt>
                <c:pt idx="171">
                  <c:v>0.8143026627221519</c:v>
                </c:pt>
                <c:pt idx="172">
                  <c:v>0.81443459585755928</c:v>
                </c:pt>
                <c:pt idx="173">
                  <c:v>0.81454688611377857</c:v>
                </c:pt>
                <c:pt idx="174">
                  <c:v>0.81463930091046222</c:v>
                </c:pt>
                <c:pt idx="175">
                  <c:v>0.8147116249619839</c:v>
                </c:pt>
                <c:pt idx="176">
                  <c:v>0.81476366056993055</c:v>
                </c:pt>
                <c:pt idx="177">
                  <c:v>0.81479522786332359</c:v>
                </c:pt>
                <c:pt idx="178">
                  <c:v>0.8148061649867242</c:v>
                </c:pt>
                <c:pt idx="179">
                  <c:v>0.81479632823667558</c:v>
                </c:pt>
                <c:pt idx="180">
                  <c:v>0.81476559214723221</c:v>
                </c:pt>
                <c:pt idx="181">
                  <c:v>0.81471384952558623</c:v>
                </c:pt>
                <c:pt idx="182">
                  <c:v>0.81464101143905765</c:v>
                </c:pt>
                <c:pt idx="183">
                  <c:v>0.81454700715495298</c:v>
                </c:pt>
                <c:pt idx="184">
                  <c:v>0.81443178403500571</c:v>
                </c:pt>
                <c:pt idx="185">
                  <c:v>0.81429530738630607</c:v>
                </c:pt>
                <c:pt idx="186">
                  <c:v>0.81413756027079565</c:v>
                </c:pt>
                <c:pt idx="187">
                  <c:v>0.81395854327555306</c:v>
                </c:pt>
                <c:pt idx="188">
                  <c:v>0.81375827424620484</c:v>
                </c:pt>
                <c:pt idx="189">
                  <c:v>0.81353678798590623</c:v>
                </c:pt>
                <c:pt idx="190">
                  <c:v>0.81329413592240973</c:v>
                </c:pt>
                <c:pt idx="191">
                  <c:v>0.81303038574577757</c:v>
                </c:pt>
                <c:pt idx="192">
                  <c:v>0.81274562101933989</c:v>
                </c:pt>
                <c:pt idx="193">
                  <c:v>0.81243994076649706</c:v>
                </c:pt>
                <c:pt idx="194">
                  <c:v>0.81211345903596133</c:v>
                </c:pt>
                <c:pt idx="195">
                  <c:v>0.81176630444800035</c:v>
                </c:pt>
                <c:pt idx="196">
                  <c:v>0.8113986197241988</c:v>
                </c:pt>
                <c:pt idx="197">
                  <c:v>0.8110105612031977</c:v>
                </c:pt>
                <c:pt idx="198">
                  <c:v>0.81060229834479758</c:v>
                </c:pt>
                <c:pt idx="199">
                  <c:v>0.81017401322473004</c:v>
                </c:pt>
                <c:pt idx="200">
                  <c:v>0.80972590002229605</c:v>
                </c:pt>
                <c:pt idx="201">
                  <c:v>0.80925816450299848</c:v>
                </c:pt>
                <c:pt idx="202">
                  <c:v>0.80877102349815222</c:v>
                </c:pt>
                <c:pt idx="203">
                  <c:v>0.80826470438337961</c:v>
                </c:pt>
                <c:pt idx="204">
                  <c:v>0.80773944455775837</c:v>
                </c:pt>
                <c:pt idx="205">
                  <c:v>0.80719549092529452</c:v>
                </c:pt>
                <c:pt idx="206">
                  <c:v>0.80663309938026451</c:v>
                </c:pt>
                <c:pt idx="207">
                  <c:v>0.80605253429787216</c:v>
                </c:pt>
                <c:pt idx="208">
                  <c:v>0.80545406803153707</c:v>
                </c:pt>
                <c:pt idx="209">
                  <c:v>0.80483798041803378</c:v>
                </c:pt>
                <c:pt idx="210">
                  <c:v>0.80420455829159609</c:v>
                </c:pt>
                <c:pt idx="211">
                  <c:v>0.80355409500799579</c:v>
                </c:pt>
                <c:pt idx="212">
                  <c:v>0.80288688997952162</c:v>
                </c:pt>
                <c:pt idx="213">
                  <c:v>0.802203248221666</c:v>
                </c:pt>
                <c:pt idx="214">
                  <c:v>0.80150347991227289</c:v>
                </c:pt>
                <c:pt idx="215">
                  <c:v>0.80078789996381117</c:v>
                </c:pt>
                <c:pt idx="216">
                  <c:v>0.80005682760933472</c:v>
                </c:pt>
                <c:pt idx="217">
                  <c:v>0.79931058600267368</c:v>
                </c:pt>
                <c:pt idx="218">
                  <c:v>0.79854950183328355</c:v>
                </c:pt>
                <c:pt idx="219">
                  <c:v>0.79777390495616396</c:v>
                </c:pt>
                <c:pt idx="220">
                  <c:v>0.79698412803714969</c:v>
                </c:pt>
                <c:pt idx="221">
                  <c:v>0.79618050621389724</c:v>
                </c:pt>
                <c:pt idx="222">
                  <c:v>0.79536337677277436</c:v>
                </c:pt>
                <c:pt idx="223">
                  <c:v>0.79453307884184821</c:v>
                </c:pt>
                <c:pt idx="224">
                  <c:v>0.7936899531001439</c:v>
                </c:pt>
                <c:pt idx="225">
                  <c:v>0.79283434150325938</c:v>
                </c:pt>
                <c:pt idx="226">
                  <c:v>0.79196658702543332</c:v>
                </c:pt>
                <c:pt idx="227">
                  <c:v>0.79108703341809705</c:v>
                </c:pt>
                <c:pt idx="228">
                  <c:v>0.79019602498494346</c:v>
                </c:pt>
                <c:pt idx="229">
                  <c:v>0.78929390637346097</c:v>
                </c:pt>
                <c:pt idx="230">
                  <c:v>0.78838102238290697</c:v>
                </c:pt>
                <c:pt idx="231">
                  <c:v>0.78745771778864193</c:v>
                </c:pt>
                <c:pt idx="232">
                  <c:v>0.78652433718269021</c:v>
                </c:pt>
                <c:pt idx="233">
                  <c:v>0.78558122483043258</c:v>
                </c:pt>
                <c:pt idx="234">
                  <c:v>0.78462872454321919</c:v>
                </c:pt>
                <c:pt idx="235">
                  <c:v>0.78366717956674592</c:v>
                </c:pt>
                <c:pt idx="236">
                  <c:v>0.78269693248494232</c:v>
                </c:pt>
                <c:pt idx="237">
                  <c:v>0.78171832513911854</c:v>
                </c:pt>
                <c:pt idx="238">
                  <c:v>0.78073169856213587</c:v>
                </c:pt>
                <c:pt idx="239">
                  <c:v>0.77973739292719357</c:v>
                </c:pt>
                <c:pt idx="240">
                  <c:v>0.7787357475109834</c:v>
                </c:pt>
                <c:pt idx="241">
                  <c:v>0.77772710067076911</c:v>
                </c:pt>
                <c:pt idx="242">
                  <c:v>0.77671178983501754</c:v>
                </c:pt>
                <c:pt idx="243">
                  <c:v>0.77569015150712883</c:v>
                </c:pt>
                <c:pt idx="244">
                  <c:v>0.77466252128180912</c:v>
                </c:pt>
                <c:pt idx="245">
                  <c:v>0.77362923387356342</c:v>
                </c:pt>
                <c:pt idx="246">
                  <c:v>0.77259062315679783</c:v>
                </c:pt>
                <c:pt idx="247">
                  <c:v>0.77154702221697391</c:v>
                </c:pt>
                <c:pt idx="248">
                  <c:v>0.77049876341217072</c:v>
                </c:pt>
                <c:pt idx="249">
                  <c:v>0.76944617844454455</c:v>
                </c:pt>
                <c:pt idx="250">
                  <c:v>0.76838959844090959</c:v>
                </c:pt>
                <c:pt idx="251">
                  <c:v>0.76732935404186609</c:v>
                </c:pt>
                <c:pt idx="252">
                  <c:v>0.76626577549871733</c:v>
                </c:pt>
                <c:pt idx="253">
                  <c:v>0.76519919277750026</c:v>
                </c:pt>
                <c:pt idx="254">
                  <c:v>0.76412993566935627</c:v>
                </c:pt>
                <c:pt idx="255">
                  <c:v>0.76305833390647926</c:v>
                </c:pt>
                <c:pt idx="256">
                  <c:v>0.76198471728290162</c:v>
                </c:pt>
                <c:pt idx="257">
                  <c:v>0.76090941577927917</c:v>
                </c:pt>
                <c:pt idx="258">
                  <c:v>0.75983275969089192</c:v>
                </c:pt>
                <c:pt idx="259">
                  <c:v>0.75875507975806489</c:v>
                </c:pt>
                <c:pt idx="260">
                  <c:v>0.75767670729815773</c:v>
                </c:pt>
                <c:pt idx="261">
                  <c:v>0.75659797433831366</c:v>
                </c:pt>
                <c:pt idx="262">
                  <c:v>0.75551921374815012</c:v>
                </c:pt>
                <c:pt idx="263">
                  <c:v>0.75444075937155775</c:v>
                </c:pt>
                <c:pt idx="264">
                  <c:v>0.75336294615680433</c:v>
                </c:pt>
                <c:pt idx="265">
                  <c:v>0.75228611028411541</c:v>
                </c:pt>
                <c:pt idx="266">
                  <c:v>0.75121058928995033</c:v>
                </c:pt>
                <c:pt idx="267">
                  <c:v>0.75013672218719318</c:v>
                </c:pt>
                <c:pt idx="268">
                  <c:v>0.74906484958045216</c:v>
                </c:pt>
                <c:pt idx="269">
                  <c:v>0.74799531377579265</c:v>
                </c:pt>
                <c:pt idx="270">
                  <c:v>0.74692845888409387</c:v>
                </c:pt>
                <c:pt idx="271">
                  <c:v>0.74586463091738975</c:v>
                </c:pt>
                <c:pt idx="272">
                  <c:v>0.74480417787747999</c:v>
                </c:pt>
                <c:pt idx="273">
                  <c:v>0.74374744983618502</c:v>
                </c:pt>
                <c:pt idx="274">
                  <c:v>0.74269479900661273</c:v>
                </c:pt>
                <c:pt idx="275">
                  <c:v>0.74164657980485948</c:v>
                </c:pt>
                <c:pt idx="276">
                  <c:v>0.7406031489015934</c:v>
                </c:pt>
                <c:pt idx="277">
                  <c:v>0.73956486526297405</c:v>
                </c:pt>
                <c:pt idx="278">
                  <c:v>0.73853209018047294</c:v>
                </c:pt>
                <c:pt idx="279">
                  <c:v>0.73750518728907999</c:v>
                </c:pt>
                <c:pt idx="280">
                  <c:v>0.73648452257355157</c:v>
                </c:pt>
                <c:pt idx="281">
                  <c:v>0.73547046436224783</c:v>
                </c:pt>
                <c:pt idx="282">
                  <c:v>0.73446338330826222</c:v>
                </c:pt>
                <c:pt idx="283">
                  <c:v>0.73346365235751765</c:v>
                </c:pt>
                <c:pt idx="284">
                  <c:v>0.73247164670352449</c:v>
                </c:pt>
                <c:pt idx="285">
                  <c:v>0.73148774372859249</c:v>
                </c:pt>
                <c:pt idx="286">
                  <c:v>0.73051232293123136</c:v>
                </c:pt>
                <c:pt idx="287">
                  <c:v>0.72954576583958264</c:v>
                </c:pt>
                <c:pt idx="288">
                  <c:v>0.72858845591067589</c:v>
                </c:pt>
                <c:pt idx="289">
                  <c:v>0.72764077841539687</c:v>
                </c:pt>
                <c:pt idx="290">
                  <c:v>0.72670312030903306</c:v>
                </c:pt>
                <c:pt idx="291">
                  <c:v>0.7257758700872502</c:v>
                </c:pt>
                <c:pt idx="292">
                  <c:v>0.72485941762746287</c:v>
                </c:pt>
                <c:pt idx="293">
                  <c:v>0.72395415401546381</c:v>
                </c:pt>
                <c:pt idx="294">
                  <c:v>0.72306047135726259</c:v>
                </c:pt>
                <c:pt idx="295">
                  <c:v>0.72217876257605218</c:v>
                </c:pt>
                <c:pt idx="296">
                  <c:v>0.72130942119424335</c:v>
                </c:pt>
                <c:pt idx="297">
                  <c:v>0.72045284110048169</c:v>
                </c:pt>
                <c:pt idx="298">
                  <c:v>0.71960941630159658</c:v>
                </c:pt>
                <c:pt idx="299">
                  <c:v>0.71877954065938476</c:v>
                </c:pt>
                <c:pt idx="300">
                  <c:v>0.71796360761218225</c:v>
                </c:pt>
                <c:pt idx="301">
                  <c:v>0.7171620098810858</c:v>
                </c:pt>
                <c:pt idx="302">
                  <c:v>0.71637513916076956</c:v>
                </c:pt>
                <c:pt idx="303">
                  <c:v>0.71560338579477911</c:v>
                </c:pt>
                <c:pt idx="304">
                  <c:v>0.71484713843517322</c:v>
                </c:pt>
                <c:pt idx="305">
                  <c:v>0.71410678368642999</c:v>
                </c:pt>
                <c:pt idx="306">
                  <c:v>0.71338270573345919</c:v>
                </c:pt>
                <c:pt idx="307">
                  <c:v>0.71267528595362328</c:v>
                </c:pt>
                <c:pt idx="308">
                  <c:v>0.71198490251263213</c:v>
                </c:pt>
                <c:pt idx="309">
                  <c:v>0.71131192994421433</c:v>
                </c:pt>
                <c:pt idx="310">
                  <c:v>0.71065673871344992</c:v>
                </c:pt>
                <c:pt idx="311">
                  <c:v>0.71001969476370241</c:v>
                </c:pt>
                <c:pt idx="312">
                  <c:v>0.70940115904710455</c:v>
                </c:pt>
                <c:pt idx="313">
                  <c:v>0.7088014870385777</c:v>
                </c:pt>
                <c:pt idx="314">
                  <c:v>0.70822102823343747</c:v>
                </c:pt>
                <c:pt idx="315">
                  <c:v>0.70766012562868186</c:v>
                </c:pt>
                <c:pt idx="316">
                  <c:v>0.70711911518814097</c:v>
                </c:pt>
                <c:pt idx="317">
                  <c:v>0.70659832529173294</c:v>
                </c:pt>
                <c:pt idx="318">
                  <c:v>0.70609807616919573</c:v>
                </c:pt>
                <c:pt idx="319">
                  <c:v>0.70561867931875644</c:v>
                </c:pt>
                <c:pt idx="320">
                  <c:v>0.70516043691133223</c:v>
                </c:pt>
                <c:pt idx="321">
                  <c:v>0.70472364118100139</c:v>
                </c:pt>
                <c:pt idx="322">
                  <c:v>0.70430857380262779</c:v>
                </c:pt>
                <c:pt idx="323">
                  <c:v>0.70391550525770485</c:v>
                </c:pt>
                <c:pt idx="324">
                  <c:v>0.70354469418964904</c:v>
                </c:pt>
                <c:pt idx="325">
                  <c:v>0.70319638674999252</c:v>
                </c:pt>
                <c:pt idx="326">
                  <c:v>0.702870815937094</c:v>
                </c:pt>
                <c:pt idx="327">
                  <c:v>0.70256820092923977</c:v>
                </c:pt>
                <c:pt idx="328">
                  <c:v>0.70228874641419303</c:v>
                </c:pt>
                <c:pt idx="329">
                  <c:v>0.70203264191750148</c:v>
                </c:pt>
                <c:pt idx="330">
                  <c:v>0.70180006113209259</c:v>
                </c:pt>
                <c:pt idx="331">
                  <c:v>0.7015911612519059</c:v>
                </c:pt>
                <c:pt idx="332">
                  <c:v>0.7014060823125523</c:v>
                </c:pt>
                <c:pt idx="333">
                  <c:v>0.70124494654219127</c:v>
                </c:pt>
                <c:pt idx="334">
                  <c:v>0.70110785772603434</c:v>
                </c:pt>
                <c:pt idx="335">
                  <c:v>0.70099490058806957</c:v>
                </c:pt>
                <c:pt idx="336">
                  <c:v>0.7009061401937714</c:v>
                </c:pt>
                <c:pt idx="337">
                  <c:v>0.70084162137771722</c:v>
                </c:pt>
                <c:pt idx="338">
                  <c:v>0.70080136820014272</c:v>
                </c:pt>
                <c:pt idx="339">
                  <c:v>0.70078538343657626</c:v>
                </c:pt>
                <c:pt idx="340">
                  <c:v>0.70079364810473388</c:v>
                </c:pt>
                <c:pt idx="341">
                  <c:v>0.70082612103288711</c:v>
                </c:pt>
                <c:pt idx="342">
                  <c:v>0.70088273847389193</c:v>
                </c:pt>
                <c:pt idx="343">
                  <c:v>0.70096341376900573</c:v>
                </c:pt>
                <c:pt idx="344">
                  <c:v>0.70106803706550269</c:v>
                </c:pt>
                <c:pt idx="345">
                  <c:v>0.70119647509195737</c:v>
                </c:pt>
                <c:pt idx="346">
                  <c:v>0.70134857099484671</c:v>
                </c:pt>
                <c:pt idx="347">
                  <c:v>0.70152414423988607</c:v>
                </c:pt>
                <c:pt idx="348">
                  <c:v>0.70172299058120646</c:v>
                </c:pt>
                <c:pt idx="349">
                  <c:v>0.70194488210115025</c:v>
                </c:pt>
                <c:pt idx="350">
                  <c:v>0.70218956732306859</c:v>
                </c:pt>
                <c:pt idx="351">
                  <c:v>0.70245677139908957</c:v>
                </c:pt>
                <c:pt idx="352">
                  <c:v>0.70274619637435964</c:v>
                </c:pt>
                <c:pt idx="353">
                  <c:v>0.70305752152877876</c:v>
                </c:pt>
                <c:pt idx="354">
                  <c:v>0.70339040379672757</c:v>
                </c:pt>
                <c:pt idx="355">
                  <c:v>0.70374447826475361</c:v>
                </c:pt>
                <c:pt idx="356">
                  <c:v>0.70411935874662868</c:v>
                </c:pt>
                <c:pt idx="357">
                  <c:v>0.70451463843464102</c:v>
                </c:pt>
                <c:pt idx="358">
                  <c:v>0.70492989062541989</c:v>
                </c:pt>
                <c:pt idx="359">
                  <c:v>0.70536466951803978</c:v>
                </c:pt>
                <c:pt idx="360">
                  <c:v>0.70581851108161764</c:v>
                </c:pt>
                <c:pt idx="361">
                  <c:v>0.70629093398909626</c:v>
                </c:pt>
                <c:pt idx="362">
                  <c:v>0.70678144061340387</c:v>
                </c:pt>
                <c:pt idx="363">
                  <c:v>0.70728951808174034</c:v>
                </c:pt>
                <c:pt idx="364">
                  <c:v>0.70781463938330003</c:v>
                </c:pt>
                <c:pt idx="365">
                  <c:v>0.70835626452535416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9-8747-9AC2-BB246A95D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3173408"/>
        <c:axId val="1"/>
      </c:lineChart>
      <c:catAx>
        <c:axId val="188317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/>
        <c:numFmt formatCode="h:mm:ss;@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3173408"/>
        <c:crosses val="autoZero"/>
        <c:crossBetween val="between"/>
        <c:majorUnit val="0.25"/>
      </c:valAx>
    </c:plotArea>
    <c:legend>
      <c:legendPos val="r"/>
      <c:layout>
        <c:manualLayout>
          <c:xMode val="edge"/>
          <c:yMode val="edge"/>
          <c:x val="0.65118539770723416"/>
          <c:y val="0.31516241554430541"/>
          <c:w val="0.30233607750693015"/>
          <c:h val="0.36364894101266004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Calculations!$V$1</c:f>
              <c:strCache>
                <c:ptCount val="1"/>
                <c:pt idx="0">
                  <c:v>Eq of Time (minutes)</c:v>
                </c:pt>
              </c:strCache>
            </c:strRef>
          </c:tx>
          <c:marker>
            <c:symbol val="none"/>
          </c:marker>
          <c:val>
            <c:numRef>
              <c:f>Calculations!$V$3:$V$366</c:f>
              <c:numCache>
                <c:formatCode>General</c:formatCode>
                <c:ptCount val="364"/>
                <c:pt idx="0">
                  <c:v>-4.1882125351577679</c:v>
                </c:pt>
                <c:pt idx="1">
                  <c:v>-4.6470126378436856</c:v>
                </c:pt>
                <c:pt idx="2">
                  <c:v>-5.0993600162955799</c:v>
                </c:pt>
                <c:pt idx="3">
                  <c:v>-5.5447804481974687</c:v>
                </c:pt>
                <c:pt idx="4">
                  <c:v>-5.9828115768213621</c:v>
                </c:pt>
                <c:pt idx="5">
                  <c:v>-6.4130036056776651</c:v>
                </c:pt>
                <c:pt idx="6">
                  <c:v>-6.834919961571571</c:v>
                </c:pt>
                <c:pt idx="7">
                  <c:v>-7.2481379246312638</c:v>
                </c:pt>
                <c:pt idx="8">
                  <c:v>-7.6522492239855584</c:v>
                </c:pt>
                <c:pt idx="9">
                  <c:v>-8.0468605979006895</c:v>
                </c:pt>
                <c:pt idx="10">
                  <c:v>-8.4315943172835901</c:v>
                </c:pt>
                <c:pt idx="11">
                  <c:v>-8.8060886716378945</c:v>
                </c:pt>
                <c:pt idx="12">
                  <c:v>-9.1699984166233204</c:v>
                </c:pt>
                <c:pt idx="13">
                  <c:v>-9.5229951825599937</c:v>
                </c:pt>
                <c:pt idx="14">
                  <c:v>-9.8647678433176083</c:v>
                </c:pt>
                <c:pt idx="15">
                  <c:v>-10.195022845177228</c:v>
                </c:pt>
                <c:pt idx="16">
                  <c:v>-10.513484495379199</c:v>
                </c:pt>
                <c:pt idx="17">
                  <c:v>-10.819895210220837</c:v>
                </c:pt>
                <c:pt idx="18">
                  <c:v>-11.114015722682353</c:v>
                </c:pt>
                <c:pt idx="19">
                  <c:v>-11.3956252497004</c:v>
                </c:pt>
                <c:pt idx="20">
                  <c:v>-11.664521619340912</c:v>
                </c:pt>
                <c:pt idx="21">
                  <c:v>-11.920521358247363</c:v>
                </c:pt>
                <c:pt idx="22">
                  <c:v>-12.163459739860031</c:v>
                </c:pt>
                <c:pt idx="23">
                  <c:v>-12.393190794033908</c:v>
                </c:pt>
                <c:pt idx="24">
                  <c:v>-12.609587278790181</c:v>
                </c:pt>
                <c:pt idx="25">
                  <c:v>-12.812540615051679</c:v>
                </c:pt>
                <c:pt idx="26">
                  <c:v>-13.001960785327897</c:v>
                </c:pt>
                <c:pt idx="27">
                  <c:v>-13.177776197399767</c:v>
                </c:pt>
                <c:pt idx="28">
                  <c:v>-13.339933514174939</c:v>
                </c:pt>
                <c:pt idx="29">
                  <c:v>-13.488397450952718</c:v>
                </c:pt>
                <c:pt idx="30">
                  <c:v>-13.623150541440468</c:v>
                </c:pt>
                <c:pt idx="31">
                  <c:v>-13.744192873925385</c:v>
                </c:pt>
                <c:pt idx="32">
                  <c:v>-13.851541799093393</c:v>
                </c:pt>
                <c:pt idx="33">
                  <c:v>-13.945231611031069</c:v>
                </c:pt>
                <c:pt idx="34">
                  <c:v>-14.025313203024242</c:v>
                </c:pt>
                <c:pt idx="35">
                  <c:v>-14.091853699797658</c:v>
                </c:pt>
                <c:pt idx="36">
                  <c:v>-14.144936067891301</c:v>
                </c:pt>
                <c:pt idx="37">
                  <c:v>-14.184658705904301</c:v>
                </c:pt>
                <c:pt idx="38">
                  <c:v>-14.211135016349356</c:v>
                </c:pt>
                <c:pt idx="39">
                  <c:v>-14.224492960902642</c:v>
                </c:pt>
                <c:pt idx="40">
                  <c:v>-14.224874600816639</c:v>
                </c:pt>
                <c:pt idx="41">
                  <c:v>-14.21243562428756</c:v>
                </c:pt>
                <c:pt idx="42">
                  <c:v>-14.187344862552665</c:v>
                </c:pt>
                <c:pt idx="43">
                  <c:v>-14.149783796484847</c:v>
                </c:pt>
                <c:pt idx="44">
                  <c:v>-14.099946055425304</c:v>
                </c:pt>
                <c:pt idx="45">
                  <c:v>-14.038036909977421</c:v>
                </c:pt>
                <c:pt idx="46">
                  <c:v>-13.964272760443091</c:v>
                </c:pt>
                <c:pt idx="47">
                  <c:v>-13.878880622538219</c:v>
                </c:pt>
                <c:pt idx="48">
                  <c:v>-13.782097611992972</c:v>
                </c:pt>
                <c:pt idx="49">
                  <c:v>-13.674170429567848</c:v>
                </c:pt>
                <c:pt idx="50">
                  <c:v>-13.555354847964262</c:v>
                </c:pt>
                <c:pt idx="51">
                  <c:v>-13.425915202058844</c:v>
                </c:pt>
                <c:pt idx="52">
                  <c:v>-13.286123883790543</c:v>
                </c:pt>
                <c:pt idx="53">
                  <c:v>-13.136260842977769</c:v>
                </c:pt>
                <c:pt idx="54">
                  <c:v>-12.976613095258378</c:v>
                </c:pt>
                <c:pt idx="55">
                  <c:v>-12.807474238254766</c:v>
                </c:pt>
                <c:pt idx="56">
                  <c:v>-12.629143976987342</c:v>
                </c:pt>
                <c:pt idx="57">
                  <c:v>-12.441927659467646</c:v>
                </c:pt>
                <c:pt idx="58">
                  <c:v>-12.246135823310137</c:v>
                </c:pt>
                <c:pt idx="59">
                  <c:v>-12.042083754104299</c:v>
                </c:pt>
                <c:pt idx="60">
                  <c:v>-11.830091056206532</c:v>
                </c:pt>
                <c:pt idx="61">
                  <c:v>-11.610481236491385</c:v>
                </c:pt>
                <c:pt idx="62">
                  <c:v>-11.383581301529958</c:v>
                </c:pt>
                <c:pt idx="63">
                  <c:v>-11.149721368551774</c:v>
                </c:pt>
                <c:pt idx="64">
                  <c:v>-10.909234290447193</c:v>
                </c:pt>
                <c:pt idx="65">
                  <c:v>-10.662455294987698</c:v>
                </c:pt>
                <c:pt idx="66">
                  <c:v>-10.409721638331217</c:v>
                </c:pt>
                <c:pt idx="67">
                  <c:v>-10.151372272796506</c:v>
                </c:pt>
                <c:pt idx="68">
                  <c:v>-9.8877475287969592</c:v>
                </c:pt>
                <c:pt idx="69">
                  <c:v>-9.6191888107417753</c:v>
                </c:pt>
                <c:pt idx="70">
                  <c:v>-9.346038306624024</c:v>
                </c:pt>
                <c:pt idx="71">
                  <c:v>-9.068638710934863</c:v>
                </c:pt>
                <c:pt idx="72">
                  <c:v>-8.7873329604808994</c:v>
                </c:pt>
                <c:pt idx="73">
                  <c:v>-8.5024639825806219</c:v>
                </c:pt>
                <c:pt idx="74">
                  <c:v>-8.2143744550860074</c:v>
                </c:pt>
                <c:pt idx="75">
                  <c:v>-7.9234065775814546</c:v>
                </c:pt>
                <c:pt idx="76">
                  <c:v>-7.6299018530776204</c:v>
                </c:pt>
                <c:pt idx="77">
                  <c:v>-7.33420087945552</c:v>
                </c:pt>
                <c:pt idx="78">
                  <c:v>-7.0366431498740392</c:v>
                </c:pt>
                <c:pt idx="79">
                  <c:v>-6.7375668613188715</c:v>
                </c:pt>
                <c:pt idx="80">
                  <c:v>-6.4373087304297938</c:v>
                </c:pt>
                <c:pt idx="81">
                  <c:v>-6.1362038157215171</c:v>
                </c:pt>
                <c:pt idx="82">
                  <c:v>-5.8345853453012593</c:v>
                </c:pt>
                <c:pt idx="83">
                  <c:v>-5.532784549153746</c:v>
                </c:pt>
                <c:pt idx="84">
                  <c:v>-5.2311304950711115</c:v>
                </c:pt>
                <c:pt idx="85">
                  <c:v>-4.9299499273030358</c:v>
                </c:pt>
                <c:pt idx="86">
                  <c:v>-4.6295671070055269</c:v>
                </c:pt>
                <c:pt idx="87">
                  <c:v>-4.3303036535752595</c:v>
                </c:pt>
                <c:pt idx="88">
                  <c:v>-4.0324783859797888</c:v>
                </c:pt>
                <c:pt idx="89">
                  <c:v>-3.7364071632265072</c:v>
                </c:pt>
                <c:pt idx="90">
                  <c:v>-3.4424027231143444</c:v>
                </c:pt>
                <c:pt idx="91">
                  <c:v>-3.1507745184915819</c:v>
                </c:pt>
                <c:pt idx="92">
                  <c:v>-2.8618285502408876</c:v>
                </c:pt>
                <c:pt idx="93">
                  <c:v>-2.5758671962984026</c:v>
                </c:pt>
                <c:pt idx="94">
                  <c:v>-2.2931890360330582</c:v>
                </c:pt>
                <c:pt idx="95">
                  <c:v>-2.0140886693955302</c:v>
                </c:pt>
                <c:pt idx="96">
                  <c:v>-1.7388565302873955</c:v>
                </c:pt>
                <c:pt idx="97">
                  <c:v>-1.467778693680194</c:v>
                </c:pt>
                <c:pt idx="98">
                  <c:v>-1.2011366760780173</c:v>
                </c:pt>
                <c:pt idx="99">
                  <c:v>-0.93920722898257847</c:v>
                </c:pt>
                <c:pt idx="100">
                  <c:v>-0.68226212510959605</c:v>
                </c:pt>
                <c:pt idx="101">
                  <c:v>-0.43056793717417291</c:v>
                </c:pt>
                <c:pt idx="102">
                  <c:v>-0.18438580912963709</c:v>
                </c:pt>
                <c:pt idx="103">
                  <c:v>5.6028780138129973E-2</c:v>
                </c:pt>
                <c:pt idx="104">
                  <c:v>0.29042626062165972</c:v>
                </c:pt>
                <c:pt idx="105">
                  <c:v>0.5185632223517519</c:v>
                </c:pt>
                <c:pt idx="106">
                  <c:v>0.74020267368182391</c:v>
                </c:pt>
                <c:pt idx="107">
                  <c:v>0.95511430638629224</c:v>
                </c:pt>
                <c:pt idx="108">
                  <c:v>1.1630747671835129</c:v>
                </c:pt>
                <c:pt idx="109">
                  <c:v>1.3638679352057983</c:v>
                </c:pt>
                <c:pt idx="110">
                  <c:v>1.5572852048648047</c:v>
                </c:pt>
                <c:pt idx="111">
                  <c:v>1.7431257734860075</c:v>
                </c:pt>
                <c:pt idx="112">
                  <c:v>1.921196933001613</c:v>
                </c:pt>
                <c:pt idx="113">
                  <c:v>2.0913143649285661</c:v>
                </c:pt>
                <c:pt idx="114">
                  <c:v>2.2533024377868971</c:v>
                </c:pt>
                <c:pt idx="115">
                  <c:v>2.4069945060460887</c:v>
                </c:pt>
                <c:pt idx="116">
                  <c:v>2.5522332096303124</c:v>
                </c:pt>
                <c:pt idx="117">
                  <c:v>2.6888707729552999</c:v>
                </c:pt>
                <c:pt idx="118">
                  <c:v>2.8167693024166631</c:v>
                </c:pt>
                <c:pt idx="119">
                  <c:v>2.9358010812066393</c:v>
                </c:pt>
                <c:pt idx="120">
                  <c:v>3.0458488602928777</c:v>
                </c:pt>
                <c:pt idx="121">
                  <c:v>3.1468061443567454</c:v>
                </c:pt>
                <c:pt idx="122">
                  <c:v>3.2385774714623641</c:v>
                </c:pt>
                <c:pt idx="123">
                  <c:v>3.3210786851985175</c:v>
                </c:pt>
                <c:pt idx="124">
                  <c:v>3.3942371980253587</c:v>
                </c:pt>
                <c:pt idx="125">
                  <c:v>3.4579922445425146</c:v>
                </c:pt>
                <c:pt idx="126">
                  <c:v>3.512295123389193</c:v>
                </c:pt>
                <c:pt idx="127">
                  <c:v>3.5571094264941969</c:v>
                </c:pt>
                <c:pt idx="128">
                  <c:v>3.5924112543993432</c:v>
                </c:pt>
                <c:pt idx="129">
                  <c:v>3.6181894163951274</c:v>
                </c:pt>
                <c:pt idx="130">
                  <c:v>3.6344456142268107</c:v>
                </c:pt>
                <c:pt idx="131">
                  <c:v>3.6411946081676114</c:v>
                </c:pt>
                <c:pt idx="132">
                  <c:v>3.6384643642760142</c:v>
                </c:pt>
                <c:pt idx="133">
                  <c:v>3.626296181706016</c:v>
                </c:pt>
                <c:pt idx="134">
                  <c:v>3.6047447989850494</c:v>
                </c:pt>
                <c:pt idx="135">
                  <c:v>3.5738784782212529</c:v>
                </c:pt>
                <c:pt idx="136">
                  <c:v>3.5337790662704305</c:v>
                </c:pt>
                <c:pt idx="137">
                  <c:v>3.4845420319468947</c:v>
                </c:pt>
                <c:pt idx="138">
                  <c:v>3.4262764784451742</c:v>
                </c:pt>
                <c:pt idx="139">
                  <c:v>3.3591051302004606</c:v>
                </c:pt>
                <c:pt idx="140">
                  <c:v>3.2831642935065979</c:v>
                </c:pt>
                <c:pt idx="141">
                  <c:v>3.1986037902855644</c:v>
                </c:pt>
                <c:pt idx="142">
                  <c:v>3.1055868645019862</c:v>
                </c:pt>
                <c:pt idx="143">
                  <c:v>3.0042900607851672</c:v>
                </c:pt>
                <c:pt idx="144">
                  <c:v>2.8949030749477944</c:v>
                </c:pt>
                <c:pt idx="145">
                  <c:v>2.777628576157066</c:v>
                </c:pt>
                <c:pt idx="146">
                  <c:v>2.6526820006280367</c:v>
                </c:pt>
                <c:pt idx="147">
                  <c:v>2.5202913168171768</c:v>
                </c:pt>
                <c:pt idx="148">
                  <c:v>2.380696762174098</c:v>
                </c:pt>
                <c:pt idx="149">
                  <c:v>2.234150551639849</c:v>
                </c:pt>
                <c:pt idx="150">
                  <c:v>2.0809165581615039</c:v>
                </c:pt>
                <c:pt idx="151">
                  <c:v>1.9212699656169179</c:v>
                </c:pt>
                <c:pt idx="152">
                  <c:v>1.7554968946211924</c:v>
                </c:pt>
                <c:pt idx="153">
                  <c:v>1.5838940018241878</c:v>
                </c:pt>
                <c:pt idx="154">
                  <c:v>1.4067680533696469</c:v>
                </c:pt>
                <c:pt idx="155">
                  <c:v>1.224435473318831</c:v>
                </c:pt>
                <c:pt idx="156">
                  <c:v>1.0372218679244236</c:v>
                </c:pt>
                <c:pt idx="157">
                  <c:v>0.8454615267243456</c:v>
                </c:pt>
                <c:pt idx="158">
                  <c:v>0.64949690153488682</c:v>
                </c:pt>
                <c:pt idx="159">
                  <c:v>0.44967806450633319</c:v>
                </c:pt>
                <c:pt idx="160">
                  <c:v>0.24636214646349031</c:v>
                </c:pt>
                <c:pt idx="161">
                  <c:v>3.9912756869117251E-2</c:v>
                </c:pt>
                <c:pt idx="162">
                  <c:v>-0.16930061320802869</c:v>
                </c:pt>
                <c:pt idx="163">
                  <c:v>-0.38090320365693925</c:v>
                </c:pt>
                <c:pt idx="164">
                  <c:v>-0.59451561190124314</c:v>
                </c:pt>
                <c:pt idx="165">
                  <c:v>-0.80975443189358387</c:v>
                </c:pt>
                <c:pt idx="166">
                  <c:v>-1.0262329039199762</c:v>
                </c:pt>
                <c:pt idx="167">
                  <c:v>-1.2435615735156336</c:v>
                </c:pt>
                <c:pt idx="168">
                  <c:v>-1.4613489577944552</c:v>
                </c:pt>
                <c:pt idx="169">
                  <c:v>-1.6792022174392429</c:v>
                </c:pt>
                <c:pt idx="170">
                  <c:v>-1.8967278325816415</c:v>
                </c:pt>
                <c:pt idx="171">
                  <c:v>-2.1135322807969552</c:v>
                </c:pt>
                <c:pt idx="172">
                  <c:v>-2.3292227154004403</c:v>
                </c:pt>
                <c:pt idx="173">
                  <c:v>-2.5434076422528649</c:v>
                </c:pt>
                <c:pt idx="174">
                  <c:v>-2.7556975932918517</c:v>
                </c:pt>
                <c:pt idx="175">
                  <c:v>-2.9657057949725174</c:v>
                </c:pt>
                <c:pt idx="176">
                  <c:v>-3.1730488298824491</c:v>
                </c:pt>
                <c:pt idx="177">
                  <c:v>-3.3773472897759835</c:v>
                </c:pt>
                <c:pt idx="178">
                  <c:v>-3.5782264183163273</c:v>
                </c:pt>
                <c:pt idx="179">
                  <c:v>-3.7753167418579396</c:v>
                </c:pt>
                <c:pt idx="180">
                  <c:v>-3.9682546866503383</c:v>
                </c:pt>
                <c:pt idx="181">
                  <c:v>-4.1566831808833218</c:v>
                </c:pt>
                <c:pt idx="182">
                  <c:v>-4.3402522400602059</c:v>
                </c:pt>
                <c:pt idx="183">
                  <c:v>-4.5186195342576543</c:v>
                </c:pt>
                <c:pt idx="184">
                  <c:v>-4.6914509358766576</c:v>
                </c:pt>
                <c:pt idx="185">
                  <c:v>-4.8584210465954651</c:v>
                </c:pt>
                <c:pt idx="186">
                  <c:v>-5.0192137022852048</c:v>
                </c:pt>
                <c:pt idx="187">
                  <c:v>-5.1735224547570127</c:v>
                </c:pt>
                <c:pt idx="188">
                  <c:v>-5.3210510292883093</c:v>
                </c:pt>
                <c:pt idx="189">
                  <c:v>-5.4615137569542496</c:v>
                </c:pt>
                <c:pt idx="190">
                  <c:v>-5.5946359809266806</c:v>
                </c:pt>
                <c:pt idx="191">
                  <c:v>-5.7201544359500049</c:v>
                </c:pt>
                <c:pt idx="192">
                  <c:v>-5.8378176003480302</c:v>
                </c:pt>
                <c:pt idx="193">
                  <c:v>-5.9473860199935196</c:v>
                </c:pt>
                <c:pt idx="194">
                  <c:v>-6.0486326037908587</c:v>
                </c:pt>
                <c:pt idx="195">
                  <c:v>-6.1413428903179152</c:v>
                </c:pt>
                <c:pt idx="196">
                  <c:v>-6.2253152853859968</c:v>
                </c:pt>
                <c:pt idx="197">
                  <c:v>-6.3003612703887937</c:v>
                </c:pt>
                <c:pt idx="198">
                  <c:v>-6.3663055814033926</c:v>
                </c:pt>
                <c:pt idx="199">
                  <c:v>-6.4229863591239917</c:v>
                </c:pt>
                <c:pt idx="200">
                  <c:v>-6.4702552698078621</c:v>
                </c:pt>
                <c:pt idx="201">
                  <c:v>-6.5079775975184475</c:v>
                </c:pt>
                <c:pt idx="202">
                  <c:v>-6.536032308048858</c:v>
                </c:pt>
                <c:pt idx="203">
                  <c:v>-6.5543120850040548</c:v>
                </c:pt>
                <c:pt idx="204">
                  <c:v>-6.5627233386210575</c:v>
                </c:pt>
                <c:pt idx="205">
                  <c:v>-6.5611861879905966</c:v>
                </c:pt>
                <c:pt idx="206">
                  <c:v>-6.5496344174342269</c:v>
                </c:pt>
                <c:pt idx="207">
                  <c:v>-6.5280154078694572</c:v>
                </c:pt>
                <c:pt idx="208">
                  <c:v>-6.4962900440835352</c:v>
                </c:pt>
                <c:pt idx="209">
                  <c:v>-6.4544325988919384</c:v>
                </c:pt>
                <c:pt idx="210">
                  <c:v>-6.4024305952397462</c:v>
                </c:pt>
                <c:pt idx="211">
                  <c:v>-6.3402846473622709</c:v>
                </c:pt>
                <c:pt idx="212">
                  <c:v>-6.2680082821725351</c:v>
                </c:pt>
                <c:pt idx="213">
                  <c:v>-6.1856277420932759</c:v>
                </c:pt>
                <c:pt idx="214">
                  <c:v>-6.0931817706056197</c:v>
                </c:pt>
                <c:pt idx="215">
                  <c:v>-5.9907213818040157</c:v>
                </c:pt>
                <c:pt idx="216">
                  <c:v>-5.8783096152952856</c:v>
                </c:pt>
                <c:pt idx="217">
                  <c:v>-5.7560212777912847</c:v>
                </c:pt>
                <c:pt idx="218">
                  <c:v>-5.6239426727667841</c:v>
                </c:pt>
                <c:pt idx="219">
                  <c:v>-5.4821713195645714</c:v>
                </c:pt>
                <c:pt idx="220">
                  <c:v>-5.3308156633229133</c:v>
                </c:pt>
                <c:pt idx="221">
                  <c:v>-5.1699947771130823</c:v>
                </c:pt>
                <c:pt idx="222">
                  <c:v>-4.9998380576477981</c:v>
                </c:pt>
                <c:pt idx="223">
                  <c:v>-4.8204849159136929</c:v>
                </c:pt>
                <c:pt idx="224">
                  <c:v>-4.6320844640508296</c:v>
                </c:pt>
                <c:pt idx="225">
                  <c:v>-4.4347951997784145</c:v>
                </c:pt>
                <c:pt idx="226">
                  <c:v>-4.2287846896221275</c:v>
                </c:pt>
                <c:pt idx="227">
                  <c:v>-4.0142292521583309</c:v>
                </c:pt>
                <c:pt idx="228">
                  <c:v>-3.7913136424458758</c:v>
                </c:pt>
                <c:pt idx="229">
                  <c:v>-3.5602307387537033</c:v>
                </c:pt>
                <c:pt idx="230">
                  <c:v>-3.321181232641869</c:v>
                </c:pt>
                <c:pt idx="231">
                  <c:v>-3.074373323383627</c:v>
                </c:pt>
                <c:pt idx="232">
                  <c:v>-2.8200224176532451</c:v>
                </c:pt>
                <c:pt idx="233">
                  <c:v>-2.5583508353214151</c:v>
                </c:pt>
                <c:pt idx="234">
                  <c:v>-2.2895875221396689</c:v>
                </c:pt>
                <c:pt idx="235">
                  <c:v>-2.0139677699990162</c:v>
                </c:pt>
                <c:pt idx="236">
                  <c:v>-1.7317329453728842</c:v>
                </c:pt>
                <c:pt idx="237">
                  <c:v>-1.4431302264815606</c:v>
                </c:pt>
                <c:pt idx="238">
                  <c:v>-1.1484123495941765</c:v>
                </c:pt>
                <c:pt idx="239">
                  <c:v>-0.84783736484072814</c:v>
                </c:pt>
                <c:pt idx="240">
                  <c:v>-0.54166840177786935</c:v>
                </c:pt>
                <c:pt idx="241">
                  <c:v>-0.23017344488715086</c:v>
                </c:pt>
                <c:pt idx="242">
                  <c:v>8.6374880918054578E-2</c:v>
                </c:pt>
                <c:pt idx="243">
                  <c:v>0.40769951478471589</c:v>
                </c:pt>
                <c:pt idx="244">
                  <c:v>0.7335191545143811</c:v>
                </c:pt>
                <c:pt idx="245">
                  <c:v>1.0635484414415028</c:v>
                </c:pt>
                <c:pt idx="246">
                  <c:v>1.3974981358671108</c:v>
                </c:pt>
                <c:pt idx="247">
                  <c:v>1.7350752834177856</c:v>
                </c:pt>
                <c:pt idx="248">
                  <c:v>2.0759833727358581</c:v>
                </c:pt>
                <c:pt idx="249">
                  <c:v>2.4199224850525409</c:v>
                </c:pt>
                <c:pt idx="250">
                  <c:v>2.7665894362017438</c:v>
                </c:pt>
                <c:pt idx="251">
                  <c:v>3.1156779117525049</c:v>
                </c:pt>
                <c:pt idx="252">
                  <c:v>3.4668785959685864</c:v>
                </c:pt>
                <c:pt idx="253">
                  <c:v>3.819879295390145</c:v>
                </c:pt>
                <c:pt idx="254">
                  <c:v>4.1743650578781537</c:v>
                </c:pt>
                <c:pt idx="255">
                  <c:v>4.5300182880021884</c:v>
                </c:pt>
                <c:pt idx="256">
                  <c:v>4.886518859718997</c:v>
                </c:pt>
                <c:pt idx="257">
                  <c:v>5.2435442273126709</c:v>
                </c:pt>
                <c:pt idx="258">
                  <c:v>5.6007695355975891</c:v>
                </c:pt>
                <c:pt idx="259">
                  <c:v>5.9578677304255931</c:v>
                </c:pt>
                <c:pt idx="260">
                  <c:v>6.314509670549632</c:v>
                </c:pt>
                <c:pt idx="261">
                  <c:v>6.6703642419063014</c:v>
                </c:pt>
                <c:pt idx="262">
                  <c:v>7.0250984753935031</c:v>
                </c:pt>
                <c:pt idx="263">
                  <c:v>7.3783776692125782</c:v>
                </c:pt>
                <c:pt idx="264">
                  <c:v>7.7298655168458055</c:v>
                </c:pt>
                <c:pt idx="265">
                  <c:v>8.0792242417134972</c:v>
                </c:pt>
                <c:pt idx="266">
                  <c:v>8.4261147395413634</c:v>
                </c:pt>
                <c:pt idx="267">
                  <c:v>8.7701967294505589</c:v>
                </c:pt>
                <c:pt idx="268">
                  <c:v>9.1111289147152164</c:v>
                </c:pt>
                <c:pt idx="269">
                  <c:v>9.4485691541404666</c:v>
                </c:pt>
                <c:pt idx="270">
                  <c:v>9.7821746449187721</c:v>
                </c:pt>
                <c:pt idx="271">
                  <c:v>10.111602117803045</c:v>
                </c:pt>
                <c:pt idx="272">
                  <c:v>10.43650804535479</c:v>
                </c:pt>
                <c:pt idx="273">
                  <c:v>10.756548863971203</c:v>
                </c:pt>
                <c:pt idx="274">
                  <c:v>11.071381210321093</c:v>
                </c:pt>
                <c:pt idx="275">
                  <c:v>11.380662172740646</c:v>
                </c:pt>
                <c:pt idx="276">
                  <c:v>11.684049558072136</c:v>
                </c:pt>
                <c:pt idx="277">
                  <c:v>11.981202174320339</c:v>
                </c:pt>
                <c:pt idx="278">
                  <c:v>12.271780129445363</c:v>
                </c:pt>
                <c:pt idx="279">
                  <c:v>12.555445146480604</c:v>
                </c:pt>
                <c:pt idx="280">
                  <c:v>12.831860895109148</c:v>
                </c:pt>
                <c:pt idx="281">
                  <c:v>13.100693339700197</c:v>
                </c:pt>
                <c:pt idx="282">
                  <c:v>13.361611103724696</c:v>
                </c:pt>
                <c:pt idx="283">
                  <c:v>13.614285850370219</c:v>
                </c:pt>
                <c:pt idx="284">
                  <c:v>13.858392679054544</c:v>
                </c:pt>
                <c:pt idx="285">
                  <c:v>14.093610537457597</c:v>
                </c:pt>
                <c:pt idx="286">
                  <c:v>14.319622648565193</c:v>
                </c:pt>
                <c:pt idx="287">
                  <c:v>14.536116952134982</c:v>
                </c:pt>
                <c:pt idx="288">
                  <c:v>14.742786559873403</c:v>
                </c:pt>
                <c:pt idx="289">
                  <c:v>14.939330223522617</c:v>
                </c:pt>
                <c:pt idx="290">
                  <c:v>15.125452814963678</c:v>
                </c:pt>
                <c:pt idx="291">
                  <c:v>15.300865817321707</c:v>
                </c:pt>
                <c:pt idx="292">
                  <c:v>15.465287825991934</c:v>
                </c:pt>
                <c:pt idx="293">
                  <c:v>15.618445058397409</c:v>
                </c:pt>
                <c:pt idx="294">
                  <c:v>15.76007187120757</c:v>
                </c:pt>
                <c:pt idx="295">
                  <c:v>15.889911283664691</c:v>
                </c:pt>
                <c:pt idx="296">
                  <c:v>16.007715505590088</c:v>
                </c:pt>
                <c:pt idx="297">
                  <c:v>16.113246468561655</c:v>
                </c:pt>
                <c:pt idx="298">
                  <c:v>16.206276358696531</c:v>
                </c:pt>
                <c:pt idx="299">
                  <c:v>16.286588149403308</c:v>
                </c:pt>
                <c:pt idx="300">
                  <c:v>16.353976132420705</c:v>
                </c:pt>
                <c:pt idx="301">
                  <c:v>16.408246445407112</c:v>
                </c:pt>
                <c:pt idx="302">
                  <c:v>16.449217594302489</c:v>
                </c:pt>
                <c:pt idx="303">
                  <c:v>16.476720968657386</c:v>
                </c:pt>
                <c:pt idx="304">
                  <c:v>16.490601348086788</c:v>
                </c:pt>
                <c:pt idx="305">
                  <c:v>16.490717397997582</c:v>
                </c:pt>
                <c:pt idx="306">
                  <c:v>16.476942152718969</c:v>
                </c:pt>
                <c:pt idx="307">
                  <c:v>16.449163484169077</c:v>
                </c:pt>
                <c:pt idx="308">
                  <c:v>16.407284554186095</c:v>
                </c:pt>
                <c:pt idx="309">
                  <c:v>16.351224248675404</c:v>
                </c:pt>
                <c:pt idx="310">
                  <c:v>16.280917591738746</c:v>
                </c:pt>
                <c:pt idx="311">
                  <c:v>16.196316137978744</c:v>
                </c:pt>
                <c:pt idx="312">
                  <c:v>16.097388341214852</c:v>
                </c:pt>
                <c:pt idx="313">
                  <c:v>15.98411989788683</c:v>
                </c:pt>
                <c:pt idx="314">
                  <c:v>15.856514063476258</c:v>
                </c:pt>
                <c:pt idx="315">
                  <c:v>15.714591940334373</c:v>
                </c:pt>
                <c:pt idx="316">
                  <c:v>15.558392735378929</c:v>
                </c:pt>
                <c:pt idx="317">
                  <c:v>15.387973986186012</c:v>
                </c:pt>
                <c:pt idx="318">
                  <c:v>15.203411754099141</c:v>
                </c:pt>
                <c:pt idx="319">
                  <c:v>15.004800783052222</c:v>
                </c:pt>
                <c:pt idx="320">
                  <c:v>14.792254622910066</c:v>
                </c:pt>
                <c:pt idx="321">
                  <c:v>14.565905716222071</c:v>
                </c:pt>
                <c:pt idx="322">
                  <c:v>14.325905447396591</c:v>
                </c:pt>
                <c:pt idx="323">
                  <c:v>14.072424153411813</c:v>
                </c:pt>
                <c:pt idx="324">
                  <c:v>13.805651095301412</c:v>
                </c:pt>
                <c:pt idx="325">
                  <c:v>13.525794389764606</c:v>
                </c:pt>
                <c:pt idx="326">
                  <c:v>13.23308090038387</c:v>
                </c:pt>
                <c:pt idx="327">
                  <c:v>12.927756088059336</c:v>
                </c:pt>
                <c:pt idx="328">
                  <c:v>12.610083820391965</c:v>
                </c:pt>
                <c:pt idx="329">
                  <c:v>12.280346139898562</c:v>
                </c:pt>
                <c:pt idx="330">
                  <c:v>11.938842991054273</c:v>
                </c:pt>
                <c:pt idx="331">
                  <c:v>11.585891906316057</c:v>
                </c:pt>
                <c:pt idx="332">
                  <c:v>11.221827651395945</c:v>
                </c:pt>
                <c:pt idx="333">
                  <c:v>10.847001830215193</c:v>
                </c:pt>
                <c:pt idx="334">
                  <c:v>10.461782450079811</c:v>
                </c:pt>
                <c:pt idx="335">
                  <c:v>10.066553447775417</c:v>
                </c:pt>
                <c:pt idx="336">
                  <c:v>9.6617141774017608</c:v>
                </c:pt>
                <c:pt idx="337">
                  <c:v>9.2476788609008409</c:v>
                </c:pt>
                <c:pt idx="338">
                  <c:v>8.8248760023632311</c:v>
                </c:pt>
                <c:pt idx="339">
                  <c:v>8.393747767326218</c:v>
                </c:pt>
                <c:pt idx="340">
                  <c:v>7.9547493283852049</c:v>
                </c:pt>
                <c:pt idx="341">
                  <c:v>7.5083481785849839</c:v>
                </c:pt>
                <c:pt idx="342">
                  <c:v>7.0550234141379011</c:v>
                </c:pt>
                <c:pt idx="343">
                  <c:v>6.5952649881452716</c:v>
                </c:pt>
                <c:pt idx="344">
                  <c:v>6.1295729371008001</c:v>
                </c:pt>
                <c:pt idx="345">
                  <c:v>5.6584565820369015</c:v>
                </c:pt>
                <c:pt idx="346">
                  <c:v>5.1824337062760897</c:v>
                </c:pt>
                <c:pt idx="347">
                  <c:v>4.7020297118265892</c:v>
                </c:pt>
                <c:pt idx="348">
                  <c:v>4.2177767565455326</c:v>
                </c:pt>
                <c:pt idx="349">
                  <c:v>3.730212874245554</c:v>
                </c:pt>
                <c:pt idx="350">
                  <c:v>3.2398810799912008</c:v>
                </c:pt>
                <c:pt idx="351">
                  <c:v>2.7473284628923129</c:v>
                </c:pt>
                <c:pt idx="352">
                  <c:v>2.2531052687190085</c:v>
                </c:pt>
                <c:pt idx="353">
                  <c:v>1.7577639747248113</c:v>
                </c:pt>
                <c:pt idx="354">
                  <c:v>1.261858359075001</c:v>
                </c:pt>
                <c:pt idx="355">
                  <c:v>0.76594256730728993</c:v>
                </c:pt>
                <c:pt idx="356">
                  <c:v>0.27057017824324231</c:v>
                </c:pt>
                <c:pt idx="357">
                  <c:v>-0.22370672821256735</c:v>
                </c:pt>
                <c:pt idx="358">
                  <c:v>-0.71633849896271473</c:v>
                </c:pt>
                <c:pt idx="359">
                  <c:v>-1.2067788288994616</c:v>
                </c:pt>
                <c:pt idx="360">
                  <c:v>-1.69448567300129</c:v>
                </c:pt>
                <c:pt idx="361">
                  <c:v>-2.178922146989493</c:v>
                </c:pt>
                <c:pt idx="362">
                  <c:v>-2.6595574142614087</c:v>
                </c:pt>
                <c:pt idx="363">
                  <c:v>-3.1358675568436847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D5-404D-8EB6-E0A842BF9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928576"/>
        <c:axId val="1"/>
      </c:lineChart>
      <c:catAx>
        <c:axId val="101492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9285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Calculations!$T$1</c:f>
              <c:strCache>
                <c:ptCount val="1"/>
                <c:pt idx="0">
                  <c:v>Sun Declin (deg)</c:v>
                </c:pt>
              </c:strCache>
            </c:strRef>
          </c:tx>
          <c:marker>
            <c:symbol val="none"/>
          </c:marker>
          <c:val>
            <c:numRef>
              <c:f>Calculations!$T$2:$T$367</c:f>
              <c:numCache>
                <c:formatCode>General</c:formatCode>
                <c:ptCount val="366"/>
                <c:pt idx="0">
                  <c:v>-22.94755501172024</c:v>
                </c:pt>
                <c:pt idx="1">
                  <c:v>-22.856585583909624</c:v>
                </c:pt>
                <c:pt idx="2">
                  <c:v>-22.758038501913532</c:v>
                </c:pt>
                <c:pt idx="3">
                  <c:v>-22.651961968610479</c:v>
                </c:pt>
                <c:pt idx="4">
                  <c:v>-22.538407860266318</c:v>
                </c:pt>
                <c:pt idx="5">
                  <c:v>-22.417431643624298</c:v>
                </c:pt>
                <c:pt idx="6">
                  <c:v>-22.289092288280557</c:v>
                </c:pt>
                <c:pt idx="7">
                  <c:v>-22.153452174703993</c:v>
                </c:pt>
                <c:pt idx="8">
                  <c:v>-22.010576998272253</c:v>
                </c:pt>
                <c:pt idx="9">
                  <c:v>-21.860535669700845</c:v>
                </c:pt>
                <c:pt idx="10">
                  <c:v>-21.703400212250209</c:v>
                </c:pt>
                <c:pt idx="11">
                  <c:v>-21.539245656103539</c:v>
                </c:pt>
                <c:pt idx="12">
                  <c:v>-21.368149930292411</c:v>
                </c:pt>
                <c:pt idx="13">
                  <c:v>-21.190193752572636</c:v>
                </c:pt>
                <c:pt idx="14">
                  <c:v>-21.005460517621238</c:v>
                </c:pt>
                <c:pt idx="15">
                  <c:v>-20.814036183936562</c:v>
                </c:pt>
                <c:pt idx="16">
                  <c:v>-20.61600915981575</c:v>
                </c:pt>
                <c:pt idx="17">
                  <c:v>-20.411470188763733</c:v>
                </c:pt>
                <c:pt idx="18">
                  <c:v>-20.200512234687633</c:v>
                </c:pt>
                <c:pt idx="19">
                  <c:v>-19.983230367212141</c:v>
                </c:pt>
                <c:pt idx="20">
                  <c:v>-19.759721647439324</c:v>
                </c:pt>
                <c:pt idx="21">
                  <c:v>-19.530085014462625</c:v>
                </c:pt>
                <c:pt idx="22">
                  <c:v>-19.294421172923133</c:v>
                </c:pt>
                <c:pt idx="23">
                  <c:v>-19.05283248189054</c:v>
                </c:pt>
                <c:pt idx="24">
                  <c:v>-18.805422845317675</c:v>
                </c:pt>
                <c:pt idx="25">
                  <c:v>-18.552297604319971</c:v>
                </c:pt>
                <c:pt idx="26">
                  <c:v>-18.293563431494032</c:v>
                </c:pt>
                <c:pt idx="27">
                  <c:v>-18.029328227478437</c:v>
                </c:pt>
                <c:pt idx="28">
                  <c:v>-17.759701019951653</c:v>
                </c:pt>
                <c:pt idx="29">
                  <c:v>-17.484791865222554</c:v>
                </c:pt>
                <c:pt idx="30">
                  <c:v>-17.204711752571271</c:v>
                </c:pt>
                <c:pt idx="31">
                  <c:v>-16.919572511464551</c:v>
                </c:pt>
                <c:pt idx="32">
                  <c:v>-16.629486721771244</c:v>
                </c:pt>
                <c:pt idx="33">
                  <c:v>-16.334567627058721</c:v>
                </c:pt>
                <c:pt idx="34">
                  <c:v>-16.034929051064459</c:v>
                </c:pt>
                <c:pt idx="35">
                  <c:v>-15.7306853174043</c:v>
                </c:pt>
                <c:pt idx="36">
                  <c:v>-15.421951172561283</c:v>
                </c:pt>
                <c:pt idx="37">
                  <c:v>-15.108841712202821</c:v>
                </c:pt>
                <c:pt idx="38">
                  <c:v>-14.791472310839335</c:v>
                </c:pt>
                <c:pt idx="39">
                  <c:v>-14.469958554833616</c:v>
                </c:pt>
                <c:pt idx="40">
                  <c:v>-14.144416178769655</c:v>
                </c:pt>
                <c:pt idx="41">
                  <c:v>-13.814961005151883</c:v>
                </c:pt>
                <c:pt idx="42">
                  <c:v>-13.481708887425363</c:v>
                </c:pt>
                <c:pt idx="43">
                  <c:v>-13.144775656276803</c:v>
                </c:pt>
                <c:pt idx="44">
                  <c:v>-12.804277069175287</c:v>
                </c:pt>
                <c:pt idx="45">
                  <c:v>-12.460328763103028</c:v>
                </c:pt>
                <c:pt idx="46">
                  <c:v>-12.113046210420567</c:v>
                </c:pt>
                <c:pt idx="47">
                  <c:v>-11.762544677805453</c:v>
                </c:pt>
                <c:pt idx="48">
                  <c:v>-11.408939188185867</c:v>
                </c:pt>
                <c:pt idx="49">
                  <c:v>-11.05234448560951</c:v>
                </c:pt>
                <c:pt idx="50">
                  <c:v>-10.6928750029589</c:v>
                </c:pt>
                <c:pt idx="51">
                  <c:v>-10.330644832426044</c:v>
                </c:pt>
                <c:pt idx="52">
                  <c:v>-9.9657676986833472</c:v>
                </c:pt>
                <c:pt idx="53">
                  <c:v>-9.5983569346333937</c:v>
                </c:pt>
                <c:pt idx="54">
                  <c:v>-9.2285254596682211</c:v>
                </c:pt>
                <c:pt idx="55">
                  <c:v>-8.8563857603359271</c:v>
                </c:pt>
                <c:pt idx="56">
                  <c:v>-8.4820498733269236</c:v>
                </c:pt>
                <c:pt idx="57">
                  <c:v>-8.1056293706777147</c:v>
                </c:pt>
                <c:pt idx="58">
                  <c:v>-7.7272353471033384</c:v>
                </c:pt>
                <c:pt idx="59">
                  <c:v>-7.3469784093638895</c:v>
                </c:pt>
                <c:pt idx="60">
                  <c:v>-6.9649686675588089</c:v>
                </c:pt>
                <c:pt idx="61">
                  <c:v>-6.581315728271588</c:v>
                </c:pt>
                <c:pt idx="62">
                  <c:v>-6.1961286894526175</c:v>
                </c:pt>
                <c:pt idx="63">
                  <c:v>-5.8095161369562947</c:v>
                </c:pt>
                <c:pt idx="64">
                  <c:v>-5.4215861426388967</c:v>
                </c:pt>
                <c:pt idx="65">
                  <c:v>-5.0324462639188257</c:v>
                </c:pt>
                <c:pt idx="66">
                  <c:v>-4.6422035447143699</c:v>
                </c:pt>
                <c:pt idx="67">
                  <c:v>-4.2509645176658966</c:v>
                </c:pt>
                <c:pt idx="68">
                  <c:v>-3.858835207557759</c:v>
                </c:pt>
                <c:pt idx="69">
                  <c:v>-3.4659211358452402</c:v>
                </c:pt>
                <c:pt idx="70">
                  <c:v>-3.0723273262085504</c:v>
                </c:pt>
                <c:pt idx="71">
                  <c:v>-2.6781583110458933</c:v>
                </c:pt>
                <c:pt idx="72">
                  <c:v>-2.2835181388190433</c:v>
                </c:pt>
                <c:pt idx="73">
                  <c:v>-1.8885103821836573</c:v>
                </c:pt>
                <c:pt idx="74">
                  <c:v>-1.4932381468022227</c:v>
                </c:pt>
                <c:pt idx="75">
                  <c:v>-1.0978040807825529</c:v>
                </c:pt>
                <c:pt idx="76">
                  <c:v>-0.70231038464885365</c:v>
                </c:pt>
                <c:pt idx="77">
                  <c:v>-0.30685882177885393</c:v>
                </c:pt>
                <c:pt idx="78">
                  <c:v>8.8449270772644029E-2</c:v>
                </c:pt>
                <c:pt idx="79">
                  <c:v>0.48351297113605785</c:v>
                </c:pt>
                <c:pt idx="80">
                  <c:v>0.87823176124493407</c:v>
                </c:pt>
                <c:pt idx="81">
                  <c:v>1.2725055152868634</c:v>
                </c:pt>
                <c:pt idx="82">
                  <c:v>1.6662344880548083</c:v>
                </c:pt>
                <c:pt idx="83">
                  <c:v>2.0593193032616459</c:v>
                </c:pt>
                <c:pt idx="84">
                  <c:v>2.4516609418964244</c:v>
                </c:pt>
                <c:pt idx="85">
                  <c:v>2.8431607306861477</c:v>
                </c:pt>
                <c:pt idx="86">
                  <c:v>3.2337203307277145</c:v>
                </c:pt>
                <c:pt idx="87">
                  <c:v>3.6232417263551087</c:v>
                </c:pt>
                <c:pt idx="88">
                  <c:v>4.0116272143129841</c:v>
                </c:pt>
                <c:pt idx="89">
                  <c:v>4.398779393298927</c:v>
                </c:pt>
                <c:pt idx="90">
                  <c:v>4.7846011539270616</c:v>
                </c:pt>
                <c:pt idx="91">
                  <c:v>5.1689956692013386</c:v>
                </c:pt>
                <c:pt idx="92">
                  <c:v>5.551866385532195</c:v>
                </c:pt>
                <c:pt idx="93">
                  <c:v>5.9331170143851804</c:v>
                </c:pt>
                <c:pt idx="94">
                  <c:v>6.312651524600752</c:v>
                </c:pt>
                <c:pt idx="95">
                  <c:v>6.6903741354656496</c:v>
                </c:pt>
                <c:pt idx="96">
                  <c:v>7.0661893105817928</c:v>
                </c:pt>
                <c:pt idx="97">
                  <c:v>7.4400017526043518</c:v>
                </c:pt>
                <c:pt idx="98">
                  <c:v>7.8117163989015284</c:v>
                </c:pt>
                <c:pt idx="99">
                  <c:v>8.1812384181946847</c:v>
                </c:pt>
                <c:pt idx="100">
                  <c:v>8.5484732082468575</c:v>
                </c:pt>
                <c:pt idx="101">
                  <c:v>8.9133263946449564</c:v>
                </c:pt>
                <c:pt idx="102">
                  <c:v>9.2757038307349937</c:v>
                </c:pt>
                <c:pt idx="103">
                  <c:v>9.6355115987837099</c:v>
                </c:pt>
                <c:pt idx="104">
                  <c:v>9.992656012388796</c:v>
                </c:pt>
                <c:pt idx="105">
                  <c:v>10.347043620225383</c:v>
                </c:pt>
                <c:pt idx="106">
                  <c:v>10.698581211159894</c:v>
                </c:pt>
                <c:pt idx="107">
                  <c:v>11.047175820791521</c:v>
                </c:pt>
                <c:pt idx="108">
                  <c:v>11.392734739466427</c:v>
                </c:pt>
                <c:pt idx="109">
                  <c:v>11.735165521819189</c:v>
                </c:pt>
                <c:pt idx="110">
                  <c:v>12.07437599788194</c:v>
                </c:pt>
                <c:pt idx="111">
                  <c:v>12.410274285804503</c:v>
                </c:pt>
                <c:pt idx="112">
                  <c:v>12.742768806236079</c:v>
                </c:pt>
                <c:pt idx="113">
                  <c:v>13.071768298395464</c:v>
                </c:pt>
                <c:pt idx="114">
                  <c:v>13.397181837873099</c:v>
                </c:pt>
                <c:pt idx="115">
                  <c:v>13.718918856197197</c:v>
                </c:pt>
                <c:pt idx="116">
                  <c:v>14.036889162194504</c:v>
                </c:pt>
                <c:pt idx="117">
                  <c:v>14.351002965168361</c:v>
                </c:pt>
                <c:pt idx="118">
                  <c:v>14.661170899918819</c:v>
                </c:pt>
                <c:pt idx="119">
                  <c:v>14.967304053622577</c:v>
                </c:pt>
                <c:pt idx="120">
                  <c:v>15.269313994582976</c:v>
                </c:pt>
                <c:pt idx="121">
                  <c:v>15.567112802864308</c:v>
                </c:pt>
                <c:pt idx="122">
                  <c:v>15.860613102808284</c:v>
                </c:pt>
                <c:pt idx="123">
                  <c:v>16.149728097429328</c:v>
                </c:pt>
                <c:pt idx="124">
                  <c:v>16.434371604692235</c:v>
                </c:pt>
                <c:pt idx="125">
                  <c:v>16.714458095635756</c:v>
                </c:pt>
                <c:pt idx="126">
                  <c:v>16.989902734346497</c:v>
                </c:pt>
                <c:pt idx="127">
                  <c:v>17.260621419736513</c:v>
                </c:pt>
                <c:pt idx="128">
                  <c:v>17.526530829101109</c:v>
                </c:pt>
                <c:pt idx="129">
                  <c:v>17.78754846341204</c:v>
                </c:pt>
                <c:pt idx="130">
                  <c:v>18.043592694292144</c:v>
                </c:pt>
                <c:pt idx="131">
                  <c:v>18.29458281262475</c:v>
                </c:pt>
                <c:pt idx="132">
                  <c:v>18.540439078723139</c:v>
                </c:pt>
                <c:pt idx="133">
                  <c:v>18.781082773995028</c:v>
                </c:pt>
                <c:pt idx="134">
                  <c:v>19.016436254018714</c:v>
                </c:pt>
                <c:pt idx="135">
                  <c:v>19.246423002938222</c:v>
                </c:pt>
                <c:pt idx="136">
                  <c:v>19.470967689086873</c:v>
                </c:pt>
                <c:pt idx="137">
                  <c:v>19.68999622173148</c:v>
                </c:pt>
                <c:pt idx="138">
                  <c:v>19.903435808823033</c:v>
                </c:pt>
                <c:pt idx="139">
                  <c:v>20.111215015631689</c:v>
                </c:pt>
                <c:pt idx="140">
                  <c:v>20.313263824143185</c:v>
                </c:pt>
                <c:pt idx="141">
                  <c:v>20.509513693070321</c:v>
                </c:pt>
                <c:pt idx="142">
                  <c:v>20.699897618345812</c:v>
                </c:pt>
                <c:pt idx="143">
                  <c:v>20.884350193937454</c:v>
                </c:pt>
                <c:pt idx="144">
                  <c:v>21.062807672836882</c:v>
                </c:pt>
                <c:pt idx="145">
                  <c:v>21.235208028049101</c:v>
                </c:pt>
                <c:pt idx="146">
                  <c:v>21.40149101342341</c:v>
                </c:pt>
                <c:pt idx="147">
                  <c:v>21.56159822414719</c:v>
                </c:pt>
                <c:pt idx="148">
                  <c:v>21.715473156725253</c:v>
                </c:pt>
                <c:pt idx="149">
                  <c:v>21.863061268267032</c:v>
                </c:pt>
                <c:pt idx="150">
                  <c:v>22.004310034894534</c:v>
                </c:pt>
                <c:pt idx="151">
                  <c:v>22.139169009087759</c:v>
                </c:pt>
                <c:pt idx="152">
                  <c:v>22.267589875779411</c:v>
                </c:pt>
                <c:pt idx="153">
                  <c:v>22.389526507015319</c:v>
                </c:pt>
                <c:pt idx="154">
                  <c:v>22.504935014992007</c:v>
                </c:pt>
                <c:pt idx="155">
                  <c:v>22.613773803289583</c:v>
                </c:pt>
                <c:pt idx="156">
                  <c:v>22.716003616118691</c:v>
                </c:pt>
                <c:pt idx="157">
                  <c:v>22.811587585403842</c:v>
                </c:pt>
                <c:pt idx="158">
                  <c:v>22.900491275532115</c:v>
                </c:pt>
                <c:pt idx="159">
                  <c:v>22.982682725602285</c:v>
                </c:pt>
                <c:pt idx="160">
                  <c:v>23.058132489009811</c:v>
                </c:pt>
                <c:pt idx="161">
                  <c:v>23.126813670223285</c:v>
                </c:pt>
                <c:pt idx="162">
                  <c:v>23.188701958604515</c:v>
                </c:pt>
                <c:pt idx="163">
                  <c:v>23.243775659141356</c:v>
                </c:pt>
                <c:pt idx="164">
                  <c:v>23.292015719969985</c:v>
                </c:pt>
                <c:pt idx="165">
                  <c:v>23.333405756576997</c:v>
                </c:pt>
                <c:pt idx="166">
                  <c:v>23.367932072579769</c:v>
                </c:pt>
                <c:pt idx="167">
                  <c:v>23.395583677001419</c:v>
                </c:pt>
                <c:pt idx="168">
                  <c:v>23.416352297965382</c:v>
                </c:pt>
                <c:pt idx="169">
                  <c:v>23.430232392751662</c:v>
                </c:pt>
                <c:pt idx="170">
                  <c:v>23.437221154169031</c:v>
                </c:pt>
                <c:pt idx="171">
                  <c:v>23.437318513212947</c:v>
                </c:pt>
                <c:pt idx="172">
                  <c:v>23.430527137993732</c:v>
                </c:pt>
                <c:pt idx="173">
                  <c:v>23.416852428933698</c:v>
                </c:pt>
                <c:pt idx="174">
                  <c:v>23.396302510247878</c:v>
                </c:pt>
                <c:pt idx="175">
                  <c:v>23.368888217736057</c:v>
                </c:pt>
                <c:pt idx="176">
                  <c:v>23.334623082931266</c:v>
                </c:pt>
                <c:pt idx="177">
                  <c:v>23.293523313660504</c:v>
                </c:pt>
                <c:pt idx="178">
                  <c:v>23.245607771090736</c:v>
                </c:pt>
                <c:pt idx="179">
                  <c:v>23.190897943344428</c:v>
                </c:pt>
                <c:pt idx="180">
                  <c:v>23.129417915783442</c:v>
                </c:pt>
                <c:pt idx="181">
                  <c:v>23.061194338070365</c:v>
                </c:pt>
                <c:pt idx="182">
                  <c:v>22.98625638812981</c:v>
                </c:pt>
                <c:pt idx="183">
                  <c:v>22.90463573314274</c:v>
                </c:pt>
                <c:pt idx="184">
                  <c:v>22.816366487713864</c:v>
                </c:pt>
                <c:pt idx="185">
                  <c:v>22.721485169367401</c:v>
                </c:pt>
                <c:pt idx="186">
                  <c:v>22.620030651525752</c:v>
                </c:pt>
                <c:pt idx="187">
                  <c:v>22.512044114143656</c:v>
                </c:pt>
                <c:pt idx="188">
                  <c:v>22.397568992164814</c:v>
                </c:pt>
                <c:pt idx="189">
                  <c:v>22.276650921980362</c:v>
                </c:pt>
                <c:pt idx="190">
                  <c:v>22.149337686077327</c:v>
                </c:pt>
                <c:pt idx="191">
                  <c:v>22.015679156049881</c:v>
                </c:pt>
                <c:pt idx="192">
                  <c:v>21.875727234172938</c:v>
                </c:pt>
                <c:pt idx="193">
                  <c:v>21.729535793717705</c:v>
                </c:pt>
                <c:pt idx="194">
                  <c:v>21.577160618201859</c:v>
                </c:pt>
                <c:pt idx="195">
                  <c:v>21.418659339760303</c:v>
                </c:pt>
                <c:pt idx="196">
                  <c:v>21.254091376822554</c:v>
                </c:pt>
                <c:pt idx="197">
                  <c:v>21.083517871281586</c:v>
                </c:pt>
                <c:pt idx="198">
                  <c:v>20.907001625330633</c:v>
                </c:pt>
                <c:pt idx="199">
                  <c:v>20.724607038149195</c:v>
                </c:pt>
                <c:pt idx="200">
                  <c:v>20.536400042602768</c:v>
                </c:pt>
                <c:pt idx="201">
                  <c:v>20.342448042130673</c:v>
                </c:pt>
                <c:pt idx="202">
                  <c:v>20.142819847973353</c:v>
                </c:pt>
                <c:pt idx="203">
                  <c:v>19.937585616899955</c:v>
                </c:pt>
                <c:pt idx="204">
                  <c:v>19.726816789577398</c:v>
                </c:pt>
                <c:pt idx="205">
                  <c:v>19.510586029724521</c:v>
                </c:pt>
                <c:pt idx="206">
                  <c:v>19.288967164179326</c:v>
                </c:pt>
                <c:pt idx="207">
                  <c:v>19.062035124009235</c:v>
                </c:pt>
                <c:pt idx="208">
                  <c:v>18.829865886774943</c:v>
                </c:pt>
                <c:pt idx="209">
                  <c:v>18.592536420057154</c:v>
                </c:pt>
                <c:pt idx="210">
                  <c:v>18.350124626348379</c:v>
                </c:pt>
                <c:pt idx="211">
                  <c:v>18.102709289398938</c:v>
                </c:pt>
                <c:pt idx="212">
                  <c:v>17.850370022103274</c:v>
                </c:pt>
                <c:pt idx="213">
                  <c:v>17.593187215997002</c:v>
                </c:pt>
                <c:pt idx="214">
                  <c:v>17.331241992436471</c:v>
                </c:pt>
                <c:pt idx="215">
                  <c:v>17.064616155519786</c:v>
                </c:pt>
                <c:pt idx="216">
                  <c:v>16.793392146794812</c:v>
                </c:pt>
                <c:pt idx="217">
                  <c:v>16.517653001806949</c:v>
                </c:pt>
                <c:pt idx="218">
                  <c:v>16.237482308515759</c:v>
                </c:pt>
                <c:pt idx="219">
                  <c:v>15.95296416761804</c:v>
                </c:pt>
                <c:pt idx="220">
                  <c:v>15.664183154786004</c:v>
                </c:pt>
                <c:pt idx="221">
                  <c:v>15.371224284855337</c:v>
                </c:pt>
                <c:pt idx="222">
                  <c:v>15.074172977959904</c:v>
                </c:pt>
                <c:pt idx="223">
                  <c:v>14.77311502761782</c:v>
                </c:pt>
                <c:pt idx="224">
                  <c:v>14.468136570778338</c:v>
                </c:pt>
                <c:pt idx="225">
                  <c:v>14.159324059809494</c:v>
                </c:pt>
                <c:pt idx="226">
                  <c:v>13.846764236424375</c:v>
                </c:pt>
                <c:pt idx="227">
                  <c:v>13.530544107522628</c:v>
                </c:pt>
                <c:pt idx="228">
                  <c:v>13.210750922939418</c:v>
                </c:pt>
                <c:pt idx="229">
                  <c:v>12.887472155059314</c:v>
                </c:pt>
                <c:pt idx="230">
                  <c:v>12.560795480281817</c:v>
                </c:pt>
                <c:pt idx="231">
                  <c:v>12.230808762304314</c:v>
                </c:pt>
                <c:pt idx="232">
                  <c:v>11.897600037179133</c:v>
                </c:pt>
                <c:pt idx="233">
                  <c:v>11.561257500123316</c:v>
                </c:pt>
                <c:pt idx="234">
                  <c:v>11.221869494025457</c:v>
                </c:pt>
                <c:pt idx="235">
                  <c:v>10.879524499620189</c:v>
                </c:pt>
                <c:pt idx="236">
                  <c:v>10.534311127278288</c:v>
                </c:pt>
                <c:pt idx="237">
                  <c:v>10.186318110364596</c:v>
                </c:pt>
                <c:pt idx="238">
                  <c:v>9.8356343001368689</c:v>
                </c:pt>
                <c:pt idx="239">
                  <c:v>9.4823486621009483</c:v>
                </c:pt>
                <c:pt idx="240">
                  <c:v>9.1265502738078315</c:v>
                </c:pt>
                <c:pt idx="241">
                  <c:v>8.7683283240176966</c:v>
                </c:pt>
                <c:pt idx="242">
                  <c:v>8.4077721131904077</c:v>
                </c:pt>
                <c:pt idx="243">
                  <c:v>8.0449710552449201</c:v>
                </c:pt>
                <c:pt idx="244">
                  <c:v>7.6800146805385836</c:v>
                </c:pt>
                <c:pt idx="245">
                  <c:v>7.3129926400050564</c:v>
                </c:pt>
                <c:pt idx="246">
                  <c:v>6.9439947104023974</c:v>
                </c:pt>
                <c:pt idx="247">
                  <c:v>6.573110800618764</c:v>
                </c:pt>
                <c:pt idx="248">
                  <c:v>6.2004309589613626</c:v>
                </c:pt>
                <c:pt idx="249">
                  <c:v>5.8260453814111974</c:v>
                </c:pt>
                <c:pt idx="250">
                  <c:v>5.450044420742298</c:v>
                </c:pt>
                <c:pt idx="251">
                  <c:v>5.0725185964847768</c:v>
                </c:pt>
                <c:pt idx="252">
                  <c:v>4.6935586056523153</c:v>
                </c:pt>
                <c:pt idx="253">
                  <c:v>4.3132553341958051</c:v>
                </c:pt>
                <c:pt idx="254">
                  <c:v>3.9316998691136527</c:v>
                </c:pt>
                <c:pt idx="255">
                  <c:v>3.5489835111610462</c:v>
                </c:pt>
                <c:pt idx="256">
                  <c:v>3.1651977881147779</c:v>
                </c:pt>
                <c:pt idx="257">
                  <c:v>2.7804344685194367</c:v>
                </c:pt>
                <c:pt idx="258">
                  <c:v>2.3947855758643271</c:v>
                </c:pt>
                <c:pt idx="259">
                  <c:v>2.0083434031383005</c:v>
                </c:pt>
                <c:pt idx="260">
                  <c:v>1.6212005276937473</c:v>
                </c:pt>
                <c:pt idx="261">
                  <c:v>1.2334498263642792</c:v>
                </c:pt>
                <c:pt idx="262">
                  <c:v>0.84518449077877178</c:v>
                </c:pt>
                <c:pt idx="263">
                  <c:v>0.456498042807849</c:v>
                </c:pt>
                <c:pt idx="264">
                  <c:v>6.74843500861248E-2</c:v>
                </c:pt>
                <c:pt idx="265">
                  <c:v>-0.32176235845922962</c:v>
                </c:pt>
                <c:pt idx="266">
                  <c:v>-0.71114747712988391</c:v>
                </c:pt>
                <c:pt idx="267">
                  <c:v>-1.1005760080898175</c:v>
                </c:pt>
                <c:pt idx="268">
                  <c:v>-1.4899525461909531</c:v>
                </c:pt>
                <c:pt idx="269">
                  <c:v>-1.8791812640280046</c:v>
                </c:pt>
                <c:pt idx="270">
                  <c:v>-2.2681658973224383</c:v>
                </c:pt>
                <c:pt idx="271">
                  <c:v>-2.6568097306783094</c:v>
                </c:pt>
                <c:pt idx="272">
                  <c:v>-3.045015583794902</c:v>
                </c:pt>
                <c:pt idx="273">
                  <c:v>-3.4326857981989489</c:v>
                </c:pt>
                <c:pt idx="274">
                  <c:v>-3.8197222245720188</c:v>
                </c:pt>
                <c:pt idx="275">
                  <c:v>-4.2060262107474458</c:v>
                </c:pt>
                <c:pt idx="276">
                  <c:v>-4.5914985904474017</c:v>
                </c:pt>
                <c:pt idx="277">
                  <c:v>-4.9760396728492315</c:v>
                </c:pt>
                <c:pt idx="278">
                  <c:v>-5.3595492330405312</c:v>
                </c:pt>
                <c:pt idx="279">
                  <c:v>-5.7419265034667815</c:v>
                </c:pt>
                <c:pt idx="280">
                  <c:v>-6.1230701664272242</c:v>
                </c:pt>
                <c:pt idx="281">
                  <c:v>-6.502878347728867</c:v>
                </c:pt>
                <c:pt idx="282">
                  <c:v>-6.8812486115657041</c:v>
                </c:pt>
                <c:pt idx="283">
                  <c:v>-7.258077956713664</c:v>
                </c:pt>
                <c:pt idx="284">
                  <c:v>-7.6332628141398748</c:v>
                </c:pt>
                <c:pt idx="285">
                  <c:v>-8.0066990460982392</c:v>
                </c:pt>
                <c:pt idx="286">
                  <c:v>-8.3782819468209517</c:v>
                </c:pt>
                <c:pt idx="287">
                  <c:v>-8.7479062448834739</c:v>
                </c:pt>
                <c:pt idx="288">
                  <c:v>-9.1154661073506063</c:v>
                </c:pt>
                <c:pt idx="289">
                  <c:v>-9.4808551457857586</c:v>
                </c:pt>
                <c:pt idx="290">
                  <c:v>-9.8439664242215787</c:v>
                </c:pt>
                <c:pt idx="291">
                  <c:v>-10.204692469201154</c:v>
                </c:pt>
                <c:pt idx="292">
                  <c:v>-10.562925281963418</c:v>
                </c:pt>
                <c:pt idx="293">
                  <c:v>-10.918556352889164</c:v>
                </c:pt>
                <c:pt idx="294">
                  <c:v>-11.271476678292224</c:v>
                </c:pt>
                <c:pt idx="295">
                  <c:v>-11.621576779655774</c:v>
                </c:pt>
                <c:pt idx="296">
                  <c:v>-11.968746725404399</c:v>
                </c:pt>
                <c:pt idx="297">
                  <c:v>-12.312876155310931</c:v>
                </c:pt>
                <c:pt idx="298">
                  <c:v>-12.653854307622185</c:v>
                </c:pt>
                <c:pt idx="299">
                  <c:v>-12.99157004899943</c:v>
                </c:pt>
                <c:pt idx="300">
                  <c:v>-13.325911907346237</c:v>
                </c:pt>
                <c:pt idx="301">
                  <c:v>-13.656768107624487</c:v>
                </c:pt>
                <c:pt idx="302">
                  <c:v>-13.984026610721097</c:v>
                </c:pt>
                <c:pt idx="303">
                  <c:v>-14.307575155442368</c:v>
                </c:pt>
                <c:pt idx="304">
                  <c:v>-14.627301303711649</c:v>
                </c:pt>
                <c:pt idx="305">
                  <c:v>-14.9430924890169</c:v>
                </c:pt>
                <c:pt idx="306">
                  <c:v>-15.254836068177926</c:v>
                </c:pt>
                <c:pt idx="307">
                  <c:v>-15.562419376470549</c:v>
                </c:pt>
                <c:pt idx="308">
                  <c:v>-15.865729786150327</c:v>
                </c:pt>
                <c:pt idx="309">
                  <c:v>-16.164654768401892</c:v>
                </c:pt>
                <c:pt idx="310">
                  <c:v>-16.459081958738764</c:v>
                </c:pt>
                <c:pt idx="311">
                  <c:v>-16.748899225856402</c:v>
                </c:pt>
                <c:pt idx="312">
                  <c:v>-17.033994743935928</c:v>
                </c:pt>
                <c:pt idx="313">
                  <c:v>-17.314257068386798</c:v>
                </c:pt>
                <c:pt idx="314">
                  <c:v>-17.589575214993996</c:v>
                </c:pt>
                <c:pt idx="315">
                  <c:v>-17.859838742429385</c:v>
                </c:pt>
                <c:pt idx="316">
                  <c:v>-18.124937838066089</c:v>
                </c:pt>
                <c:pt idx="317">
                  <c:v>-18.384763407026444</c:v>
                </c:pt>
                <c:pt idx="318">
                  <c:v>-18.639207164368912</c:v>
                </c:pt>
                <c:pt idx="319">
                  <c:v>-18.888161730308727</c:v>
                </c:pt>
                <c:pt idx="320">
                  <c:v>-19.131520728348104</c:v>
                </c:pt>
                <c:pt idx="321">
                  <c:v>-19.369178886171241</c:v>
                </c:pt>
                <c:pt idx="322">
                  <c:v>-19.601032139148217</c:v>
                </c:pt>
                <c:pt idx="323">
                  <c:v>-19.826977736261984</c:v>
                </c:pt>
                <c:pt idx="324">
                  <c:v>-20.046914348269265</c:v>
                </c:pt>
                <c:pt idx="325">
                  <c:v>-20.260742177868369</c:v>
                </c:pt>
                <c:pt idx="326">
                  <c:v>-20.468363071649801</c:v>
                </c:pt>
                <c:pt idx="327">
                  <c:v>-20.669680633567751</c:v>
                </c:pt>
                <c:pt idx="328">
                  <c:v>-20.864600339667721</c:v>
                </c:pt>
                <c:pt idx="329">
                  <c:v>-21.053029653779706</c:v>
                </c:pt>
                <c:pt idx="330">
                  <c:v>-21.234878143869082</c:v>
                </c:pt>
                <c:pt idx="331">
                  <c:v>-21.410057598731601</c:v>
                </c:pt>
                <c:pt idx="332">
                  <c:v>-21.578482144690948</c:v>
                </c:pt>
                <c:pt idx="333">
                  <c:v>-21.740068361956169</c:v>
                </c:pt>
                <c:pt idx="334">
                  <c:v>-21.894735400275202</c:v>
                </c:pt>
                <c:pt idx="335">
                  <c:v>-22.042405093516287</c:v>
                </c:pt>
                <c:pt idx="336">
                  <c:v>-22.183002072798434</c:v>
                </c:pt>
                <c:pt idx="337">
                  <c:v>-22.316453877784404</c:v>
                </c:pt>
                <c:pt idx="338">
                  <c:v>-22.442691065749187</c:v>
                </c:pt>
                <c:pt idx="339">
                  <c:v>-22.561647318029316</c:v>
                </c:pt>
                <c:pt idx="340">
                  <c:v>-22.673259543460972</c:v>
                </c:pt>
                <c:pt idx="341">
                  <c:v>-22.777467978420077</c:v>
                </c:pt>
                <c:pt idx="342">
                  <c:v>-22.874216283074045</c:v>
                </c:pt>
                <c:pt idx="343">
                  <c:v>-22.963451633471436</c:v>
                </c:pt>
                <c:pt idx="344">
                  <c:v>-23.045124809100834</c:v>
                </c:pt>
                <c:pt idx="345">
                  <c:v>-23.11919027556003</c:v>
                </c:pt>
                <c:pt idx="346">
                  <c:v>-23.185606261998174</c:v>
                </c:pt>
                <c:pt idx="347">
                  <c:v>-23.244334833004277</c:v>
                </c:pt>
                <c:pt idx="348">
                  <c:v>-23.295341954640001</c:v>
                </c:pt>
                <c:pt idx="349">
                  <c:v>-23.338597554331731</c:v>
                </c:pt>
                <c:pt idx="350">
                  <c:v>-23.374075574365971</c:v>
                </c:pt>
                <c:pt idx="351">
                  <c:v>-23.401754018755142</c:v>
                </c:pt>
                <c:pt idx="352">
                  <c:v>-23.421614993267585</c:v>
                </c:pt>
                <c:pt idx="353">
                  <c:v>-23.433644738449278</c:v>
                </c:pt>
                <c:pt idx="354">
                  <c:v>-23.437833655491204</c:v>
                </c:pt>
                <c:pt idx="355">
                  <c:v>-23.434176324830577</c:v>
                </c:pt>
                <c:pt idx="356">
                  <c:v>-23.422671517406624</c:v>
                </c:pt>
                <c:pt idx="357">
                  <c:v>-23.403322198524691</c:v>
                </c:pt>
                <c:pt idx="358">
                  <c:v>-23.376135524316684</c:v>
                </c:pt>
                <c:pt idx="359">
                  <c:v>-23.341122830819486</c:v>
                </c:pt>
                <c:pt idx="360">
                  <c:v>-23.298299615727277</c:v>
                </c:pt>
                <c:pt idx="361">
                  <c:v>-23.247685512905402</c:v>
                </c:pt>
                <c:pt idx="362">
                  <c:v>-23.18930425978866</c:v>
                </c:pt>
                <c:pt idx="363">
                  <c:v>-23.123183657815673</c:v>
                </c:pt>
                <c:pt idx="364">
                  <c:v>-23.049355526081666</c:v>
                </c:pt>
                <c:pt idx="365">
                  <c:v>-22.967855648424123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28-4345-BC45-6B9B1C88B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738704"/>
        <c:axId val="1"/>
      </c:lineChart>
      <c:catAx>
        <c:axId val="166273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7387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Solar Panel Insolation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Fixed panel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Calculations!$AP$2:$AP$367</c:f>
              <c:numCache>
                <c:formatCode>General</c:formatCode>
                <c:ptCount val="366"/>
                <c:pt idx="0">
                  <c:v>4218.9507122577716</c:v>
                </c:pt>
                <c:pt idx="1">
                  <c:v>4230.431994959541</c:v>
                </c:pt>
                <c:pt idx="2">
                  <c:v>4242.8356675144205</c:v>
                </c:pt>
                <c:pt idx="3">
                  <c:v>4256.1484983879691</c:v>
                </c:pt>
                <c:pt idx="4">
                  <c:v>4270.3226739107095</c:v>
                </c:pt>
                <c:pt idx="5">
                  <c:v>4285.4106374685744</c:v>
                </c:pt>
                <c:pt idx="6">
                  <c:v>4301.3618751384811</c:v>
                </c:pt>
                <c:pt idx="7">
                  <c:v>4318.1592839984187</c:v>
                </c:pt>
                <c:pt idx="8">
                  <c:v>4335.7848705119204</c:v>
                </c:pt>
                <c:pt idx="9">
                  <c:v>4354.2525335613582</c:v>
                </c:pt>
                <c:pt idx="10">
                  <c:v>4373.4775144635623</c:v>
                </c:pt>
                <c:pt idx="11">
                  <c:v>4393.4718886684996</c:v>
                </c:pt>
                <c:pt idx="12">
                  <c:v>4414.2144548354572</c:v>
                </c:pt>
                <c:pt idx="13">
                  <c:v>4435.6832988639326</c:v>
                </c:pt>
                <c:pt idx="14">
                  <c:v>4457.8883960301928</c:v>
                </c:pt>
                <c:pt idx="15">
                  <c:v>4480.7426943754708</c:v>
                </c:pt>
                <c:pt idx="16">
                  <c:v>4504.2851424496948</c:v>
                </c:pt>
                <c:pt idx="17">
                  <c:v>4528.4303611702871</c:v>
                </c:pt>
                <c:pt idx="18">
                  <c:v>4553.2140474462676</c:v>
                </c:pt>
                <c:pt idx="19">
                  <c:v>4578.5513998412889</c:v>
                </c:pt>
                <c:pt idx="20">
                  <c:v>4604.476215748391</c:v>
                </c:pt>
                <c:pt idx="21">
                  <c:v>4630.9033147863065</c:v>
                </c:pt>
                <c:pt idx="22">
                  <c:v>4657.8658404008438</c:v>
                </c:pt>
                <c:pt idx="23">
                  <c:v>4685.306857344709</c:v>
                </c:pt>
                <c:pt idx="24">
                  <c:v>4713.1997017319709</c:v>
                </c:pt>
                <c:pt idx="25">
                  <c:v>4741.4904474166106</c:v>
                </c:pt>
                <c:pt idx="26">
                  <c:v>4770.2070440802199</c:v>
                </c:pt>
                <c:pt idx="27">
                  <c:v>4799.294044520324</c:v>
                </c:pt>
                <c:pt idx="28">
                  <c:v>4828.7240654056632</c:v>
                </c:pt>
                <c:pt idx="29">
                  <c:v>4858.4696403785865</c:v>
                </c:pt>
                <c:pt idx="30">
                  <c:v>4888.5032588549302</c:v>
                </c:pt>
                <c:pt idx="31">
                  <c:v>4918.7974036959504</c:v>
                </c:pt>
                <c:pt idx="32">
                  <c:v>4949.3245877637501</c:v>
                </c:pt>
                <c:pt idx="33">
                  <c:v>4980.057389369902</c:v>
                </c:pt>
                <c:pt idx="34">
                  <c:v>5010.9684866206726</c:v>
                </c:pt>
                <c:pt idx="35">
                  <c:v>5042.0306906616997</c:v>
                </c:pt>
                <c:pt idx="36">
                  <c:v>5073.2169778240086</c:v>
                </c:pt>
                <c:pt idx="37">
                  <c:v>5104.5005206707674</c:v>
                </c:pt>
                <c:pt idx="38">
                  <c:v>5135.8547179462885</c:v>
                </c:pt>
                <c:pt idx="39">
                  <c:v>5167.25322342852</c:v>
                </c:pt>
                <c:pt idx="40">
                  <c:v>5198.6699736858864</c:v>
                </c:pt>
                <c:pt idx="41">
                  <c:v>5230.0792147430548</c:v>
                </c:pt>
                <c:pt idx="42">
                  <c:v>5261.4756322667608</c:v>
                </c:pt>
                <c:pt idx="43">
                  <c:v>5292.7939828585531</c:v>
                </c:pt>
                <c:pt idx="44">
                  <c:v>5324.0296971537764</c:v>
                </c:pt>
                <c:pt idx="45">
                  <c:v>5355.1585015846449</c:v>
                </c:pt>
                <c:pt idx="46">
                  <c:v>5386.1742575946364</c:v>
                </c:pt>
                <c:pt idx="47">
                  <c:v>5417.0182380287133</c:v>
                </c:pt>
                <c:pt idx="48">
                  <c:v>5447.6851427336715</c:v>
                </c:pt>
                <c:pt idx="49">
                  <c:v>5478.1525187389461</c:v>
                </c:pt>
                <c:pt idx="50">
                  <c:v>5508.4141505238576</c:v>
                </c:pt>
                <c:pt idx="51">
                  <c:v>5538.4172348070806</c:v>
                </c:pt>
                <c:pt idx="52">
                  <c:v>5568.1565056813952</c:v>
                </c:pt>
                <c:pt idx="53">
                  <c:v>5597.6254844939021</c:v>
                </c:pt>
                <c:pt idx="54">
                  <c:v>5626.7766887633225</c:v>
                </c:pt>
                <c:pt idx="55">
                  <c:v>5655.6046887396406</c:v>
                </c:pt>
                <c:pt idx="56">
                  <c:v>5684.1029775358693</c:v>
                </c:pt>
                <c:pt idx="57">
                  <c:v>5712.2292485079279</c:v>
                </c:pt>
                <c:pt idx="58">
                  <c:v>5739.9886128453791</c:v>
                </c:pt>
                <c:pt idx="59">
                  <c:v>5767.3432783691187</c:v>
                </c:pt>
                <c:pt idx="60">
                  <c:v>5794.2874865743906</c:v>
                </c:pt>
                <c:pt idx="61">
                  <c:v>5820.8144695594974</c:v>
                </c:pt>
                <c:pt idx="62">
                  <c:v>5846.8914988841889</c:v>
                </c:pt>
                <c:pt idx="63">
                  <c:v>5872.5204566030588</c:v>
                </c:pt>
                <c:pt idx="64">
                  <c:v>5897.672876181603</c:v>
                </c:pt>
                <c:pt idx="65">
                  <c:v>5922.3431503964057</c:v>
                </c:pt>
                <c:pt idx="66">
                  <c:v>5946.5245288916449</c:v>
                </c:pt>
                <c:pt idx="67">
                  <c:v>5970.1937261086332</c:v>
                </c:pt>
                <c:pt idx="68">
                  <c:v>5993.349714068052</c:v>
                </c:pt>
                <c:pt idx="69">
                  <c:v>6015.9733432032554</c:v>
                </c:pt>
                <c:pt idx="70">
                  <c:v>6038.0593188594275</c:v>
                </c:pt>
                <c:pt idx="71">
                  <c:v>6059.6009301197355</c:v>
                </c:pt>
                <c:pt idx="72">
                  <c:v>6080.5844610916256</c:v>
                </c:pt>
                <c:pt idx="73">
                  <c:v>6101.0059015210145</c:v>
                </c:pt>
                <c:pt idx="74">
                  <c:v>6120.8556039105742</c:v>
                </c:pt>
                <c:pt idx="75">
                  <c:v>6140.1286547870604</c:v>
                </c:pt>
                <c:pt idx="76">
                  <c:v>6158.8203175931385</c:v>
                </c:pt>
                <c:pt idx="77">
                  <c:v>6176.9265211101629</c:v>
                </c:pt>
                <c:pt idx="78">
                  <c:v>6194.4430867111541</c:v>
                </c:pt>
                <c:pt idx="79">
                  <c:v>6211.3674152944113</c:v>
                </c:pt>
                <c:pt idx="80">
                  <c:v>6227.6968899377807</c:v>
                </c:pt>
                <c:pt idx="81">
                  <c:v>6243.4314936304263</c:v>
                </c:pt>
                <c:pt idx="82">
                  <c:v>6258.5713197250543</c:v>
                </c:pt>
                <c:pt idx="83">
                  <c:v>6273.11507348134</c:v>
                </c:pt>
                <c:pt idx="84">
                  <c:v>6287.0634015164514</c:v>
                </c:pt>
                <c:pt idx="85">
                  <c:v>6300.4205902358681</c:v>
                </c:pt>
                <c:pt idx="86">
                  <c:v>6313.1880599575807</c:v>
                </c:pt>
                <c:pt idx="87">
                  <c:v>6325.370886421053</c:v>
                </c:pt>
                <c:pt idx="88">
                  <c:v>6336.9692627938912</c:v>
                </c:pt>
                <c:pt idx="89">
                  <c:v>6347.9869272949927</c:v>
                </c:pt>
                <c:pt idx="90">
                  <c:v>6358.4331988058766</c:v>
                </c:pt>
                <c:pt idx="91">
                  <c:v>6368.3113980623793</c:v>
                </c:pt>
                <c:pt idx="92">
                  <c:v>6377.6303846189558</c:v>
                </c:pt>
                <c:pt idx="93">
                  <c:v>6386.3908853896719</c:v>
                </c:pt>
                <c:pt idx="94">
                  <c:v>6394.5991341286699</c:v>
                </c:pt>
                <c:pt idx="95">
                  <c:v>6402.2689089054566</c:v>
                </c:pt>
                <c:pt idx="96">
                  <c:v>6409.4047691956475</c:v>
                </c:pt>
                <c:pt idx="97">
                  <c:v>6416.0187546738689</c:v>
                </c:pt>
                <c:pt idx="98">
                  <c:v>6422.1116686928563</c:v>
                </c:pt>
                <c:pt idx="99">
                  <c:v>6427.696111289235</c:v>
                </c:pt>
                <c:pt idx="100">
                  <c:v>6432.7768027330867</c:v>
                </c:pt>
                <c:pt idx="101">
                  <c:v>6437.3721015248329</c:v>
                </c:pt>
                <c:pt idx="102">
                  <c:v>6441.4875770048911</c:v>
                </c:pt>
                <c:pt idx="103">
                  <c:v>6445.1384291428949</c:v>
                </c:pt>
                <c:pt idx="104">
                  <c:v>6448.3253046773907</c:v>
                </c:pt>
                <c:pt idx="105">
                  <c:v>6451.063827056485</c:v>
                </c:pt>
                <c:pt idx="106">
                  <c:v>6453.3595784832778</c:v>
                </c:pt>
                <c:pt idx="107">
                  <c:v>6455.2346935612422</c:v>
                </c:pt>
                <c:pt idx="108">
                  <c:v>6456.6954235144522</c:v>
                </c:pt>
                <c:pt idx="109">
                  <c:v>6457.7535848771377</c:v>
                </c:pt>
                <c:pt idx="110">
                  <c:v>6458.4272679848718</c:v>
                </c:pt>
                <c:pt idx="111">
                  <c:v>6458.7167692071025</c:v>
                </c:pt>
                <c:pt idx="112">
                  <c:v>6458.6404610239106</c:v>
                </c:pt>
                <c:pt idx="113">
                  <c:v>6458.2109945597322</c:v>
                </c:pt>
                <c:pt idx="114">
                  <c:v>6457.4411983156187</c:v>
                </c:pt>
                <c:pt idx="115">
                  <c:v>6456.337405703629</c:v>
                </c:pt>
                <c:pt idx="116">
                  <c:v>6454.9259706093844</c:v>
                </c:pt>
                <c:pt idx="117">
                  <c:v>6453.2136314656491</c:v>
                </c:pt>
                <c:pt idx="118">
                  <c:v>6451.2137976495005</c:v>
                </c:pt>
                <c:pt idx="119">
                  <c:v>6448.9399909211379</c:v>
                </c:pt>
                <c:pt idx="120">
                  <c:v>6446.4058319696969</c:v>
                </c:pt>
                <c:pt idx="121">
                  <c:v>6443.6250267974938</c:v>
                </c:pt>
                <c:pt idx="122">
                  <c:v>6440.6113529419554</c:v>
                </c:pt>
                <c:pt idx="123">
                  <c:v>6437.3786455359332</c:v>
                </c:pt>
                <c:pt idx="124">
                  <c:v>6433.9407832086908</c:v>
                </c:pt>
                <c:pt idx="125">
                  <c:v>6430.3116738311683</c:v>
                </c:pt>
                <c:pt idx="126">
                  <c:v>6426.5052401106841</c:v>
                </c:pt>
                <c:pt idx="127">
                  <c:v>6422.5354050413744</c:v>
                </c:pt>
                <c:pt idx="128">
                  <c:v>6418.4160772180549</c:v>
                </c:pt>
                <c:pt idx="129">
                  <c:v>6414.1611360227098</c:v>
                </c:pt>
                <c:pt idx="130">
                  <c:v>6409.792375104751</c:v>
                </c:pt>
                <c:pt idx="131">
                  <c:v>6405.3077162703057</c:v>
                </c:pt>
                <c:pt idx="132">
                  <c:v>6400.7287545663366</c:v>
                </c:pt>
                <c:pt idx="133">
                  <c:v>6396.0691023011241</c:v>
                </c:pt>
                <c:pt idx="134">
                  <c:v>6391.3340732879496</c:v>
                </c:pt>
                <c:pt idx="135">
                  <c:v>6386.553389537642</c:v>
                </c:pt>
                <c:pt idx="136">
                  <c:v>6381.732164394266</c:v>
                </c:pt>
                <c:pt idx="137">
                  <c:v>6376.8918444078781</c:v>
                </c:pt>
                <c:pt idx="138">
                  <c:v>6372.028719860391</c:v>
                </c:pt>
                <c:pt idx="139">
                  <c:v>6367.1554055518427</c:v>
                </c:pt>
                <c:pt idx="140">
                  <c:v>6362.3012878634254</c:v>
                </c:pt>
                <c:pt idx="141">
                  <c:v>6357.478838209805</c:v>
                </c:pt>
                <c:pt idx="142">
                  <c:v>6352.6831764032031</c:v>
                </c:pt>
                <c:pt idx="143">
                  <c:v>6347.9260634908596</c:v>
                </c:pt>
                <c:pt idx="144">
                  <c:v>6343.2448978237308</c:v>
                </c:pt>
                <c:pt idx="145">
                  <c:v>6338.6252483767257</c:v>
                </c:pt>
                <c:pt idx="146">
                  <c:v>6334.0780784464187</c:v>
                </c:pt>
                <c:pt idx="147">
                  <c:v>6329.6402262448173</c:v>
                </c:pt>
                <c:pt idx="148">
                  <c:v>6325.2873147134524</c:v>
                </c:pt>
                <c:pt idx="149">
                  <c:v>6321.0556297163503</c:v>
                </c:pt>
                <c:pt idx="150">
                  <c:v>6316.9550311629464</c:v>
                </c:pt>
                <c:pt idx="151">
                  <c:v>6312.9685419442212</c:v>
                </c:pt>
                <c:pt idx="152">
                  <c:v>6309.1404731084776</c:v>
                </c:pt>
                <c:pt idx="153">
                  <c:v>6305.4441645218221</c:v>
                </c:pt>
                <c:pt idx="154">
                  <c:v>6301.9144489383352</c:v>
                </c:pt>
                <c:pt idx="155">
                  <c:v>6298.5592751751365</c:v>
                </c:pt>
                <c:pt idx="156">
                  <c:v>6295.3594059068691</c:v>
                </c:pt>
                <c:pt idx="157">
                  <c:v>6292.3575506038678</c:v>
                </c:pt>
                <c:pt idx="158">
                  <c:v>6289.5246151709234</c:v>
                </c:pt>
                <c:pt idx="159">
                  <c:v>6286.8935954502931</c:v>
                </c:pt>
                <c:pt idx="160">
                  <c:v>6284.4702641648291</c:v>
                </c:pt>
                <c:pt idx="161">
                  <c:v>6282.2419537032138</c:v>
                </c:pt>
                <c:pt idx="162">
                  <c:v>6280.2134425857448</c:v>
                </c:pt>
                <c:pt idx="163">
                  <c:v>6278.4070569222158</c:v>
                </c:pt>
                <c:pt idx="164">
                  <c:v>6276.8266846069992</c:v>
                </c:pt>
                <c:pt idx="165">
                  <c:v>6275.4576845877755</c:v>
                </c:pt>
                <c:pt idx="166">
                  <c:v>6274.3119556192923</c:v>
                </c:pt>
                <c:pt idx="167">
                  <c:v>6273.3918995111717</c:v>
                </c:pt>
                <c:pt idx="168">
                  <c:v>6272.6903915999474</c:v>
                </c:pt>
                <c:pt idx="169">
                  <c:v>6272.2269066089748</c:v>
                </c:pt>
                <c:pt idx="170">
                  <c:v>6271.9933290181616</c:v>
                </c:pt>
                <c:pt idx="171">
                  <c:v>6271.9900741093952</c:v>
                </c:pt>
                <c:pt idx="172">
                  <c:v>6272.2170584864734</c:v>
                </c:pt>
                <c:pt idx="173">
                  <c:v>6272.6737007595921</c:v>
                </c:pt>
                <c:pt idx="174">
                  <c:v>6273.3679525008174</c:v>
                </c:pt>
                <c:pt idx="175">
                  <c:v>6274.2801781555727</c:v>
                </c:pt>
                <c:pt idx="176">
                  <c:v>6275.4173465685017</c:v>
                </c:pt>
                <c:pt idx="177">
                  <c:v>6276.7769061143808</c:v>
                </c:pt>
                <c:pt idx="178">
                  <c:v>6278.3468153206895</c:v>
                </c:pt>
                <c:pt idx="179">
                  <c:v>6280.1415819690592</c:v>
                </c:pt>
                <c:pt idx="180">
                  <c:v>6282.1571944548978</c:v>
                </c:pt>
                <c:pt idx="181">
                  <c:v>6284.3712131364291</c:v>
                </c:pt>
                <c:pt idx="182">
                  <c:v>6286.7787587302837</c:v>
                </c:pt>
                <c:pt idx="183">
                  <c:v>6289.3924127168066</c:v>
                </c:pt>
                <c:pt idx="184">
                  <c:v>6292.2063299149204</c:v>
                </c:pt>
                <c:pt idx="185">
                  <c:v>6295.187454838926</c:v>
                </c:pt>
                <c:pt idx="186">
                  <c:v>6298.3648439945155</c:v>
                </c:pt>
                <c:pt idx="187">
                  <c:v>6301.704648677709</c:v>
                </c:pt>
                <c:pt idx="188">
                  <c:v>6305.1994387045543</c:v>
                </c:pt>
                <c:pt idx="189">
                  <c:v>6308.8679439909156</c:v>
                </c:pt>
                <c:pt idx="190">
                  <c:v>6312.6664715170391</c:v>
                </c:pt>
                <c:pt idx="191">
                  <c:v>6316.6217409140017</c:v>
                </c:pt>
                <c:pt idx="192">
                  <c:v>6320.6895070788669</c:v>
                </c:pt>
                <c:pt idx="193">
                  <c:v>6324.8955999552654</c:v>
                </c:pt>
                <c:pt idx="194">
                  <c:v>6329.2040199134954</c:v>
                </c:pt>
                <c:pt idx="195">
                  <c:v>6333.6048671096041</c:v>
                </c:pt>
                <c:pt idx="196">
                  <c:v>6338.1139384676098</c:v>
                </c:pt>
                <c:pt idx="197">
                  <c:v>6342.6859366027711</c:v>
                </c:pt>
                <c:pt idx="198">
                  <c:v>6347.3359964480087</c:v>
                </c:pt>
                <c:pt idx="199">
                  <c:v>6352.0528938905127</c:v>
                </c:pt>
                <c:pt idx="200">
                  <c:v>6356.7995741033465</c:v>
                </c:pt>
                <c:pt idx="201">
                  <c:v>6361.5901162506916</c:v>
                </c:pt>
                <c:pt idx="202">
                  <c:v>6366.4125760449542</c:v>
                </c:pt>
                <c:pt idx="203">
                  <c:v>6371.2379941750842</c:v>
                </c:pt>
                <c:pt idx="204">
                  <c:v>6376.0542794823095</c:v>
                </c:pt>
                <c:pt idx="205">
                  <c:v>6380.8657887547506</c:v>
                </c:pt>
                <c:pt idx="206">
                  <c:v>6385.6515639352856</c:v>
                </c:pt>
                <c:pt idx="207">
                  <c:v>6390.4071036122887</c:v>
                </c:pt>
                <c:pt idx="208">
                  <c:v>6395.1031074686734</c:v>
                </c:pt>
                <c:pt idx="209">
                  <c:v>6399.7348767300855</c:v>
                </c:pt>
                <c:pt idx="210">
                  <c:v>6404.2813190647785</c:v>
                </c:pt>
                <c:pt idx="211">
                  <c:v>6408.7454192290279</c:v>
                </c:pt>
                <c:pt idx="212">
                  <c:v>6413.1058639421626</c:v>
                </c:pt>
                <c:pt idx="213">
                  <c:v>6417.3493738876859</c:v>
                </c:pt>
                <c:pt idx="214">
                  <c:v>6421.4626242830054</c:v>
                </c:pt>
                <c:pt idx="215">
                  <c:v>6425.4322588718023</c:v>
                </c:pt>
                <c:pt idx="216">
                  <c:v>6429.2525305465697</c:v>
                </c:pt>
                <c:pt idx="217">
                  <c:v>6432.8947301643002</c:v>
                </c:pt>
                <c:pt idx="218">
                  <c:v>6436.3531909726344</c:v>
                </c:pt>
                <c:pt idx="219">
                  <c:v>6439.6145675154185</c:v>
                </c:pt>
                <c:pt idx="220">
                  <c:v>6442.6655503969232</c:v>
                </c:pt>
                <c:pt idx="221">
                  <c:v>6445.4928792581259</c:v>
                </c:pt>
                <c:pt idx="222">
                  <c:v>6448.0833555669869</c:v>
                </c:pt>
                <c:pt idx="223">
                  <c:v>6450.4238552213146</c:v>
                </c:pt>
                <c:pt idx="224">
                  <c:v>6452.501340964116</c:v>
                </c:pt>
                <c:pt idx="225">
                  <c:v>6454.2960623795498</c:v>
                </c:pt>
                <c:pt idx="226">
                  <c:v>6455.8089245919873</c:v>
                </c:pt>
                <c:pt idx="227">
                  <c:v>6457.0203073254961</c:v>
                </c:pt>
                <c:pt idx="228">
                  <c:v>6457.9176412662555</c:v>
                </c:pt>
                <c:pt idx="229">
                  <c:v>6458.488503303578</c:v>
                </c:pt>
                <c:pt idx="230">
                  <c:v>6458.720627897178</c:v>
                </c:pt>
                <c:pt idx="231">
                  <c:v>6458.6019182974123</c:v>
                </c:pt>
                <c:pt idx="232">
                  <c:v>6458.1264341140786</c:v>
                </c:pt>
                <c:pt idx="233">
                  <c:v>6457.2703606628138</c:v>
                </c:pt>
                <c:pt idx="234">
                  <c:v>6456.0282815000237</c:v>
                </c:pt>
                <c:pt idx="235">
                  <c:v>6454.3888847264698</c:v>
                </c:pt>
                <c:pt idx="236">
                  <c:v>6452.34108165616</c:v>
                </c:pt>
                <c:pt idx="237">
                  <c:v>6449.8687628265734</c:v>
                </c:pt>
                <c:pt idx="238">
                  <c:v>6446.9719849767625</c:v>
                </c:pt>
                <c:pt idx="239">
                  <c:v>6443.6349854062992</c:v>
                </c:pt>
                <c:pt idx="240">
                  <c:v>6439.852443834905</c:v>
                </c:pt>
                <c:pt idx="241">
                  <c:v>6435.60484038092</c:v>
                </c:pt>
                <c:pt idx="242">
                  <c:v>6430.8875863002313</c:v>
                </c:pt>
                <c:pt idx="243">
                  <c:v>6425.6914571350007</c:v>
                </c:pt>
                <c:pt idx="244">
                  <c:v>6420.0034803051058</c:v>
                </c:pt>
                <c:pt idx="245">
                  <c:v>6413.8233708983362</c:v>
                </c:pt>
                <c:pt idx="246">
                  <c:v>6407.1386304858124</c:v>
                </c:pt>
                <c:pt idx="247">
                  <c:v>6399.9448363291958</c:v>
                </c:pt>
                <c:pt idx="248">
                  <c:v>6392.2272748104533</c:v>
                </c:pt>
                <c:pt idx="249">
                  <c:v>6383.9824563899829</c:v>
                </c:pt>
                <c:pt idx="250">
                  <c:v>6375.2007205873579</c:v>
                </c:pt>
                <c:pt idx="251">
                  <c:v>6365.881667134885</c:v>
                </c:pt>
                <c:pt idx="252">
                  <c:v>6356.0187367886965</c:v>
                </c:pt>
                <c:pt idx="253">
                  <c:v>6345.6012781712107</c:v>
                </c:pt>
                <c:pt idx="254">
                  <c:v>6334.6269330689274</c:v>
                </c:pt>
                <c:pt idx="255">
                  <c:v>6323.0892935043694</c:v>
                </c:pt>
                <c:pt idx="256">
                  <c:v>6310.9882379796873</c:v>
                </c:pt>
                <c:pt idx="257">
                  <c:v>6298.3182016967276</c:v>
                </c:pt>
                <c:pt idx="258">
                  <c:v>6285.0775228683833</c:v>
                </c:pt>
                <c:pt idx="259">
                  <c:v>6271.2611218499251</c:v>
                </c:pt>
                <c:pt idx="260">
                  <c:v>6256.8678162340557</c:v>
                </c:pt>
                <c:pt idx="261">
                  <c:v>6241.8985577512531</c:v>
                </c:pt>
                <c:pt idx="262">
                  <c:v>6226.3518723517318</c:v>
                </c:pt>
                <c:pt idx="263">
                  <c:v>6210.2286032399716</c:v>
                </c:pt>
                <c:pt idx="264">
                  <c:v>6193.5287276887202</c:v>
                </c:pt>
                <c:pt idx="265">
                  <c:v>6176.2544363783227</c:v>
                </c:pt>
                <c:pt idx="266">
                  <c:v>6158.4090414081948</c:v>
                </c:pt>
                <c:pt idx="267">
                  <c:v>6139.9955877688108</c:v>
                </c:pt>
                <c:pt idx="268">
                  <c:v>6121.0181455538341</c:v>
                </c:pt>
                <c:pt idx="269">
                  <c:v>6101.4810842714642</c:v>
                </c:pt>
                <c:pt idx="270">
                  <c:v>6081.3888741815963</c:v>
                </c:pt>
                <c:pt idx="271">
                  <c:v>6060.750710213807</c:v>
                </c:pt>
                <c:pt idx="272">
                  <c:v>6039.5728753762005</c:v>
                </c:pt>
                <c:pt idx="273">
                  <c:v>6017.8600260164367</c:v>
                </c:pt>
                <c:pt idx="274">
                  <c:v>5995.6268061392575</c:v>
                </c:pt>
                <c:pt idx="275">
                  <c:v>5972.8748218129977</c:v>
                </c:pt>
                <c:pt idx="276">
                  <c:v>5949.6228095144406</c:v>
                </c:pt>
                <c:pt idx="277">
                  <c:v>5925.8767759842513</c:v>
                </c:pt>
                <c:pt idx="278">
                  <c:v>5901.6413155160108</c:v>
                </c:pt>
                <c:pt idx="279">
                  <c:v>5876.9405064899029</c:v>
                </c:pt>
                <c:pt idx="280">
                  <c:v>5851.780382893392</c:v>
                </c:pt>
                <c:pt idx="281">
                  <c:v>5826.1656957901587</c:v>
                </c:pt>
                <c:pt idx="282">
                  <c:v>5800.1257559449341</c:v>
                </c:pt>
                <c:pt idx="283">
                  <c:v>5773.6570465715413</c:v>
                </c:pt>
                <c:pt idx="284">
                  <c:v>5746.7932970443371</c:v>
                </c:pt>
                <c:pt idx="285">
                  <c:v>5719.540154791599</c:v>
                </c:pt>
                <c:pt idx="286">
                  <c:v>5691.9020130522358</c:v>
                </c:pt>
                <c:pt idx="287">
                  <c:v>5663.9179166666509</c:v>
                </c:pt>
                <c:pt idx="288">
                  <c:v>5635.5934468518526</c:v>
                </c:pt>
                <c:pt idx="289">
                  <c:v>5606.9328972580352</c:v>
                </c:pt>
                <c:pt idx="290">
                  <c:v>5577.9807004154954</c:v>
                </c:pt>
                <c:pt idx="291">
                  <c:v>5548.7422485929901</c:v>
                </c:pt>
                <c:pt idx="292">
                  <c:v>5519.2366757866557</c:v>
                </c:pt>
                <c:pt idx="293">
                  <c:v>5489.4685272893075</c:v>
                </c:pt>
                <c:pt idx="294">
                  <c:v>5459.4882558513691</c:v>
                </c:pt>
                <c:pt idx="295">
                  <c:v>5429.301401523092</c:v>
                </c:pt>
                <c:pt idx="296">
                  <c:v>5398.9291522352014</c:v>
                </c:pt>
                <c:pt idx="297">
                  <c:v>5368.3758721159056</c:v>
                </c:pt>
                <c:pt idx="298">
                  <c:v>5337.698301839795</c:v>
                </c:pt>
                <c:pt idx="299">
                  <c:v>5306.9017085207715</c:v>
                </c:pt>
                <c:pt idx="300">
                  <c:v>5276.0091097090462</c:v>
                </c:pt>
                <c:pt idx="301">
                  <c:v>5245.0439386593553</c:v>
                </c:pt>
                <c:pt idx="302">
                  <c:v>5214.0099646729768</c:v>
                </c:pt>
                <c:pt idx="303">
                  <c:v>5182.9713967811804</c:v>
                </c:pt>
                <c:pt idx="304">
                  <c:v>5151.9328221427695</c:v>
                </c:pt>
                <c:pt idx="305">
                  <c:v>5120.919134470666</c:v>
                </c:pt>
                <c:pt idx="306">
                  <c:v>5089.9555379732828</c:v>
                </c:pt>
                <c:pt idx="307">
                  <c:v>5059.0675231079349</c:v>
                </c:pt>
                <c:pt idx="308">
                  <c:v>5028.2808412370023</c:v>
                </c:pt>
                <c:pt idx="309">
                  <c:v>4997.6214781760445</c:v>
                </c:pt>
                <c:pt idx="310">
                  <c:v>4967.1156266224925</c:v>
                </c:pt>
                <c:pt idx="311">
                  <c:v>4936.7896574554334</c:v>
                </c:pt>
                <c:pt idx="312">
                  <c:v>4906.6700898961217</c:v>
                </c:pt>
                <c:pt idx="313">
                  <c:v>4876.7835605178025</c:v>
                </c:pt>
                <c:pt idx="314">
                  <c:v>4847.1567910940066</c:v>
                </c:pt>
                <c:pt idx="315">
                  <c:v>4817.8165552709152</c:v>
                </c:pt>
                <c:pt idx="316">
                  <c:v>4788.7896440478971</c:v>
                </c:pt>
                <c:pt idx="317">
                  <c:v>4760.1301845790449</c:v>
                </c:pt>
                <c:pt idx="318">
                  <c:v>4731.811361279174</c:v>
                </c:pt>
                <c:pt idx="319">
                  <c:v>4703.8861274193523</c:v>
                </c:pt>
                <c:pt idx="320">
                  <c:v>4676.3809934341689</c:v>
                </c:pt>
                <c:pt idx="321">
                  <c:v>4649.3514239569149</c:v>
                </c:pt>
                <c:pt idx="322">
                  <c:v>4622.7669880168278</c:v>
                </c:pt>
                <c:pt idx="323">
                  <c:v>4596.6812129461096</c:v>
                </c:pt>
                <c:pt idx="324">
                  <c:v>4571.1505005571407</c:v>
                </c:pt>
                <c:pt idx="325">
                  <c:v>4546.1406946375027</c:v>
                </c:pt>
                <c:pt idx="326">
                  <c:v>4521.7369071174689</c:v>
                </c:pt>
                <c:pt idx="327">
                  <c:v>4497.9034747851965</c:v>
                </c:pt>
                <c:pt idx="328">
                  <c:v>4474.7260087906498</c:v>
                </c:pt>
                <c:pt idx="329">
                  <c:v>4452.1660460368576</c:v>
                </c:pt>
                <c:pt idx="330">
                  <c:v>4430.310730225171</c:v>
                </c:pt>
                <c:pt idx="331">
                  <c:v>4409.1506954362776</c:v>
                </c:pt>
                <c:pt idx="332">
                  <c:v>4388.7084334519486</c:v>
                </c:pt>
                <c:pt idx="333">
                  <c:v>4368.9736701376032</c:v>
                </c:pt>
                <c:pt idx="334">
                  <c:v>4350.0322086042343</c:v>
                </c:pt>
                <c:pt idx="335">
                  <c:v>4331.8718984804218</c:v>
                </c:pt>
                <c:pt idx="336">
                  <c:v>4314.5125007310953</c:v>
                </c:pt>
                <c:pt idx="337">
                  <c:v>4297.9730000836798</c:v>
                </c:pt>
                <c:pt idx="338">
                  <c:v>4282.2715691849717</c:v>
                </c:pt>
                <c:pt idx="339">
                  <c:v>4267.4255329247017</c:v>
                </c:pt>
                <c:pt idx="340">
                  <c:v>4253.451332903689</c:v>
                </c:pt>
                <c:pt idx="341">
                  <c:v>4240.3992483426282</c:v>
                </c:pt>
                <c:pt idx="342">
                  <c:v>4228.2156336029184</c:v>
                </c:pt>
                <c:pt idx="343">
                  <c:v>4216.9478100181204</c:v>
                </c:pt>
                <c:pt idx="344">
                  <c:v>4206.6434367051097</c:v>
                </c:pt>
                <c:pt idx="345">
                  <c:v>4197.2459162348669</c:v>
                </c:pt>
                <c:pt idx="346">
                  <c:v>4188.8341344109103</c:v>
                </c:pt>
                <c:pt idx="347">
                  <c:v>4181.3499362024149</c:v>
                </c:pt>
                <c:pt idx="348">
                  <c:v>4174.8703787510985</c:v>
                </c:pt>
                <c:pt idx="349">
                  <c:v>4169.3338722134613</c:v>
                </c:pt>
                <c:pt idx="350">
                  <c:v>4164.8174012768459</c:v>
                </c:pt>
                <c:pt idx="351">
                  <c:v>4161.2907965676068</c:v>
                </c:pt>
                <c:pt idx="352">
                  <c:v>4158.7586003767165</c:v>
                </c:pt>
                <c:pt idx="353">
                  <c:v>4157.2241889613424</c:v>
                </c:pt>
                <c:pt idx="354">
                  <c:v>4156.6897686536286</c:v>
                </c:pt>
                <c:pt idx="355">
                  <c:v>4157.1563727623425</c:v>
                </c:pt>
                <c:pt idx="356">
                  <c:v>4158.6238593150874</c:v>
                </c:pt>
                <c:pt idx="357">
                  <c:v>4161.0909096602636</c:v>
                </c:pt>
                <c:pt idx="358">
                  <c:v>4164.5550279199288</c:v>
                </c:pt>
                <c:pt idx="359">
                  <c:v>4169.0125412561274</c:v>
                </c:pt>
                <c:pt idx="360">
                  <c:v>4174.494382289864</c:v>
                </c:pt>
                <c:pt idx="361">
                  <c:v>4180.9245693792445</c:v>
                </c:pt>
                <c:pt idx="362">
                  <c:v>4188.3653209867261</c:v>
                </c:pt>
                <c:pt idx="363">
                  <c:v>4196.7405768112721</c:v>
                </c:pt>
                <c:pt idx="364">
                  <c:v>4206.1090307794821</c:v>
                </c:pt>
                <c:pt idx="365">
                  <c:v>4216.3927676162384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D-F14B-A750-C28B2FACB8A7}"/>
            </c:ext>
          </c:extLst>
        </c:ser>
        <c:ser>
          <c:idx val="1"/>
          <c:order val="1"/>
          <c:tx>
            <c:v>Dual Axis Tracker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Calculations!$AQ$2:$AQ$367</c:f>
              <c:numCache>
                <c:formatCode>General</c:formatCode>
                <c:ptCount val="366"/>
                <c:pt idx="0">
                  <c:v>5495.6326126002796</c:v>
                </c:pt>
                <c:pt idx="1">
                  <c:v>5509.7944115135942</c:v>
                </c:pt>
                <c:pt idx="2">
                  <c:v>5525.0974531858374</c:v>
                </c:pt>
                <c:pt idx="3">
                  <c:v>5541.5285766562492</c:v>
                </c:pt>
                <c:pt idx="4">
                  <c:v>5558.9523236785672</c:v>
                </c:pt>
                <c:pt idx="5">
                  <c:v>5577.5970392096706</c:v>
                </c:pt>
                <c:pt idx="6">
                  <c:v>5597.3232194188704</c:v>
                </c:pt>
                <c:pt idx="7">
                  <c:v>5618.1136356302532</c:v>
                </c:pt>
                <c:pt idx="8">
                  <c:v>5639.9501566977606</c:v>
                </c:pt>
                <c:pt idx="9">
                  <c:v>5662.9357186713796</c:v>
                </c:pt>
                <c:pt idx="10">
                  <c:v>5686.8089788067764</c:v>
                </c:pt>
                <c:pt idx="11">
                  <c:v>5711.6697788477913</c:v>
                </c:pt>
                <c:pt idx="12">
                  <c:v>5737.4968940912895</c:v>
                </c:pt>
                <c:pt idx="13">
                  <c:v>5764.2684343047713</c:v>
                </c:pt>
                <c:pt idx="14">
                  <c:v>5792.0878795965764</c:v>
                </c:pt>
                <c:pt idx="15">
                  <c:v>5820.6860365269476</c:v>
                </c:pt>
                <c:pt idx="16">
                  <c:v>5850.2839036852856</c:v>
                </c:pt>
                <c:pt idx="17">
                  <c:v>5880.6173784254461</c:v>
                </c:pt>
                <c:pt idx="18">
                  <c:v>5911.9030394469592</c:v>
                </c:pt>
                <c:pt idx="19">
                  <c:v>5943.8772597253574</c:v>
                </c:pt>
                <c:pt idx="20">
                  <c:v>5976.7570767172338</c:v>
                </c:pt>
                <c:pt idx="21">
                  <c:v>6010.2749645662061</c:v>
                </c:pt>
                <c:pt idx="22">
                  <c:v>6044.6531586486744</c:v>
                </c:pt>
                <c:pt idx="23">
                  <c:v>6079.7420346930121</c:v>
                </c:pt>
                <c:pt idx="24">
                  <c:v>6115.5177012680988</c:v>
                </c:pt>
                <c:pt idx="25">
                  <c:v>6151.8368947104727</c:v>
                </c:pt>
                <c:pt idx="26">
                  <c:v>6188.9167564934005</c:v>
                </c:pt>
                <c:pt idx="27">
                  <c:v>6226.6108188861572</c:v>
                </c:pt>
                <c:pt idx="28">
                  <c:v>6264.8950970496007</c:v>
                </c:pt>
                <c:pt idx="29">
                  <c:v>6303.7456786537596</c:v>
                </c:pt>
                <c:pt idx="30">
                  <c:v>6343.1387626181277</c:v>
                </c:pt>
                <c:pt idx="31">
                  <c:v>6383.0506948361062</c:v>
                </c:pt>
                <c:pt idx="32">
                  <c:v>6423.4580010478121</c:v>
                </c:pt>
                <c:pt idx="33">
                  <c:v>6464.3374170129773</c:v>
                </c:pt>
                <c:pt idx="34">
                  <c:v>6505.6659161196112</c:v>
                </c:pt>
                <c:pt idx="35">
                  <c:v>6547.4207345553059</c:v>
                </c:pt>
                <c:pt idx="36">
                  <c:v>6589.5793941599341</c:v>
                </c:pt>
                <c:pt idx="37">
                  <c:v>6632.1197230690113</c:v>
                </c:pt>
                <c:pt idx="38">
                  <c:v>6675.0198742546554</c:v>
                </c:pt>
                <c:pt idx="39">
                  <c:v>6718.2583420650108</c:v>
                </c:pt>
                <c:pt idx="40">
                  <c:v>6761.813976858858</c:v>
                </c:pt>
                <c:pt idx="41">
                  <c:v>6805.6659978322468</c:v>
                </c:pt>
                <c:pt idx="42">
                  <c:v>6849.9183070962845</c:v>
                </c:pt>
                <c:pt idx="43">
                  <c:v>6894.3055712712612</c:v>
                </c:pt>
                <c:pt idx="44">
                  <c:v>6938.9295600691376</c:v>
                </c:pt>
                <c:pt idx="45">
                  <c:v>6983.7710775430915</c:v>
                </c:pt>
                <c:pt idx="46">
                  <c:v>7028.9346048326015</c:v>
                </c:pt>
                <c:pt idx="47">
                  <c:v>7074.1594487053699</c:v>
                </c:pt>
                <c:pt idx="48">
                  <c:v>7119.5470936531683</c:v>
                </c:pt>
                <c:pt idx="49">
                  <c:v>7165.0800194503263</c:v>
                </c:pt>
                <c:pt idx="50">
                  <c:v>7210.8667444873063</c:v>
                </c:pt>
                <c:pt idx="51">
                  <c:v>7256.6444700722832</c:v>
                </c:pt>
                <c:pt idx="52">
                  <c:v>7302.5178430181886</c:v>
                </c:pt>
                <c:pt idx="53">
                  <c:v>7348.5963601265457</c:v>
                </c:pt>
                <c:pt idx="54">
                  <c:v>7394.6195643929268</c:v>
                </c:pt>
                <c:pt idx="55">
                  <c:v>7440.6925793611717</c:v>
                </c:pt>
                <c:pt idx="56">
                  <c:v>7486.9271837288779</c:v>
                </c:pt>
                <c:pt idx="57">
                  <c:v>7533.0625535236313</c:v>
                </c:pt>
                <c:pt idx="58">
                  <c:v>7579.3280016679728</c:v>
                </c:pt>
                <c:pt idx="59">
                  <c:v>7625.4714559613512</c:v>
                </c:pt>
                <c:pt idx="60">
                  <c:v>7671.5966029769179</c:v>
                </c:pt>
                <c:pt idx="61">
                  <c:v>7717.8159440766431</c:v>
                </c:pt>
                <c:pt idx="62">
                  <c:v>7763.8735491949647</c:v>
                </c:pt>
                <c:pt idx="63">
                  <c:v>7809.9986136141633</c:v>
                </c:pt>
                <c:pt idx="64">
                  <c:v>7855.9419410068731</c:v>
                </c:pt>
                <c:pt idx="65">
                  <c:v>7901.8082910194762</c:v>
                </c:pt>
                <c:pt idx="66">
                  <c:v>7947.7128404761297</c:v>
                </c:pt>
                <c:pt idx="67">
                  <c:v>7993.3999847585328</c:v>
                </c:pt>
                <c:pt idx="68">
                  <c:v>8039.1025739312427</c:v>
                </c:pt>
                <c:pt idx="69">
                  <c:v>8084.5704421223218</c:v>
                </c:pt>
                <c:pt idx="70">
                  <c:v>8129.9110309946445</c:v>
                </c:pt>
                <c:pt idx="71">
                  <c:v>8175.2433376616946</c:v>
                </c:pt>
                <c:pt idx="72">
                  <c:v>8220.309006974865</c:v>
                </c:pt>
                <c:pt idx="73">
                  <c:v>8265.3468237094949</c:v>
                </c:pt>
                <c:pt idx="74">
                  <c:v>8310.1031714219662</c:v>
                </c:pt>
                <c:pt idx="75">
                  <c:v>8354.8132007821205</c:v>
                </c:pt>
                <c:pt idx="76">
                  <c:v>8399.2277954978581</c:v>
                </c:pt>
                <c:pt idx="77">
                  <c:v>8443.5785837047533</c:v>
                </c:pt>
                <c:pt idx="78">
                  <c:v>8487.6207951480956</c:v>
                </c:pt>
                <c:pt idx="79">
                  <c:v>8531.4624781522689</c:v>
                </c:pt>
                <c:pt idx="80">
                  <c:v>8575.2233961145503</c:v>
                </c:pt>
                <c:pt idx="81">
                  <c:v>8618.6498420653443</c:v>
                </c:pt>
                <c:pt idx="82">
                  <c:v>8661.9798008135731</c:v>
                </c:pt>
                <c:pt idx="83">
                  <c:v>8704.9641570587555</c:v>
                </c:pt>
                <c:pt idx="84">
                  <c:v>8747.8368589460351</c:v>
                </c:pt>
                <c:pt idx="85">
                  <c:v>8790.3534898050766</c:v>
                </c:pt>
                <c:pt idx="86">
                  <c:v>8832.6237354405275</c:v>
                </c:pt>
                <c:pt idx="87">
                  <c:v>8874.7680689145363</c:v>
                </c:pt>
                <c:pt idx="88">
                  <c:v>8916.5341995217441</c:v>
                </c:pt>
                <c:pt idx="89">
                  <c:v>8958.1599712803254</c:v>
                </c:pt>
                <c:pt idx="90">
                  <c:v>8999.3987094387103</c:v>
                </c:pt>
                <c:pt idx="91">
                  <c:v>9040.3621396425879</c:v>
                </c:pt>
                <c:pt idx="92">
                  <c:v>9081.1715547137082</c:v>
                </c:pt>
                <c:pt idx="93">
                  <c:v>9121.5740618411492</c:v>
                </c:pt>
                <c:pt idx="94">
                  <c:v>9161.8081259896062</c:v>
                </c:pt>
                <c:pt idx="95">
                  <c:v>9201.6278466159238</c:v>
                </c:pt>
                <c:pt idx="96">
                  <c:v>9241.1452531136692</c:v>
                </c:pt>
                <c:pt idx="97">
                  <c:v>9280.4800191311042</c:v>
                </c:pt>
                <c:pt idx="98">
                  <c:v>9319.3826077703816</c:v>
                </c:pt>
                <c:pt idx="99">
                  <c:v>9357.9671200860121</c:v>
                </c:pt>
                <c:pt idx="100">
                  <c:v>9396.3539813683074</c:v>
                </c:pt>
                <c:pt idx="101">
                  <c:v>9434.29195362258</c:v>
                </c:pt>
                <c:pt idx="102">
                  <c:v>9471.8961945017491</c:v>
                </c:pt>
                <c:pt idx="103">
                  <c:v>9509.2865617461885</c:v>
                </c:pt>
                <c:pt idx="104">
                  <c:v>9546.212434157469</c:v>
                </c:pt>
                <c:pt idx="105">
                  <c:v>9582.7888266159007</c:v>
                </c:pt>
                <c:pt idx="106">
                  <c:v>9619.1335587539852</c:v>
                </c:pt>
                <c:pt idx="107">
                  <c:v>9654.9992683530836</c:v>
                </c:pt>
                <c:pt idx="108">
                  <c:v>9690.4994711066283</c:v>
                </c:pt>
                <c:pt idx="109">
                  <c:v>9725.6287594413916</c:v>
                </c:pt>
                <c:pt idx="110">
                  <c:v>9760.5047624072122</c:v>
                </c:pt>
                <c:pt idx="111">
                  <c:v>9794.8791677495155</c:v>
                </c:pt>
                <c:pt idx="112">
                  <c:v>9828.8660257852116</c:v>
                </c:pt>
                <c:pt idx="113">
                  <c:v>9862.4597108094949</c:v>
                </c:pt>
                <c:pt idx="114">
                  <c:v>9895.6545365896764</c:v>
                </c:pt>
                <c:pt idx="115">
                  <c:v>9928.5667615439306</c:v>
                </c:pt>
                <c:pt idx="116">
                  <c:v>9960.9486101788352</c:v>
                </c:pt>
                <c:pt idx="117">
                  <c:v>9992.9138882980933</c:v>
                </c:pt>
                <c:pt idx="118">
                  <c:v>10024.456601704242</c:v>
                </c:pt>
                <c:pt idx="119">
                  <c:v>10055.570676531337</c:v>
                </c:pt>
                <c:pt idx="120">
                  <c:v>10086.249956405507</c:v>
                </c:pt>
                <c:pt idx="121">
                  <c:v>10116.488200058338</c:v>
                </c:pt>
                <c:pt idx="122">
                  <c:v>10146.279079451282</c:v>
                </c:pt>
                <c:pt idx="123">
                  <c:v>10175.616178474973</c:v>
                </c:pt>
                <c:pt idx="124">
                  <c:v>10204.492992293519</c:v>
                </c:pt>
                <c:pt idx="125">
                  <c:v>10232.902927404341</c:v>
                </c:pt>
                <c:pt idx="126">
                  <c:v>10260.839302492335</c:v>
                </c:pt>
                <c:pt idx="127">
                  <c:v>10288.295350156108</c:v>
                </c:pt>
                <c:pt idx="128">
                  <c:v>10315.264219587601</c:v>
                </c:pt>
                <c:pt idx="129">
                  <c:v>10341.73898028654</c:v>
                </c:pt>
                <c:pt idx="130">
                  <c:v>10367.592484294273</c:v>
                </c:pt>
                <c:pt idx="131">
                  <c:v>10393.060817980886</c:v>
                </c:pt>
                <c:pt idx="132">
                  <c:v>10418.014127593249</c:v>
                </c:pt>
                <c:pt idx="133">
                  <c:v>10442.445198003014</c:v>
                </c:pt>
                <c:pt idx="134">
                  <c:v>10466.226731104298</c:v>
                </c:pt>
                <c:pt idx="135">
                  <c:v>10489.596004017712</c:v>
                </c:pt>
                <c:pt idx="136">
                  <c:v>10512.421360693206</c:v>
                </c:pt>
                <c:pt idx="137">
                  <c:v>10534.576636428914</c:v>
                </c:pt>
                <c:pt idx="138">
                  <c:v>10556.297776826465</c:v>
                </c:pt>
                <c:pt idx="139">
                  <c:v>10577.332813601977</c:v>
                </c:pt>
                <c:pt idx="140">
                  <c:v>10597.921450097851</c:v>
                </c:pt>
                <c:pt idx="141">
                  <c:v>10617.809916567448</c:v>
                </c:pt>
                <c:pt idx="142">
                  <c:v>10637.237600606746</c:v>
                </c:pt>
                <c:pt idx="143">
                  <c:v>10655.953149289764</c:v>
                </c:pt>
                <c:pt idx="144">
                  <c:v>10674.070000437849</c:v>
                </c:pt>
                <c:pt idx="145">
                  <c:v>10691.707804610127</c:v>
                </c:pt>
                <c:pt idx="146">
                  <c:v>10708.613063736731</c:v>
                </c:pt>
                <c:pt idx="147">
                  <c:v>10724.901331871371</c:v>
                </c:pt>
                <c:pt idx="148">
                  <c:v>10740.566800535285</c:v>
                </c:pt>
                <c:pt idx="149">
                  <c:v>10755.726099472033</c:v>
                </c:pt>
                <c:pt idx="150">
                  <c:v>10770.130008250582</c:v>
                </c:pt>
                <c:pt idx="151">
                  <c:v>10783.893580700935</c:v>
                </c:pt>
                <c:pt idx="152">
                  <c:v>10797.011350832905</c:v>
                </c:pt>
                <c:pt idx="153">
                  <c:v>10809.477964540194</c:v>
                </c:pt>
                <c:pt idx="154">
                  <c:v>10821.166716586427</c:v>
                </c:pt>
                <c:pt idx="155">
                  <c:v>10832.317556326441</c:v>
                </c:pt>
                <c:pt idx="156">
                  <c:v>10842.802554262853</c:v>
                </c:pt>
                <c:pt idx="157">
                  <c:v>10852.616883414054</c:v>
                </c:pt>
                <c:pt idx="158">
                  <c:v>10861.755892406485</c:v>
                </c:pt>
                <c:pt idx="159">
                  <c:v>10870.097409526721</c:v>
                </c:pt>
                <c:pt idx="160">
                  <c:v>10877.877838968665</c:v>
                </c:pt>
                <c:pt idx="161">
                  <c:v>10884.851210556168</c:v>
                </c:pt>
                <c:pt idx="162">
                  <c:v>10891.259146467999</c:v>
                </c:pt>
                <c:pt idx="163">
                  <c:v>10896.854002780832</c:v>
                </c:pt>
                <c:pt idx="164">
                  <c:v>10901.877019437905</c:v>
                </c:pt>
                <c:pt idx="165">
                  <c:v>10906.084569881519</c:v>
                </c:pt>
                <c:pt idx="166">
                  <c:v>10909.59387681891</c:v>
                </c:pt>
                <c:pt idx="167">
                  <c:v>10912.404074957971</c:v>
                </c:pt>
                <c:pt idx="168">
                  <c:v>10914.637703243972</c:v>
                </c:pt>
                <c:pt idx="169">
                  <c:v>10916.049570552444</c:v>
                </c:pt>
                <c:pt idx="170">
                  <c:v>10916.760433520505</c:v>
                </c:pt>
                <c:pt idx="171">
                  <c:v>10916.770336287085</c:v>
                </c:pt>
                <c:pt idx="172">
                  <c:v>10916.079550963856</c:v>
                </c:pt>
                <c:pt idx="173">
                  <c:v>10914.68857716023</c:v>
                </c:pt>
                <c:pt idx="174">
                  <c:v>10912.477124742303</c:v>
                </c:pt>
                <c:pt idx="175">
                  <c:v>10909.691054010056</c:v>
                </c:pt>
                <c:pt idx="176">
                  <c:v>10906.208308784515</c:v>
                </c:pt>
                <c:pt idx="177">
                  <c:v>10902.030286584935</c:v>
                </c:pt>
                <c:pt idx="178">
                  <c:v>10897.040102982668</c:v>
                </c:pt>
                <c:pt idx="179">
                  <c:v>10891.482256342702</c:v>
                </c:pt>
                <c:pt idx="180">
                  <c:v>10885.115586836691</c:v>
                </c:pt>
                <c:pt idx="181">
                  <c:v>10878.188756961086</c:v>
                </c:pt>
                <c:pt idx="182">
                  <c:v>10870.460032623689</c:v>
                </c:pt>
                <c:pt idx="183">
                  <c:v>10862.176572940498</c:v>
                </c:pt>
                <c:pt idx="184">
                  <c:v>10853.101642280762</c:v>
                </c:pt>
                <c:pt idx="185">
                  <c:v>10843.358233531844</c:v>
                </c:pt>
                <c:pt idx="186">
                  <c:v>10832.951443227952</c:v>
                </c:pt>
                <c:pt idx="187">
                  <c:v>10822.008755191797</c:v>
                </c:pt>
                <c:pt idx="188">
                  <c:v>10810.292711344024</c:v>
                </c:pt>
                <c:pt idx="189">
                  <c:v>10797.928836957402</c:v>
                </c:pt>
                <c:pt idx="190">
                  <c:v>10784.922759857369</c:v>
                </c:pt>
                <c:pt idx="191">
                  <c:v>10771.280215588818</c:v>
                </c:pt>
                <c:pt idx="192">
                  <c:v>10757.007037138024</c:v>
                </c:pt>
                <c:pt idx="193">
                  <c:v>10742.109147078339</c:v>
                </c:pt>
                <c:pt idx="194">
                  <c:v>10726.472637580297</c:v>
                </c:pt>
                <c:pt idx="195">
                  <c:v>10710.346137383556</c:v>
                </c:pt>
                <c:pt idx="196">
                  <c:v>10693.613666436751</c:v>
                </c:pt>
                <c:pt idx="197">
                  <c:v>10676.281408619183</c:v>
                </c:pt>
                <c:pt idx="198">
                  <c:v>10658.236499509518</c:v>
                </c:pt>
                <c:pt idx="199">
                  <c:v>10639.728362564041</c:v>
                </c:pt>
                <c:pt idx="200">
                  <c:v>10620.639698164458</c:v>
                </c:pt>
                <c:pt idx="201">
                  <c:v>10600.860638424185</c:v>
                </c:pt>
                <c:pt idx="202">
                  <c:v>10580.636391196958</c:v>
                </c:pt>
                <c:pt idx="203">
                  <c:v>10559.734777192582</c:v>
                </c:pt>
                <c:pt idx="204">
                  <c:v>10538.402160253556</c:v>
                </c:pt>
                <c:pt idx="205">
                  <c:v>10516.407082531938</c:v>
                </c:pt>
                <c:pt idx="206">
                  <c:v>10493.873407048843</c:v>
                </c:pt>
                <c:pt idx="207">
                  <c:v>10470.933392856376</c:v>
                </c:pt>
                <c:pt idx="208">
                  <c:v>10447.349792562654</c:v>
                </c:pt>
                <c:pt idx="209">
                  <c:v>10423.249760148863</c:v>
                </c:pt>
                <c:pt idx="210">
                  <c:v>10398.763520854236</c:v>
                </c:pt>
                <c:pt idx="211">
                  <c:v>10373.656033667827</c:v>
                </c:pt>
                <c:pt idx="212">
                  <c:v>10348.053690284487</c:v>
                </c:pt>
                <c:pt idx="213">
                  <c:v>10321.963624016338</c:v>
                </c:pt>
                <c:pt idx="214">
                  <c:v>10295.392888378585</c:v>
                </c:pt>
                <c:pt idx="215">
                  <c:v>10268.348450992551</c:v>
                </c:pt>
                <c:pt idx="216">
                  <c:v>10240.959832899387</c:v>
                </c:pt>
                <c:pt idx="217">
                  <c:v>10212.989649277833</c:v>
                </c:pt>
                <c:pt idx="218">
                  <c:v>10184.565779886705</c:v>
                </c:pt>
                <c:pt idx="219">
                  <c:v>10155.694812081547</c:v>
                </c:pt>
                <c:pt idx="220">
                  <c:v>10126.383235776864</c:v>
                </c:pt>
                <c:pt idx="221">
                  <c:v>10096.637442995727</c:v>
                </c:pt>
                <c:pt idx="222">
                  <c:v>10066.463728129187</c:v>
                </c:pt>
                <c:pt idx="223">
                  <c:v>10035.868288838456</c:v>
                </c:pt>
                <c:pt idx="224">
                  <c:v>10004.857227538421</c:v>
                </c:pt>
                <c:pt idx="225">
                  <c:v>9973.315097483357</c:v>
                </c:pt>
                <c:pt idx="226">
                  <c:v>9941.4922660665979</c:v>
                </c:pt>
                <c:pt idx="227">
                  <c:v>9909.2717946560424</c:v>
                </c:pt>
                <c:pt idx="228">
                  <c:v>9876.6594094165102</c:v>
                </c:pt>
                <c:pt idx="229">
                  <c:v>9843.6607546877749</c:v>
                </c:pt>
                <c:pt idx="230">
                  <c:v>9810.2813970749285</c:v>
                </c:pt>
                <c:pt idx="231">
                  <c:v>9776.526829787299</c:v>
                </c:pt>
                <c:pt idx="232">
                  <c:v>9742.2818610047616</c:v>
                </c:pt>
                <c:pt idx="233">
                  <c:v>9707.7961394712238</c:v>
                </c:pt>
                <c:pt idx="234">
                  <c:v>9672.9513932841</c:v>
                </c:pt>
                <c:pt idx="235">
                  <c:v>9637.7528465253909</c:v>
                </c:pt>
                <c:pt idx="236">
                  <c:v>9602.2056749065341</c:v>
                </c:pt>
                <c:pt idx="237">
                  <c:v>9566.1967162725832</c:v>
                </c:pt>
                <c:pt idx="238">
                  <c:v>9529.9714899855971</c:v>
                </c:pt>
                <c:pt idx="239">
                  <c:v>9493.4129361093146</c:v>
                </c:pt>
                <c:pt idx="240">
                  <c:v>9456.4051160337076</c:v>
                </c:pt>
                <c:pt idx="241">
                  <c:v>9419.1992999119539</c:v>
                </c:pt>
                <c:pt idx="242">
                  <c:v>9381.6751108885455</c:v>
                </c:pt>
                <c:pt idx="243">
                  <c:v>9343.8375079920006</c:v>
                </c:pt>
                <c:pt idx="244">
                  <c:v>9305.5738005613548</c:v>
                </c:pt>
                <c:pt idx="245">
                  <c:v>9267.1289630820102</c:v>
                </c:pt>
                <c:pt idx="246">
                  <c:v>9228.3855071189864</c:v>
                </c:pt>
                <c:pt idx="247">
                  <c:v>9189.2306744362813</c:v>
                </c:pt>
                <c:pt idx="248">
                  <c:v>9149.9099735329401</c:v>
                </c:pt>
                <c:pt idx="249">
                  <c:v>9110.3055456743405</c:v>
                </c:pt>
                <c:pt idx="250">
                  <c:v>9070.3054574995658</c:v>
                </c:pt>
                <c:pt idx="251">
                  <c:v>9030.1540813064839</c:v>
                </c:pt>
                <c:pt idx="252">
                  <c:v>8989.6129987972017</c:v>
                </c:pt>
                <c:pt idx="253">
                  <c:v>8948.9353780940673</c:v>
                </c:pt>
                <c:pt idx="254">
                  <c:v>8907.9995626216096</c:v>
                </c:pt>
                <c:pt idx="255">
                  <c:v>8866.6916100347444</c:v>
                </c:pt>
                <c:pt idx="256">
                  <c:v>8825.2613211682183</c:v>
                </c:pt>
                <c:pt idx="257">
                  <c:v>8783.5890308942799</c:v>
                </c:pt>
                <c:pt idx="258">
                  <c:v>8741.5633761139761</c:v>
                </c:pt>
                <c:pt idx="259">
                  <c:v>8699.4299041571794</c:v>
                </c:pt>
                <c:pt idx="260">
                  <c:v>8656.9511710727638</c:v>
                </c:pt>
                <c:pt idx="261">
                  <c:v>8614.3798862236072</c:v>
                </c:pt>
                <c:pt idx="262">
                  <c:v>8571.5956535799651</c:v>
                </c:pt>
                <c:pt idx="263">
                  <c:v>8528.4872658354434</c:v>
                </c:pt>
                <c:pt idx="264">
                  <c:v>8485.3021439330478</c:v>
                </c:pt>
                <c:pt idx="265">
                  <c:v>8441.8026026733223</c:v>
                </c:pt>
                <c:pt idx="266">
                  <c:v>8398.2428429021656</c:v>
                </c:pt>
                <c:pt idx="267">
                  <c:v>8354.5028892099181</c:v>
                </c:pt>
                <c:pt idx="268">
                  <c:v>8310.4723200367462</c:v>
                </c:pt>
                <c:pt idx="269">
                  <c:v>8266.3997459737766</c:v>
                </c:pt>
                <c:pt idx="270">
                  <c:v>8222.0482071872266</c:v>
                </c:pt>
                <c:pt idx="271">
                  <c:v>8177.6731454721312</c:v>
                </c:pt>
                <c:pt idx="272">
                  <c:v>8133.1555758863969</c:v>
                </c:pt>
                <c:pt idx="273">
                  <c:v>8088.3859394895017</c:v>
                </c:pt>
                <c:pt idx="274">
                  <c:v>8043.6145119916937</c:v>
                </c:pt>
                <c:pt idx="275">
                  <c:v>7998.6048519852475</c:v>
                </c:pt>
                <c:pt idx="276">
                  <c:v>7953.6146043208664</c:v>
                </c:pt>
                <c:pt idx="277">
                  <c:v>7908.5257306430221</c:v>
                </c:pt>
                <c:pt idx="278">
                  <c:v>7863.2290142719903</c:v>
                </c:pt>
                <c:pt idx="279">
                  <c:v>7817.978094238103</c:v>
                </c:pt>
                <c:pt idx="280">
                  <c:v>7772.6584514086571</c:v>
                </c:pt>
                <c:pt idx="281">
                  <c:v>7727.1635593808805</c:v>
                </c:pt>
                <c:pt idx="282">
                  <c:v>7681.7442514008053</c:v>
                </c:pt>
                <c:pt idx="283">
                  <c:v>7636.167558939017</c:v>
                </c:pt>
                <c:pt idx="284">
                  <c:v>7590.6935536763121</c:v>
                </c:pt>
                <c:pt idx="285">
                  <c:v>7545.2071960476142</c:v>
                </c:pt>
                <c:pt idx="286">
                  <c:v>7499.6000364917909</c:v>
                </c:pt>
                <c:pt idx="287">
                  <c:v>7454.1318025609025</c:v>
                </c:pt>
                <c:pt idx="288">
                  <c:v>7408.6894910605242</c:v>
                </c:pt>
                <c:pt idx="289">
                  <c:v>7363.1653759434839</c:v>
                </c:pt>
                <c:pt idx="290">
                  <c:v>7317.8208561013598</c:v>
                </c:pt>
                <c:pt idx="291">
                  <c:v>7272.5440588152906</c:v>
                </c:pt>
                <c:pt idx="292">
                  <c:v>7227.3498441828824</c:v>
                </c:pt>
                <c:pt idx="293">
                  <c:v>7182.1346992389972</c:v>
                </c:pt>
                <c:pt idx="294">
                  <c:v>7137.1557474455976</c:v>
                </c:pt>
                <c:pt idx="295">
                  <c:v>7092.3061004751044</c:v>
                </c:pt>
                <c:pt idx="296">
                  <c:v>7047.6022808173493</c:v>
                </c:pt>
                <c:pt idx="297">
                  <c:v>7002.9424217980304</c:v>
                </c:pt>
                <c:pt idx="298">
                  <c:v>6958.584645878962</c:v>
                </c:pt>
                <c:pt idx="299">
                  <c:v>6914.4244672049945</c:v>
                </c:pt>
                <c:pt idx="300">
                  <c:v>6870.4800861883923</c:v>
                </c:pt>
                <c:pt idx="301">
                  <c:v>6826.7701147187709</c:v>
                </c:pt>
                <c:pt idx="302">
                  <c:v>6783.1939136871706</c:v>
                </c:pt>
                <c:pt idx="303">
                  <c:v>6740.0122614206075</c:v>
                </c:pt>
                <c:pt idx="304">
                  <c:v>6697.1229769526026</c:v>
                </c:pt>
                <c:pt idx="305">
                  <c:v>6654.546266572328</c:v>
                </c:pt>
                <c:pt idx="306">
                  <c:v>6612.3027112645968</c:v>
                </c:pt>
                <c:pt idx="307">
                  <c:v>6570.4132548860471</c:v>
                </c:pt>
                <c:pt idx="308">
                  <c:v>6528.8991905638659</c:v>
                </c:pt>
                <c:pt idx="309">
                  <c:v>6487.7821452179533</c:v>
                </c:pt>
                <c:pt idx="310">
                  <c:v>6447.0840621020279</c:v>
                </c:pt>
                <c:pt idx="311">
                  <c:v>6406.8271812563025</c:v>
                </c:pt>
                <c:pt idx="312">
                  <c:v>6367.0340177576263</c:v>
                </c:pt>
                <c:pt idx="313">
                  <c:v>6327.7273376453577</c:v>
                </c:pt>
                <c:pt idx="314">
                  <c:v>6288.9301313945352</c:v>
                </c:pt>
                <c:pt idx="315">
                  <c:v>6250.665584796554</c:v>
                </c:pt>
                <c:pt idx="316">
                  <c:v>6212.9570470963417</c:v>
                </c:pt>
                <c:pt idx="317">
                  <c:v>6175.9497197306864</c:v>
                </c:pt>
                <c:pt idx="318">
                  <c:v>6139.4269124396742</c:v>
                </c:pt>
                <c:pt idx="319">
                  <c:v>6103.5313371020911</c:v>
                </c:pt>
                <c:pt idx="320">
                  <c:v>6068.2866757262946</c:v>
                </c:pt>
                <c:pt idx="321">
                  <c:v>6033.8392706599761</c:v>
                </c:pt>
                <c:pt idx="322">
                  <c:v>5999.9724676499754</c:v>
                </c:pt>
                <c:pt idx="323">
                  <c:v>5966.8279801666085</c:v>
                </c:pt>
                <c:pt idx="324">
                  <c:v>5934.5541871925179</c:v>
                </c:pt>
                <c:pt idx="325">
                  <c:v>5902.9309652932507</c:v>
                </c:pt>
                <c:pt idx="326">
                  <c:v>5872.2247270779199</c:v>
                </c:pt>
                <c:pt idx="327">
                  <c:v>5842.216960437966</c:v>
                </c:pt>
                <c:pt idx="328">
                  <c:v>5813.1736893699099</c:v>
                </c:pt>
                <c:pt idx="329">
                  <c:v>5784.8732878816472</c:v>
                </c:pt>
                <c:pt idx="330">
                  <c:v>5757.5858421750509</c:v>
                </c:pt>
                <c:pt idx="331">
                  <c:v>5731.2080576464477</c:v>
                </c:pt>
                <c:pt idx="332">
                  <c:v>5705.762488998781</c:v>
                </c:pt>
                <c:pt idx="333">
                  <c:v>5681.1507039042172</c:v>
                </c:pt>
                <c:pt idx="334">
                  <c:v>5657.6368632639769</c:v>
                </c:pt>
                <c:pt idx="335">
                  <c:v>5635.1186078176934</c:v>
                </c:pt>
                <c:pt idx="336">
                  <c:v>5613.615964020516</c:v>
                </c:pt>
                <c:pt idx="337">
                  <c:v>5593.148199828388</c:v>
                </c:pt>
                <c:pt idx="338">
                  <c:v>5573.7337759781803</c:v>
                </c:pt>
                <c:pt idx="339">
                  <c:v>5555.3902949397752</c:v>
                </c:pt>
                <c:pt idx="340">
                  <c:v>5538.1344474209127</c:v>
                </c:pt>
                <c:pt idx="341">
                  <c:v>5522.1059560938547</c:v>
                </c:pt>
                <c:pt idx="342">
                  <c:v>5507.0753666714299</c:v>
                </c:pt>
                <c:pt idx="343">
                  <c:v>5493.1773861478887</c:v>
                </c:pt>
                <c:pt idx="344">
                  <c:v>5480.5482483023143</c:v>
                </c:pt>
                <c:pt idx="345">
                  <c:v>5468.9582315071457</c:v>
                </c:pt>
                <c:pt idx="346">
                  <c:v>5458.6587830579074</c:v>
                </c:pt>
                <c:pt idx="347">
                  <c:v>5449.4211812586136</c:v>
                </c:pt>
                <c:pt idx="348">
                  <c:v>5441.4942617160441</c:v>
                </c:pt>
                <c:pt idx="349">
                  <c:v>5434.6439160932478</c:v>
                </c:pt>
                <c:pt idx="350">
                  <c:v>5429.1225930848595</c:v>
                </c:pt>
                <c:pt idx="351">
                  <c:v>5424.8118067688129</c:v>
                </c:pt>
                <c:pt idx="352">
                  <c:v>5421.716788341002</c:v>
                </c:pt>
                <c:pt idx="353">
                  <c:v>5419.8414278403252</c:v>
                </c:pt>
                <c:pt idx="354">
                  <c:v>5419.1882760065582</c:v>
                </c:pt>
                <c:pt idx="355">
                  <c:v>5419.7585444901297</c:v>
                </c:pt>
                <c:pt idx="356">
                  <c:v>5421.5521045580836</c:v>
                </c:pt>
                <c:pt idx="357">
                  <c:v>5424.5674843464649</c:v>
                </c:pt>
                <c:pt idx="358">
                  <c:v>5428.8018646112059</c:v>
                </c:pt>
                <c:pt idx="359">
                  <c:v>5434.2510728342795</c:v>
                </c:pt>
                <c:pt idx="360">
                  <c:v>5441.0343206222442</c:v>
                </c:pt>
                <c:pt idx="361">
                  <c:v>5448.9007560692908</c:v>
                </c:pt>
                <c:pt idx="362">
                  <c:v>5458.0848382971781</c:v>
                </c:pt>
                <c:pt idx="363">
                  <c:v>5468.3394199593113</c:v>
                </c:pt>
                <c:pt idx="364">
                  <c:v>5479.8933828200234</c:v>
                </c:pt>
                <c:pt idx="365">
                  <c:v>5492.4970217116088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D-F14B-A750-C28B2FACB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6923856"/>
        <c:axId val="1846795824"/>
      </c:lineChart>
      <c:catAx>
        <c:axId val="184692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95824"/>
        <c:crosses val="autoZero"/>
        <c:auto val="1"/>
        <c:lblAlgn val="ctr"/>
        <c:lblOffset val="100"/>
        <c:noMultiLvlLbl val="0"/>
      </c:catAx>
      <c:valAx>
        <c:axId val="184679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</a:t>
                </a:r>
                <a:r>
                  <a:rPr lang="en-US" baseline="0"/>
                  <a:t> Insolation (Wh/m^2)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92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3</xdr:col>
      <xdr:colOff>0</xdr:colOff>
      <xdr:row>18</xdr:row>
      <xdr:rowOff>0</xdr:rowOff>
    </xdr:to>
    <xdr:graphicFrame macro="">
      <xdr:nvGraphicFramePr>
        <xdr:cNvPr id="1121" name="Chart 8">
          <a:extLst>
            <a:ext uri="{FF2B5EF4-FFF2-40B4-BE49-F238E27FC236}">
              <a16:creationId xmlns:a16="http://schemas.microsoft.com/office/drawing/2014/main" id="{18EE2366-452D-1F75-B24A-352B09086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3</xdr:col>
      <xdr:colOff>0</xdr:colOff>
      <xdr:row>29</xdr:row>
      <xdr:rowOff>0</xdr:rowOff>
    </xdr:to>
    <xdr:graphicFrame macro="">
      <xdr:nvGraphicFramePr>
        <xdr:cNvPr id="1122" name="Chart 7">
          <a:extLst>
            <a:ext uri="{FF2B5EF4-FFF2-40B4-BE49-F238E27FC236}">
              <a16:creationId xmlns:a16="http://schemas.microsoft.com/office/drawing/2014/main" id="{99F7A693-A25F-725A-0882-634C5342D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3</xdr:col>
      <xdr:colOff>0</xdr:colOff>
      <xdr:row>40</xdr:row>
      <xdr:rowOff>0</xdr:rowOff>
    </xdr:to>
    <xdr:graphicFrame macro="">
      <xdr:nvGraphicFramePr>
        <xdr:cNvPr id="1123" name="Chart 6">
          <a:extLst>
            <a:ext uri="{FF2B5EF4-FFF2-40B4-BE49-F238E27FC236}">
              <a16:creationId xmlns:a16="http://schemas.microsoft.com/office/drawing/2014/main" id="{1933BD60-28EE-AEF0-0C90-4126AED90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3</xdr:col>
      <xdr:colOff>0</xdr:colOff>
      <xdr:row>51</xdr:row>
      <xdr:rowOff>0</xdr:rowOff>
    </xdr:to>
    <xdr:graphicFrame macro="">
      <xdr:nvGraphicFramePr>
        <xdr:cNvPr id="1124" name="Chart 2">
          <a:extLst>
            <a:ext uri="{FF2B5EF4-FFF2-40B4-BE49-F238E27FC236}">
              <a16:creationId xmlns:a16="http://schemas.microsoft.com/office/drawing/2014/main" id="{8B39B044-C5BF-8CA5-607C-817F1385E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3</xdr:col>
      <xdr:colOff>0</xdr:colOff>
      <xdr:row>62</xdr:row>
      <xdr:rowOff>0</xdr:rowOff>
    </xdr:to>
    <xdr:graphicFrame macro="">
      <xdr:nvGraphicFramePr>
        <xdr:cNvPr id="1125" name="Chart 3">
          <a:extLst>
            <a:ext uri="{FF2B5EF4-FFF2-40B4-BE49-F238E27FC236}">
              <a16:creationId xmlns:a16="http://schemas.microsoft.com/office/drawing/2014/main" id="{2A467CFC-34A1-BF97-8C70-6E6605A4F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241300</xdr:colOff>
      <xdr:row>1</xdr:row>
      <xdr:rowOff>63500</xdr:rowOff>
    </xdr:from>
    <xdr:to>
      <xdr:col>56</xdr:col>
      <xdr:colOff>101600</xdr:colOff>
      <xdr:row>14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9D1810-8977-669D-C25C-2304F2BD4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8BC0-0A9B-7341-AA0F-90E9E8730279}">
  <dimension ref="A1:CP578"/>
  <sheetViews>
    <sheetView tabSelected="1" topLeftCell="AH1" workbookViewId="0">
      <selection activeCell="AY27" sqref="AY27"/>
    </sheetView>
  </sheetViews>
  <sheetFormatPr baseColWidth="10" defaultRowHeight="15" x14ac:dyDescent="0.2"/>
  <cols>
    <col min="1" max="1" width="17" bestFit="1" customWidth="1"/>
    <col min="2" max="2" width="9.33203125" customWidth="1"/>
    <col min="3" max="3" width="16.6640625" customWidth="1"/>
    <col min="4" max="4" width="10.83203125" bestFit="1" customWidth="1"/>
    <col min="5" max="5" width="9.6640625" customWidth="1"/>
    <col min="6" max="6" width="12.83203125" customWidth="1"/>
    <col min="7" max="7" width="11.83203125" customWidth="1"/>
    <col min="8" max="8" width="3.5" customWidth="1"/>
    <col min="9" max="9" width="9.83203125" customWidth="1"/>
    <col min="10" max="21" width="8.83203125" customWidth="1"/>
    <col min="22" max="23" width="10.33203125" customWidth="1"/>
    <col min="24" max="25" width="10.1640625" customWidth="1"/>
    <col min="26" max="26" width="10.6640625" customWidth="1"/>
    <col min="27" max="27" width="10.1640625" customWidth="1"/>
    <col min="28" max="32" width="8.83203125" customWidth="1"/>
    <col min="33" max="33" width="10.5" customWidth="1"/>
    <col min="34" max="256" width="8.83203125" customWidth="1"/>
  </cols>
  <sheetData>
    <row r="1" spans="1:94" ht="99.75" customHeight="1" x14ac:dyDescent="0.2">
      <c r="A1" s="11" t="s">
        <v>23</v>
      </c>
      <c r="B1" s="12"/>
      <c r="C1" s="12"/>
      <c r="D1" s="4" t="s">
        <v>7</v>
      </c>
      <c r="E1" s="4" t="s">
        <v>3</v>
      </c>
      <c r="F1" s="4" t="s">
        <v>8</v>
      </c>
      <c r="G1" s="4" t="s">
        <v>9</v>
      </c>
      <c r="H1" s="4"/>
      <c r="I1" s="4" t="s">
        <v>30</v>
      </c>
      <c r="J1" s="4" t="s">
        <v>31</v>
      </c>
      <c r="K1" s="4" t="s">
        <v>11</v>
      </c>
      <c r="L1" s="4" t="s">
        <v>10</v>
      </c>
      <c r="M1" s="4" t="s">
        <v>32</v>
      </c>
      <c r="N1" s="4" t="s">
        <v>33</v>
      </c>
      <c r="O1" s="4" t="s">
        <v>13</v>
      </c>
      <c r="P1" s="4" t="s">
        <v>34</v>
      </c>
      <c r="Q1" s="4" t="s">
        <v>28</v>
      </c>
      <c r="R1" s="4" t="s">
        <v>29</v>
      </c>
      <c r="S1" s="4" t="s">
        <v>35</v>
      </c>
      <c r="T1" s="18" t="s">
        <v>19</v>
      </c>
      <c r="U1" s="4" t="s">
        <v>14</v>
      </c>
      <c r="V1" s="4" t="s">
        <v>4</v>
      </c>
      <c r="W1" s="4" t="s">
        <v>18</v>
      </c>
      <c r="X1" s="4" t="s">
        <v>26</v>
      </c>
      <c r="Y1" s="4" t="s">
        <v>24</v>
      </c>
      <c r="Z1" s="4" t="s">
        <v>25</v>
      </c>
      <c r="AA1" s="18" t="s">
        <v>27</v>
      </c>
      <c r="AB1" s="4" t="s">
        <v>5</v>
      </c>
      <c r="AC1" s="4" t="s">
        <v>6</v>
      </c>
      <c r="AD1" s="4" t="s">
        <v>16</v>
      </c>
      <c r="AE1" s="4" t="s">
        <v>15</v>
      </c>
      <c r="AF1" s="4" t="s">
        <v>21</v>
      </c>
      <c r="AG1" s="4" t="s">
        <v>20</v>
      </c>
      <c r="AH1" s="4" t="s">
        <v>17</v>
      </c>
      <c r="AI1" s="23" t="s">
        <v>45</v>
      </c>
      <c r="AJ1" s="23" t="s">
        <v>46</v>
      </c>
      <c r="AK1" s="23" t="s">
        <v>40</v>
      </c>
      <c r="AL1" s="23" t="s">
        <v>39</v>
      </c>
      <c r="AM1" s="4" t="s">
        <v>38</v>
      </c>
      <c r="AN1" s="4" t="s">
        <v>36</v>
      </c>
      <c r="AO1" s="4" t="s">
        <v>37</v>
      </c>
      <c r="AP1" s="4" t="s">
        <v>41</v>
      </c>
      <c r="AQ1" s="4" t="s">
        <v>44</v>
      </c>
      <c r="AR1" s="4" t="s">
        <v>43</v>
      </c>
      <c r="AT1" s="22" t="s">
        <v>52</v>
      </c>
      <c r="AU1" s="4" t="s">
        <v>51</v>
      </c>
      <c r="AV1" s="4" t="s">
        <v>50</v>
      </c>
      <c r="AW1" s="4" t="s">
        <v>54</v>
      </c>
    </row>
    <row r="2" spans="1:94" ht="17" x14ac:dyDescent="0.2">
      <c r="A2" t="s">
        <v>0</v>
      </c>
      <c r="B2" s="5">
        <v>37.6</v>
      </c>
      <c r="D2" s="1">
        <f>DATEVALUE("1/1/"&amp;$B$6)</f>
        <v>46023</v>
      </c>
      <c r="E2" s="6">
        <f>$B$5</f>
        <v>0.5</v>
      </c>
      <c r="F2" s="2">
        <f>D2+2415018.5+E2-$B$4/24</f>
        <v>2461042.3333333335</v>
      </c>
      <c r="G2" s="3">
        <f>(F2-2451545)/36525</f>
        <v>0.26002281542323036</v>
      </c>
      <c r="I2">
        <f>MOD(280.46646+G2*(36000.76983 + G2*0.0003032),360)</f>
        <v>281.48800910020509</v>
      </c>
      <c r="J2">
        <f>357.52911+G2*(35999.05029 - 0.0001537*G2)</f>
        <v>9718.1035085763142</v>
      </c>
      <c r="K2">
        <f>0.016708634-G2*(0.000042037+0.0000001267*G2)</f>
        <v>1.6697694854484815E-2</v>
      </c>
      <c r="L2">
        <f>SIN(RADIANS(J2))*(1.914602-G2*(0.004817+0.000014*G2))+SIN(RADIANS(2*J2))*(0.019993-0.000101*G2)+SIN(RADIANS(3*J2))*0.000289</f>
        <v>-6.4669793859734093E-2</v>
      </c>
      <c r="M2">
        <f>I2+L2</f>
        <v>281.42333930634538</v>
      </c>
      <c r="N2">
        <f>J2+L2</f>
        <v>9718.0388387824551</v>
      </c>
      <c r="O2">
        <f>(1.000001018*(1-K2*K2))/(1+K2*COS(RADIANS(N2)))</f>
        <v>0.98331276558425129</v>
      </c>
      <c r="P2">
        <f>M2-0.00569-0.00478*SIN(RADIANS(125.04-1934.136*G2))</f>
        <v>281.41911684247958</v>
      </c>
      <c r="Q2">
        <f>23+(26+((21.448-G2*(46.815+G2*(0.00059-G2*0.001813))))/60)/60</f>
        <v>23.435909728855176</v>
      </c>
      <c r="R2">
        <f>Q2+0.00256*COS(RADIANS(125.04-1934.136*G2))</f>
        <v>23.438346092058904</v>
      </c>
      <c r="S2">
        <f>DEGREES(ATAN2(COS(RADIANS(P2)),COS(RADIANS(R2))*SIN(RADIANS(P2))))</f>
        <v>-77.584533656895076</v>
      </c>
      <c r="T2" s="19">
        <f>DEGREES(ASIN(SIN(RADIANS(R2))*SIN(RADIANS(P2))))</f>
        <v>-22.94755501172024</v>
      </c>
      <c r="U2">
        <f>TAN(RADIANS(R2/2))*TAN(RADIANS(R2/2))</f>
        <v>4.303096052909984E-2</v>
      </c>
      <c r="V2">
        <f>4*DEGREES(U2*SIN(2*RADIANS(I2))-2*K2*SIN(RADIANS(J2))+4*K2*U2*SIN(RADIANS(J2))*COS(2*RADIANS(I2))-0.5*U2*U2*SIN(4*RADIANS(I2))-1.25*K2*K2*SIN(2*RADIANS(J2)))</f>
        <v>-3.7234450714447576</v>
      </c>
      <c r="W2">
        <f>DEGREES(ACOS(COS(RADIANS(90.833))/(COS(RADIANS($B$2))*COS(RADIANS(T2)))-TAN(RADIANS($B$2))*TAN(RADIANS(T2))))</f>
        <v>72.173740948535695</v>
      </c>
      <c r="X2" s="6">
        <f>(720-4*$B$3-V2+$B$4*60)/1440</f>
        <v>0.50800758685516989</v>
      </c>
      <c r="Y2" s="6">
        <f>(X2*1440-W2*4)/1440</f>
        <v>0.30752497310923743</v>
      </c>
      <c r="Z2" s="6">
        <f>(X2*1440+W2*4)/1440</f>
        <v>0.70849020060110235</v>
      </c>
      <c r="AA2" s="19">
        <f>8*W2</f>
        <v>577.38992758828556</v>
      </c>
      <c r="AB2">
        <f>MOD(E2*1440+V2+4*$B$3-60*$B$4,1440)</f>
        <v>708.4690749285553</v>
      </c>
      <c r="AC2">
        <f>IF(AB2/4&lt;0,AB2/4+180,AB2/4-180)</f>
        <v>-2.8827312678611747</v>
      </c>
      <c r="AD2">
        <f t="shared" ref="AD2:AD65" si="0">DEGREES(ACOS(SIN(RADIANS($B$2))*SIN(RADIANS(T2))+COS(RADIANS($B$2))*COS(RADIANS(T2))*COS(RADIANS(AC2))))</f>
        <v>60.608286269043184</v>
      </c>
      <c r="AE2">
        <f>90-AD2</f>
        <v>29.391713730956816</v>
      </c>
      <c r="AF2">
        <f>IF(AE2&gt;85,0,IF(AE2&gt;5,58.1/TAN(RADIANS(AE2))-0.07/POWER(TAN(RADIANS(AE2)),3)+0.000086/POWER(TAN(RADIANS(AE2)),5),IF(AE2&gt;-0.575,1735+AE2*(-518.2+AE2*(103.4+AE2*(-12.79+AE2*0.711))),-20.772/TAN(RADIANS(AE2)))))/3600</f>
        <v>2.8543224651301807E-2</v>
      </c>
      <c r="AG2">
        <f>AE2+AF2</f>
        <v>29.420256955608117</v>
      </c>
      <c r="AH2">
        <f t="shared" ref="AH2:AH65" si="1">IF(AC2&gt;0,MOD(DEGREES(ACOS(((SIN(RADIANS($B$2))*COS(RADIANS(AD2)))-SIN(RADIANS(T2)))/(COS(RADIANS($B$2))*SIN(RADIANS(AD2)))))+180,360),MOD(540-DEGREES(ACOS(((SIN(RADIANS($B$2))*COS(RADIANS(AD2)))-SIN(RADIANS(T2)))/(COS(RADIANS($B$2))*SIN(RADIANS(AD2))))),360))</f>
        <v>176.95308667931477</v>
      </c>
      <c r="AI2" s="8">
        <f>SIN(RADIANS(B2))</f>
        <v>0.61014516390126761</v>
      </c>
      <c r="AJ2">
        <f>COS(RADIANS(B2))</f>
        <v>0.7922896433551907</v>
      </c>
      <c r="AK2">
        <f>SIN(RADIANS(T2))</f>
        <v>-0.38988839210591536</v>
      </c>
      <c r="AL2">
        <f>COS(RADIANS(T2))</f>
        <v>0.92086211872411383</v>
      </c>
      <c r="AM2">
        <f>ROUND(AA2,0)</f>
        <v>577</v>
      </c>
      <c r="AN2">
        <f>-AM2/2</f>
        <v>-288.5</v>
      </c>
      <c r="AO2">
        <f>AM2/2</f>
        <v>288.5</v>
      </c>
      <c r="AP2" s="16" cm="1">
        <f t="array" ref="AP2">SUMPRODUCT(1362*POWER(0.7,POWER(1/($AI$2*AK2+$AJ$2*AL2*COS(RADIANS(0.25*(_xlfn.SEQUENCE(AO2-AN2,1,AN2+1))))+0.50572*POWER(96.07995-DEGREES(ACOS($AI$2*AK2+$AJ$2*AL2*COS(RADIANS(0.25*(_xlfn.SEQUENCE(AO2-AN2,1,AN2+1)))))),-1.6364)),0.678))*IF(AL2*COS(RADIANS(0.25*(_xlfn.SEQUENCE(AO2-AN2,1,AN2+1))))&gt;0,AL2*COS(RADIANS(0.25*(_xlfn.SEQUENCE(AO2-AN2,1,AN2+1)))),0)/60)</f>
        <v>4218.9507122577716</v>
      </c>
      <c r="AQ2" s="17" cm="1">
        <f t="array" ref="AQ2">SUMPRODUCT(1362*POWER(0.7,POWER(1/($AI$2*AK2+$AJ$2*AL2*COS(RADIANS(0.25*(_xlfn.SEQUENCE(AO2-AN2,1,AN2+1))))+0.50572*POWER(96.07995-DEGREES(ACOS($AI$2*AK2+$AJ$2*AL2*COS(RADIANS(0.25*(_xlfn.SEQUENCE(AO2-AN2,1,AN2+1)))))),-1.6364)),0.678))/60)</f>
        <v>5495.6326126002796</v>
      </c>
      <c r="AR2" s="15">
        <f>AQ2/AP2</f>
        <v>1.3026064980169658</v>
      </c>
      <c r="AT2" s="13" cm="1">
        <f t="array" ref="AT2:AT578">$AI$2*AK2+$AJ$2*AL2*COS(RADIANS(0.25*(_xlfn.SEQUENCE(AO2-AN2,1,AN2+1))))</f>
        <v>-1.0919680950441574E-2</v>
      </c>
      <c r="AU2" cm="1">
        <f t="array" ref="AU2:AU578">DEGREES(ACOS($AI$2*AK2+$AJ$2*AL2*COS(RADIANS(0.25*(_xlfn.SEQUENCE(AO2-AN2,1,AN2+1))))))</f>
        <v>90.625664066481121</v>
      </c>
      <c r="AV2" s="14" cm="1">
        <f t="array" ref="AV2:AV578">1/($AI$2*AK2+$AJ$2*AL2*COS(RADIANS(0.25*(_xlfn.SEQUENCE(AO2-AN2,1,AN2+1))))+0.50572*POWER(96.07995-DEGREES(ACOS($AI$2*AK2+$AJ$2*AL2*COS(RADIANS(0.25*(_xlfn.SEQUENCE(AO2-AN2,1,AN2+1)))))),-1.6364))</f>
        <v>48.589825056392222</v>
      </c>
      <c r="AW2" cm="1">
        <f t="array" ref="AW2:AW578">1362*POWER(0.7,POWER(1/($AI$2*AK2+$AJ$2*AL2*COS(RADIANS(0.25*(_xlfn.SEQUENCE(AO2-AN2,1,AN2+1))))+0.50572*POWER(96.07995-DEGREES(ACOS($AI$2*AK2+$AJ$2*AL2*COS(RADIANS(0.25*(_xlfn.SEQUENCE(AO2-AN2,1,AN2+1)))))),-1.6364)),0.678))</f>
        <v>9.5223359339226121</v>
      </c>
      <c r="BC2" s="10"/>
      <c r="BF2" s="9"/>
      <c r="BU2" s="14"/>
      <c r="BW2" s="14"/>
      <c r="BY2" s="14"/>
      <c r="BZ2" s="14"/>
      <c r="CB2" s="10"/>
      <c r="CI2" s="10"/>
      <c r="CP2" t="s">
        <v>42</v>
      </c>
    </row>
    <row r="3" spans="1:94" ht="17" x14ac:dyDescent="0.2">
      <c r="A3" t="s">
        <v>1</v>
      </c>
      <c r="B3" s="5">
        <v>-121.95187</v>
      </c>
      <c r="D3" s="1">
        <f>D2+1</f>
        <v>46024</v>
      </c>
      <c r="E3" s="6">
        <f t="shared" ref="E3:E66" si="2">$B$5</f>
        <v>0.5</v>
      </c>
      <c r="F3" s="2">
        <f t="shared" ref="F3:F66" si="3">D3+2415018.5+E3-$B$4/24</f>
        <v>2461043.3333333335</v>
      </c>
      <c r="G3" s="3">
        <f t="shared" ref="G3:G66" si="4">(F3-2451545)/36525</f>
        <v>0.26005019393110168</v>
      </c>
      <c r="I3">
        <f t="shared" ref="I3:I66" si="5">MOD(280.46646+G3*(36000.76983 + G3*0.0003032),360)</f>
        <v>282.47365646468825</v>
      </c>
      <c r="J3">
        <f t="shared" ref="J3:J66" si="6">357.52911+G3*(35999.05029 - 0.0001537*G3)</f>
        <v>9719.0891088558492</v>
      </c>
      <c r="K3">
        <f t="shared" ref="K3:K66" si="7">0.016708634-G3*(0.000042037+0.0000001267*G3)</f>
        <v>1.6697693701770423E-2</v>
      </c>
      <c r="L3">
        <f t="shared" ref="L3:L66" si="8">SIN(RADIANS(J3))*(1.914602-G3*(0.004817+0.000014*G3))+SIN(RADIANS(2*J3))*(0.019993-0.000101*G3)+SIN(RADIANS(3*J3))*0.000289</f>
        <v>-3.1065761962007898E-2</v>
      </c>
      <c r="M3">
        <f t="shared" ref="M3:M66" si="9">I3+L3</f>
        <v>282.44259070272625</v>
      </c>
      <c r="N3">
        <f t="shared" ref="N3:N66" si="10">J3+L3</f>
        <v>9719.058043093888</v>
      </c>
      <c r="O3">
        <f t="shared" ref="O3:O66" si="11">(1.000001018*(1-K3*K3))/(1+K3*COS(RADIANS(N3)))</f>
        <v>0.9833054896788187</v>
      </c>
      <c r="P3">
        <f t="shared" ref="P3:P66" si="12">M3-0.00569-0.00478*SIN(RADIANS(125.04-1934.136*G3))</f>
        <v>282.43837244263392</v>
      </c>
      <c r="Q3">
        <f t="shared" ref="Q3:Q66" si="13">23+(26+((21.448-G3*(46.815+G3*(0.00059-G3*0.001813))))/60)/60</f>
        <v>23.435909372820962</v>
      </c>
      <c r="R3">
        <f t="shared" ref="R3:R66" si="14">Q3+0.00256*COS(RADIANS(125.04-1934.136*G3))</f>
        <v>23.438345008585607</v>
      </c>
      <c r="S3">
        <f t="shared" ref="S3:S66" si="15">DEGREES(ATAN2(COS(RADIANS(P3)),COS(RADIANS(R3))*SIN(RADIANS(P3))))</f>
        <v>-76.482468906404748</v>
      </c>
      <c r="T3" s="19">
        <f t="shared" ref="T3:T66" si="16">DEGREES(ASIN(SIN(RADIANS(R3))*SIN(RADIANS(P3))))</f>
        <v>-22.856585583909624</v>
      </c>
      <c r="U3">
        <f t="shared" ref="U3:U66" si="17">TAN(RADIANS(R3/2))*TAN(RADIANS(R3/2))</f>
        <v>4.3030956437592936E-2</v>
      </c>
      <c r="V3">
        <f t="shared" ref="V3:V66" si="18">4*DEGREES(U3*SIN(2*RADIANS(I3))-2*K3*SIN(RADIANS(J3))+4*K3*U3*SIN(RADIANS(J3))*COS(2*RADIANS(I3))-0.5*U3*U3*SIN(4*RADIANS(I3))-1.25*K3*K3*SIN(2*RADIANS(J3)))</f>
        <v>-4.1882125351577679</v>
      </c>
      <c r="W3">
        <f t="shared" ref="W3:W66" si="19">DEGREES(ACOS(COS(RADIANS(90.833))/(COS(RADIANS($B$2))*COS(RADIANS(T3)))-TAN(RADIANS($B$2))*TAN(RADIANS(T3))))</f>
        <v>72.259638666606804</v>
      </c>
      <c r="X3" s="6">
        <f t="shared" ref="X3:X66" si="20">(720-4*$B$3-V3+$B$4*60)/1440</f>
        <v>0.50833034203830407</v>
      </c>
      <c r="Y3" s="6">
        <f t="shared" ref="Y3:Y66" si="21">(X3*1440-W3*4)/1440</f>
        <v>0.30760912351995184</v>
      </c>
      <c r="Z3" s="6">
        <f t="shared" ref="Z3:Z66" si="22">(X3*1440+W3*4)/1440</f>
        <v>0.7090515605566563</v>
      </c>
      <c r="AA3" s="19">
        <f t="shared" ref="AA3:AA66" si="23">8*W3</f>
        <v>578.07710933285443</v>
      </c>
      <c r="AB3">
        <f t="shared" ref="AB3:AB66" si="24">MOD(E3*1440+V3+4*$B$3-60*$B$4,1440)</f>
        <v>708.00430746484221</v>
      </c>
      <c r="AC3">
        <f t="shared" ref="AC3:AC66" si="25">IF(AB3/4&lt;0,AB3/4+180,AB3/4-180)</f>
        <v>-2.9989231337894466</v>
      </c>
      <c r="AD3">
        <f t="shared" si="0"/>
        <v>60.522411523994343</v>
      </c>
      <c r="AE3">
        <f t="shared" ref="AE3:AE66" si="26">90-AD3</f>
        <v>29.477588476005657</v>
      </c>
      <c r="AF3">
        <f t="shared" ref="AF3:AF66" si="27">IF(AE3&gt;85,0,IF(AE3&gt;5,58.1/TAN(RADIANS(AE3))-0.07/POWER(TAN(RADIANS(AE3)),3)+0.000086/POWER(TAN(RADIANS(AE3)),5),IF(AE3&gt;-0.575,1735+AE3*(-518.2+AE3*(103.4+AE3*(-12.79+AE3*0.711))),-20.772/TAN(RADIANS(AE3)))))/3600</f>
        <v>2.844419466128462E-2</v>
      </c>
      <c r="AG3">
        <f t="shared" ref="AG3:AG66" si="28">AE3+AF3</f>
        <v>29.50603267066694</v>
      </c>
      <c r="AH3">
        <f t="shared" si="1"/>
        <v>176.82544898456308</v>
      </c>
      <c r="AK3">
        <f t="shared" ref="AK3:AK66" si="29">SIN(RADIANS(T3))</f>
        <v>-0.38842583374577921</v>
      </c>
      <c r="AL3">
        <f>COS(RADIANS(T3))</f>
        <v>0.92147998984182844</v>
      </c>
      <c r="AM3">
        <f t="shared" ref="AM3:AM66" si="30">ROUND(AA3,0)</f>
        <v>578</v>
      </c>
      <c r="AN3">
        <f t="shared" ref="AN3:AN66" si="31">-AM3/2</f>
        <v>-289</v>
      </c>
      <c r="AO3">
        <f t="shared" ref="AO3:AO66" si="32">AM3/2</f>
        <v>289</v>
      </c>
      <c r="AP3" s="16" cm="1">
        <f t="array" ref="AP3">SUMPRODUCT(1362*POWER(0.7,POWER(1/($AI$2*AK3+$AJ$2*AL3*COS(RADIANS(0.25*(_xlfn.SEQUENCE(AO3-AN3,1,AN3+1))))+0.50572*POWER(96.07995-DEGREES(ACOS($AI$2*AK3+$AJ$2*AL3*COS(RADIANS(0.25*(_xlfn.SEQUENCE(AO3-AN3,1,AN3+1)))))),-1.6364)),0.678))*IF(AL3*COS(RADIANS(0.25*(_xlfn.SEQUENCE(AO3-AN3,1,AN3+1))))&gt;0,AL3*COS(RADIANS(0.25*(_xlfn.SEQUENCE(AO3-AN3,1,AN3+1)))),0)/60)</f>
        <v>4230.431994959541</v>
      </c>
      <c r="AQ3" s="17" cm="1">
        <f t="array" ref="AQ3">SUMPRODUCT(1362*POWER(0.7,POWER(1/($AI$2*AK3+$AJ$2*AL3*COS(RADIANS(0.25*(_xlfn.SEQUENCE(AO3-AN3,1,AN3+1))))+0.50572*POWER(96.07995-DEGREES(ACOS($AI$2*AK3+$AJ$2*AL3*COS(RADIANS(0.25*(_xlfn.SEQUENCE(AO3-AN3,1,AN3+1)))))),-1.6364)),0.678))/60)</f>
        <v>5509.7944115135942</v>
      </c>
      <c r="AR3" s="15">
        <f t="shared" ref="AR3:AR66" si="33">AQ3/AP3</f>
        <v>1.3024188588962979</v>
      </c>
      <c r="AT3" s="9">
        <v>-7.8963780758302959E-3</v>
      </c>
      <c r="AU3">
        <v>90.452433839019548</v>
      </c>
      <c r="AV3">
        <v>45.38730251730351</v>
      </c>
      <c r="AW3">
        <v>11.915582580485784</v>
      </c>
    </row>
    <row r="4" spans="1:94" ht="17" x14ac:dyDescent="0.2">
      <c r="A4" t="s">
        <v>2</v>
      </c>
      <c r="B4" s="5">
        <v>-8</v>
      </c>
      <c r="D4" s="1">
        <f t="shared" ref="D4:D67" si="34">D3+1</f>
        <v>46025</v>
      </c>
      <c r="E4" s="6">
        <f t="shared" si="2"/>
        <v>0.5</v>
      </c>
      <c r="F4" s="2">
        <f t="shared" si="3"/>
        <v>2461044.3333333335</v>
      </c>
      <c r="G4" s="3">
        <f t="shared" si="4"/>
        <v>0.260077572438973</v>
      </c>
      <c r="I4">
        <f t="shared" si="5"/>
        <v>283.45930382916958</v>
      </c>
      <c r="J4">
        <f t="shared" si="6"/>
        <v>9720.074709135386</v>
      </c>
      <c r="K4">
        <f t="shared" si="7"/>
        <v>1.6697692549055839E-2</v>
      </c>
      <c r="L4">
        <f t="shared" si="8"/>
        <v>2.548053604475839E-3</v>
      </c>
      <c r="M4">
        <f t="shared" si="9"/>
        <v>283.46185188277406</v>
      </c>
      <c r="N4">
        <f t="shared" si="10"/>
        <v>9720.0772571889902</v>
      </c>
      <c r="O4">
        <f t="shared" si="11"/>
        <v>0.98330332313365831</v>
      </c>
      <c r="P4">
        <f t="shared" si="12"/>
        <v>283.45763782519805</v>
      </c>
      <c r="Q4">
        <f t="shared" si="13"/>
        <v>23.435909016786745</v>
      </c>
      <c r="R4">
        <f t="shared" si="14"/>
        <v>23.438343923031844</v>
      </c>
      <c r="S4">
        <f t="shared" si="15"/>
        <v>-75.381929003950958</v>
      </c>
      <c r="T4" s="19">
        <f t="shared" si="16"/>
        <v>-22.758038501913532</v>
      </c>
      <c r="U4">
        <f t="shared" si="17"/>
        <v>4.3030952338229816E-2</v>
      </c>
      <c r="V4">
        <f t="shared" si="18"/>
        <v>-4.6470126378436856</v>
      </c>
      <c r="W4">
        <f t="shared" si="19"/>
        <v>72.352518980428698</v>
      </c>
      <c r="X4" s="6">
        <f t="shared" si="20"/>
        <v>0.50864895322072479</v>
      </c>
      <c r="Y4" s="6">
        <f t="shared" si="21"/>
        <v>0.30766973383064511</v>
      </c>
      <c r="Z4" s="6">
        <f t="shared" si="22"/>
        <v>0.70962817261080446</v>
      </c>
      <c r="AA4" s="19">
        <f t="shared" si="23"/>
        <v>578.82015184342958</v>
      </c>
      <c r="AB4">
        <f t="shared" si="24"/>
        <v>707.54550736215629</v>
      </c>
      <c r="AC4">
        <f t="shared" si="25"/>
        <v>-3.1136231594609285</v>
      </c>
      <c r="AD4">
        <f t="shared" si="0"/>
        <v>60.42911356058557</v>
      </c>
      <c r="AE4">
        <f t="shared" si="26"/>
        <v>29.57088643941443</v>
      </c>
      <c r="AF4">
        <f t="shared" si="27"/>
        <v>2.8337188958552428E-2</v>
      </c>
      <c r="AG4">
        <f t="shared" si="28"/>
        <v>29.599223628372982</v>
      </c>
      <c r="AH4">
        <f t="shared" si="1"/>
        <v>176.69858366834262</v>
      </c>
      <c r="AJ4">
        <f>SIN(RADIANS(-22.94))</f>
        <v>-0.38976696399476024</v>
      </c>
      <c r="AK4">
        <f t="shared" si="29"/>
        <v>-0.38684034108239324</v>
      </c>
      <c r="AL4">
        <f t="shared" ref="AL4:AL66" si="35">COS(RADIANS(T4))</f>
        <v>0.92214670769420293</v>
      </c>
      <c r="AM4">
        <f t="shared" si="30"/>
        <v>579</v>
      </c>
      <c r="AN4">
        <f t="shared" si="31"/>
        <v>-289.5</v>
      </c>
      <c r="AO4">
        <f t="shared" si="32"/>
        <v>289.5</v>
      </c>
      <c r="AP4" s="16" cm="1">
        <f t="array" ref="AP4">SUMPRODUCT(1362*POWER(0.7,POWER(1/($AI$2*AK4+$AJ$2*AL4*COS(RADIANS(0.25*(_xlfn.SEQUENCE(AO4-AN4,1,AN4+1))))+0.50572*POWER(96.07995-DEGREES(ACOS($AI$2*AK4+$AJ$2*AL4*COS(RADIANS(0.25*(_xlfn.SEQUENCE(AO4-AN4,1,AN4+1)))))),-1.6364)),0.678))*IF(AL4*COS(RADIANS(0.25*(_xlfn.SEQUENCE(AO4-AN4,1,AN4+1))))&gt;0,AL4*COS(RADIANS(0.25*(_xlfn.SEQUENCE(AO4-AN4,1,AN4+1)))),0)/60)</f>
        <v>4242.8356675144205</v>
      </c>
      <c r="AQ4" s="17" cm="1">
        <f t="array" ref="AQ4">SUMPRODUCT(1362*POWER(0.7,POWER(1/($AI$2*AK4+$AJ$2*AL4*COS(RADIANS(0.25*(_xlfn.SEQUENCE(AO4-AN4,1,AN4+1))))+0.50572*POWER(96.07995-DEGREES(ACOS($AI$2*AK4+$AJ$2*AL4*COS(RADIANS(0.25*(_xlfn.SEQUENCE(AO4-AN4,1,AN4+1)))))),-1.6364)),0.678))/60)</f>
        <v>5525.0974531858374</v>
      </c>
      <c r="AR4" s="15">
        <f t="shared" si="33"/>
        <v>1.3022181121670933</v>
      </c>
      <c r="AT4" s="9">
        <v>-4.8774539200159561E-3</v>
      </c>
      <c r="AU4">
        <v>90.279458632426753</v>
      </c>
      <c r="AV4">
        <v>42.364029306540182</v>
      </c>
      <c r="AW4">
        <v>14.794101607805844</v>
      </c>
    </row>
    <row r="5" spans="1:94" ht="17" x14ac:dyDescent="0.2">
      <c r="A5" t="s">
        <v>12</v>
      </c>
      <c r="B5" s="7">
        <v>0.5</v>
      </c>
      <c r="D5" s="1">
        <f t="shared" si="34"/>
        <v>46026</v>
      </c>
      <c r="E5" s="6">
        <f t="shared" si="2"/>
        <v>0.5</v>
      </c>
      <c r="F5" s="2">
        <f t="shared" si="3"/>
        <v>2461045.3333333335</v>
      </c>
      <c r="G5" s="3">
        <f t="shared" si="4"/>
        <v>0.26010495094684433</v>
      </c>
      <c r="I5">
        <f t="shared" si="5"/>
        <v>284.44495119365274</v>
      </c>
      <c r="J5">
        <f t="shared" si="6"/>
        <v>9721.0603094149228</v>
      </c>
      <c r="K5">
        <f t="shared" si="7"/>
        <v>1.6697691396341065E-2</v>
      </c>
      <c r="L5">
        <f t="shared" si="8"/>
        <v>3.616106157298149E-2</v>
      </c>
      <c r="M5">
        <f t="shared" si="9"/>
        <v>284.4811122552257</v>
      </c>
      <c r="N5">
        <f t="shared" si="10"/>
        <v>9721.0964704764956</v>
      </c>
      <c r="O5">
        <f t="shared" si="11"/>
        <v>0.9833062666561031</v>
      </c>
      <c r="P5">
        <f t="shared" si="12"/>
        <v>284.47690239890534</v>
      </c>
      <c r="Q5">
        <f t="shared" si="13"/>
        <v>23.435908660752531</v>
      </c>
      <c r="R5">
        <f t="shared" si="14"/>
        <v>23.438342835398238</v>
      </c>
      <c r="S5">
        <f t="shared" si="15"/>
        <v>-74.283037449434673</v>
      </c>
      <c r="T5" s="19">
        <f t="shared" si="16"/>
        <v>-22.651961968610479</v>
      </c>
      <c r="U5">
        <f t="shared" si="17"/>
        <v>4.3030948231012785E-2</v>
      </c>
      <c r="V5">
        <f t="shared" si="18"/>
        <v>-5.0993600162955799</v>
      </c>
      <c r="W5">
        <f t="shared" si="19"/>
        <v>72.452296705566852</v>
      </c>
      <c r="X5" s="6">
        <f t="shared" si="20"/>
        <v>0.50896308334464968</v>
      </c>
      <c r="Y5" s="6">
        <f t="shared" si="21"/>
        <v>0.30770670360696395</v>
      </c>
      <c r="Z5" s="6">
        <f t="shared" si="22"/>
        <v>0.71021946308233541</v>
      </c>
      <c r="AA5" s="19">
        <f t="shared" si="23"/>
        <v>579.61837364453481</v>
      </c>
      <c r="AB5">
        <f t="shared" si="24"/>
        <v>707.09315998370448</v>
      </c>
      <c r="AC5">
        <f t="shared" si="25"/>
        <v>-3.2267100040738796</v>
      </c>
      <c r="AD5">
        <f t="shared" si="0"/>
        <v>60.328429967436691</v>
      </c>
      <c r="AE5">
        <f t="shared" si="26"/>
        <v>29.671570032563309</v>
      </c>
      <c r="AF5">
        <f t="shared" si="27"/>
        <v>2.8222389235090097E-2</v>
      </c>
      <c r="AG5">
        <f t="shared" si="28"/>
        <v>29.699792421798399</v>
      </c>
      <c r="AH5">
        <f t="shared" si="1"/>
        <v>176.57257938275166</v>
      </c>
      <c r="AK5">
        <f t="shared" si="29"/>
        <v>-0.38513243072002462</v>
      </c>
      <c r="AL5">
        <f t="shared" si="35"/>
        <v>0.9228613172127681</v>
      </c>
      <c r="AM5">
        <f t="shared" si="30"/>
        <v>580</v>
      </c>
      <c r="AN5">
        <f t="shared" si="31"/>
        <v>-290</v>
      </c>
      <c r="AO5">
        <f t="shared" si="32"/>
        <v>290</v>
      </c>
      <c r="AP5" s="16" cm="1">
        <f t="array" ref="AP5">SUMPRODUCT(1362*POWER(0.7,POWER(1/($AI$2*AK5+$AJ$2*AL5*COS(RADIANS(0.25*(_xlfn.SEQUENCE(AO5-AN5,1,AN5+1))))+0.50572*POWER(96.07995-DEGREES(ACOS($AI$2*AK5+$AJ$2*AL5*COS(RADIANS(0.25*(_xlfn.SEQUENCE(AO5-AN5,1,AN5+1)))))),-1.6364)),0.678))*IF(AL5*COS(RADIANS(0.25*(_xlfn.SEQUENCE(AO5-AN5,1,AN5+1))))&gt;0,AL5*COS(RADIANS(0.25*(_xlfn.SEQUENCE(AO5-AN5,1,AN5+1)))),0)/60)</f>
        <v>4256.1484983879691</v>
      </c>
      <c r="AQ5" s="17" cm="1">
        <f t="array" ref="AQ5">SUMPRODUCT(1362*POWER(0.7,POWER(1/($AI$2*AK5+$AJ$2*AL5*COS(RADIANS(0.25*(_xlfn.SEQUENCE(AO5-AN5,1,AN5+1))))+0.50572*POWER(96.07995-DEGREES(ACOS($AI$2*AK5+$AJ$2*AL5*COS(RADIANS(0.25*(_xlfn.SEQUENCE(AO5-AN5,1,AN5+1)))))),-1.6364)),0.678))/60)</f>
        <v>5541.5285766562492</v>
      </c>
      <c r="AR5" s="15">
        <f t="shared" si="33"/>
        <v>1.3020054583986256</v>
      </c>
      <c r="AT5" s="9">
        <v>-1.8629659589626535E-3</v>
      </c>
      <c r="AU5">
        <v>90.10674014856798</v>
      </c>
      <c r="AV5">
        <v>39.55046623601833</v>
      </c>
      <c r="AW5">
        <v>18.176210254263044</v>
      </c>
    </row>
    <row r="6" spans="1:94" ht="17" x14ac:dyDescent="0.2">
      <c r="A6" t="s">
        <v>22</v>
      </c>
      <c r="B6" s="5">
        <v>2026</v>
      </c>
      <c r="D6" s="1">
        <f t="shared" si="34"/>
        <v>46027</v>
      </c>
      <c r="E6" s="6">
        <f t="shared" si="2"/>
        <v>0.5</v>
      </c>
      <c r="F6" s="2">
        <f t="shared" si="3"/>
        <v>2461046.3333333335</v>
      </c>
      <c r="G6" s="3">
        <f t="shared" si="4"/>
        <v>0.26013232945471565</v>
      </c>
      <c r="I6">
        <f t="shared" si="5"/>
        <v>285.4305985581359</v>
      </c>
      <c r="J6">
        <f t="shared" si="6"/>
        <v>9722.0459096944578</v>
      </c>
      <c r="K6">
        <f t="shared" si="7"/>
        <v>1.66976902436261E-2</v>
      </c>
      <c r="L6">
        <f t="shared" si="8"/>
        <v>6.9762670979359648E-2</v>
      </c>
      <c r="M6">
        <f t="shared" si="9"/>
        <v>285.50036122911524</v>
      </c>
      <c r="N6">
        <f t="shared" si="10"/>
        <v>9722.1156723654367</v>
      </c>
      <c r="O6">
        <f t="shared" si="11"/>
        <v>0.98331431928346269</v>
      </c>
      <c r="P6">
        <f t="shared" si="12"/>
        <v>285.49615557278622</v>
      </c>
      <c r="Q6">
        <f t="shared" si="13"/>
        <v>23.435908304718314</v>
      </c>
      <c r="R6">
        <f t="shared" si="14"/>
        <v>23.438341745685413</v>
      </c>
      <c r="S6">
        <f t="shared" si="15"/>
        <v>-73.185914573486215</v>
      </c>
      <c r="T6" s="19">
        <f t="shared" si="16"/>
        <v>-22.538407860266318</v>
      </c>
      <c r="U6">
        <f t="shared" si="17"/>
        <v>4.3030944115944263E-2</v>
      </c>
      <c r="V6">
        <f t="shared" si="18"/>
        <v>-5.5447804481974687</v>
      </c>
      <c r="W6">
        <f t="shared" si="19"/>
        <v>72.558881111184576</v>
      </c>
      <c r="X6" s="6">
        <f t="shared" si="20"/>
        <v>0.5092724030890261</v>
      </c>
      <c r="Y6" s="6">
        <f t="shared" si="21"/>
        <v>0.30771995555795784</v>
      </c>
      <c r="Z6" s="6">
        <f t="shared" si="22"/>
        <v>0.71082485062009437</v>
      </c>
      <c r="AA6" s="19">
        <f t="shared" si="23"/>
        <v>580.47104888947661</v>
      </c>
      <c r="AB6">
        <f t="shared" si="24"/>
        <v>706.64773955180249</v>
      </c>
      <c r="AC6">
        <f t="shared" si="25"/>
        <v>-3.3380651120493781</v>
      </c>
      <c r="AD6">
        <f t="shared" si="0"/>
        <v>60.220401445881045</v>
      </c>
      <c r="AE6">
        <f t="shared" si="26"/>
        <v>29.779598554118955</v>
      </c>
      <c r="AF6">
        <f t="shared" si="27"/>
        <v>2.8099988209835197E-2</v>
      </c>
      <c r="AG6">
        <f t="shared" si="28"/>
        <v>29.80769854232879</v>
      </c>
      <c r="AH6">
        <f t="shared" si="1"/>
        <v>176.44752404820383</v>
      </c>
      <c r="AK6">
        <f t="shared" si="29"/>
        <v>-0.38330266308782607</v>
      </c>
      <c r="AL6">
        <f t="shared" si="35"/>
        <v>0.92362279555551274</v>
      </c>
      <c r="AM6">
        <f t="shared" si="30"/>
        <v>580</v>
      </c>
      <c r="AN6">
        <f t="shared" si="31"/>
        <v>-290</v>
      </c>
      <c r="AO6">
        <f t="shared" si="32"/>
        <v>290</v>
      </c>
      <c r="AP6" s="16" cm="1">
        <f t="array" ref="AP6">SUMPRODUCT(1362*POWER(0.7,POWER(1/($AI$2*AK6+$AJ$2*AL6*COS(RADIANS(0.25*(_xlfn.SEQUENCE(AO6-AN6,1,AN6+1))))+0.50572*POWER(96.07995-DEGREES(ACOS($AI$2*AK6+$AJ$2*AL6*COS(RADIANS(0.25*(_xlfn.SEQUENCE(AO6-AN6,1,AN6+1)))))),-1.6364)),0.678))*IF(AL6*COS(RADIANS(0.25*(_xlfn.SEQUENCE(AO6-AN6,1,AN6+1))))&gt;0,AL6*COS(RADIANS(0.25*(_xlfn.SEQUENCE(AO6-AN6,1,AN6+1)))),0)/60)</f>
        <v>4270.3226739107095</v>
      </c>
      <c r="AQ6" s="17" cm="1">
        <f t="array" ref="AQ6">SUMPRODUCT(1362*POWER(0.7,POWER(1/($AI$2*AK6+$AJ$2*AL6*COS(RADIANS(0.25*(_xlfn.SEQUENCE(AO6-AN6,1,AN6+1))))+0.50572*POWER(96.07995-DEGREES(ACOS($AI$2*AK6+$AJ$2*AL6*COS(RADIANS(0.25*(_xlfn.SEQUENCE(AO6-AN6,1,AN6+1)))))),-1.6364)),0.678))/60)</f>
        <v>5558.9523236785672</v>
      </c>
      <c r="AR6" s="15">
        <f t="shared" si="33"/>
        <v>1.3017639996248214</v>
      </c>
      <c r="AT6">
        <v>1.147028415824175E-3</v>
      </c>
      <c r="AU6">
        <v>89.934280098380697</v>
      </c>
      <c r="AV6">
        <v>36.956689525489381</v>
      </c>
      <c r="AW6">
        <v>22.068144252724</v>
      </c>
    </row>
    <row r="7" spans="1:94" ht="17" x14ac:dyDescent="0.2">
      <c r="D7" s="1">
        <f t="shared" si="34"/>
        <v>46028</v>
      </c>
      <c r="E7" s="6">
        <f t="shared" si="2"/>
        <v>0.5</v>
      </c>
      <c r="F7" s="2">
        <f t="shared" si="3"/>
        <v>2461047.3333333335</v>
      </c>
      <c r="G7" s="3">
        <f t="shared" si="4"/>
        <v>0.26015970796258697</v>
      </c>
      <c r="I7">
        <f t="shared" si="5"/>
        <v>286.41624592261905</v>
      </c>
      <c r="J7">
        <f t="shared" si="6"/>
        <v>9723.0315099739928</v>
      </c>
      <c r="K7">
        <f t="shared" si="7"/>
        <v>1.6697689090910947E-2</v>
      </c>
      <c r="L7">
        <f t="shared" si="8"/>
        <v>0.1033422951112966</v>
      </c>
      <c r="M7">
        <f t="shared" si="9"/>
        <v>286.51958821773036</v>
      </c>
      <c r="N7">
        <f t="shared" si="10"/>
        <v>9723.1348522691042</v>
      </c>
      <c r="O7">
        <f t="shared" si="11"/>
        <v>0.98332747838342704</v>
      </c>
      <c r="P7">
        <f t="shared" si="12"/>
        <v>286.51538676012473</v>
      </c>
      <c r="Q7">
        <f t="shared" si="13"/>
        <v>23.4359079486841</v>
      </c>
      <c r="R7">
        <f t="shared" si="14"/>
        <v>23.438340653893999</v>
      </c>
      <c r="S7">
        <f t="shared" si="15"/>
        <v>-72.090677342751093</v>
      </c>
      <c r="T7" s="19">
        <f t="shared" si="16"/>
        <v>-22.417431643624298</v>
      </c>
      <c r="U7">
        <f t="shared" si="17"/>
        <v>4.303093999302661E-2</v>
      </c>
      <c r="V7">
        <f t="shared" si="18"/>
        <v>-5.9828115768213621</v>
      </c>
      <c r="W7">
        <f t="shared" si="19"/>
        <v>72.672176212582116</v>
      </c>
      <c r="X7" s="6">
        <f t="shared" si="20"/>
        <v>0.50957659137279265</v>
      </c>
      <c r="Y7" s="6">
        <f t="shared" si="21"/>
        <v>0.30770943522673122</v>
      </c>
      <c r="Z7" s="6">
        <f t="shared" si="22"/>
        <v>0.71144374751885409</v>
      </c>
      <c r="AA7" s="19">
        <f t="shared" si="23"/>
        <v>581.37740970065693</v>
      </c>
      <c r="AB7">
        <f t="shared" si="24"/>
        <v>706.20970842317865</v>
      </c>
      <c r="AC7">
        <f t="shared" si="25"/>
        <v>-3.4475728942053365</v>
      </c>
      <c r="AD7">
        <f t="shared" si="0"/>
        <v>60.105071765612578</v>
      </c>
      <c r="AE7">
        <f t="shared" si="26"/>
        <v>29.894928234387422</v>
      </c>
      <c r="AF7">
        <f t="shared" si="27"/>
        <v>2.7970188794379069E-2</v>
      </c>
      <c r="AG7">
        <f t="shared" si="28"/>
        <v>29.922898423181799</v>
      </c>
      <c r="AH7">
        <f t="shared" si="1"/>
        <v>176.32350479411696</v>
      </c>
      <c r="AK7">
        <f t="shared" si="29"/>
        <v>-0.3813516422022617</v>
      </c>
      <c r="AL7">
        <f t="shared" si="35"/>
        <v>0.92443005413586499</v>
      </c>
      <c r="AM7">
        <f t="shared" si="30"/>
        <v>581</v>
      </c>
      <c r="AN7">
        <f t="shared" si="31"/>
        <v>-290.5</v>
      </c>
      <c r="AO7">
        <f t="shared" si="32"/>
        <v>290.5</v>
      </c>
      <c r="AP7" s="16" cm="1">
        <f t="array" ref="AP7">SUMPRODUCT(1362*POWER(0.7,POWER(1/($AI$2*AK7+$AJ$2*AL7*COS(RADIANS(0.25*(_xlfn.SEQUENCE(AO7-AN7,1,AN7+1))))+0.50572*POWER(96.07995-DEGREES(ACOS($AI$2*AK7+$AJ$2*AL7*COS(RADIANS(0.25*(_xlfn.SEQUENCE(AO7-AN7,1,AN7+1)))))),-1.6364)),0.678))*IF(AL7*COS(RADIANS(0.25*(_xlfn.SEQUENCE(AO7-AN7,1,AN7+1))))&gt;0,AL7*COS(RADIANS(0.25*(_xlfn.SEQUENCE(AO7-AN7,1,AN7+1)))),0)/60)</f>
        <v>4285.4106374685744</v>
      </c>
      <c r="AQ7" s="17" cm="1">
        <f t="array" ref="AQ7">SUMPRODUCT(1362*POWER(0.7,POWER(1/($AI$2*AK7+$AJ$2*AL7*COS(RADIANS(0.25*(_xlfn.SEQUENCE(AO7-AN7,1,AN7+1))))+0.50572*POWER(96.07995-DEGREES(ACOS($AI$2*AK7+$AJ$2*AL7*COS(RADIANS(0.25*(_xlfn.SEQUENCE(AO7-AN7,1,AN7+1)))))),-1.6364)),0.678))/60)</f>
        <v>5577.5970392096706</v>
      </c>
      <c r="AR7" s="15">
        <f t="shared" si="33"/>
        <v>1.3015315242938774</v>
      </c>
      <c r="AT7">
        <v>4.1524718983906028E-3</v>
      </c>
      <c r="AU7">
        <v>89.762080201929436</v>
      </c>
      <c r="AV7">
        <v>34.579945559965807</v>
      </c>
      <c r="AW7">
        <v>26.46462379151691</v>
      </c>
    </row>
    <row r="8" spans="1:94" ht="17" x14ac:dyDescent="0.2">
      <c r="D8" s="1">
        <f t="shared" si="34"/>
        <v>46029</v>
      </c>
      <c r="E8" s="6">
        <f t="shared" si="2"/>
        <v>0.5</v>
      </c>
      <c r="F8" s="2">
        <f t="shared" si="3"/>
        <v>2461048.3333333335</v>
      </c>
      <c r="G8" s="3">
        <f t="shared" si="4"/>
        <v>0.2601870864704583</v>
      </c>
      <c r="I8">
        <f t="shared" si="5"/>
        <v>287.40189328710221</v>
      </c>
      <c r="J8">
        <f t="shared" si="6"/>
        <v>9724.0171102535278</v>
      </c>
      <c r="K8">
        <f t="shared" si="7"/>
        <v>1.66976879381956E-2</v>
      </c>
      <c r="L8">
        <f t="shared" si="8"/>
        <v>0.13688935545517211</v>
      </c>
      <c r="M8">
        <f t="shared" si="9"/>
        <v>287.53878264255741</v>
      </c>
      <c r="N8">
        <f t="shared" si="10"/>
        <v>9724.1539996089832</v>
      </c>
      <c r="O8">
        <f t="shared" si="11"/>
        <v>0.98334573965516758</v>
      </c>
      <c r="P8">
        <f t="shared" si="12"/>
        <v>287.53458538240375</v>
      </c>
      <c r="Q8">
        <f t="shared" si="13"/>
        <v>23.435907592649887</v>
      </c>
      <c r="R8">
        <f t="shared" si="14"/>
        <v>23.438339560024623</v>
      </c>
      <c r="S8">
        <f t="shared" si="15"/>
        <v>-70.997439176832103</v>
      </c>
      <c r="T8" s="19">
        <f t="shared" si="16"/>
        <v>-22.289092288280557</v>
      </c>
      <c r="U8">
        <f t="shared" si="17"/>
        <v>4.3030935862262192E-2</v>
      </c>
      <c r="V8">
        <f t="shared" si="18"/>
        <v>-6.4130036056776651</v>
      </c>
      <c r="W8">
        <f t="shared" si="19"/>
        <v>72.792081075306285</v>
      </c>
      <c r="X8" s="6">
        <f t="shared" si="20"/>
        <v>0.50987533583727607</v>
      </c>
      <c r="Y8" s="6">
        <f t="shared" si="21"/>
        <v>0.30767511062809189</v>
      </c>
      <c r="Z8" s="6">
        <f t="shared" si="22"/>
        <v>0.71207556104646019</v>
      </c>
      <c r="AA8" s="19">
        <f t="shared" si="23"/>
        <v>582.33664860245028</v>
      </c>
      <c r="AB8">
        <f t="shared" si="24"/>
        <v>705.7795163943224</v>
      </c>
      <c r="AC8">
        <f t="shared" si="25"/>
        <v>-3.5551209014194001</v>
      </c>
      <c r="AD8">
        <f t="shared" si="0"/>
        <v>59.982487717658117</v>
      </c>
      <c r="AE8">
        <f t="shared" si="26"/>
        <v>30.017512282341883</v>
      </c>
      <c r="AF8">
        <f t="shared" si="27"/>
        <v>2.7833203232685046E-2</v>
      </c>
      <c r="AG8">
        <f t="shared" si="28"/>
        <v>30.045345485574568</v>
      </c>
      <c r="AH8">
        <f t="shared" si="1"/>
        <v>176.20060789823197</v>
      </c>
      <c r="AK8">
        <f t="shared" si="29"/>
        <v>-0.37928001540643802</v>
      </c>
      <c r="AL8">
        <f>COS(RADIANS(T8))</f>
        <v>0.92528194076902426</v>
      </c>
      <c r="AM8">
        <f t="shared" si="30"/>
        <v>582</v>
      </c>
      <c r="AN8">
        <f t="shared" si="31"/>
        <v>-291</v>
      </c>
      <c r="AO8">
        <f t="shared" si="32"/>
        <v>291</v>
      </c>
      <c r="AP8" s="16" cm="1">
        <f t="array" ref="AP8">SUMPRODUCT(1362*POWER(0.7,POWER(1/($AI$2*AK8+$AJ$2*AL8*COS(RADIANS(0.25*(_xlfn.SEQUENCE(AO8-AN8,1,AN8+1))))+0.50572*POWER(96.07995-DEGREES(ACOS($AI$2*AK8+$AJ$2*AL8*COS(RADIANS(0.25*(_xlfn.SEQUENCE(AO8-AN8,1,AN8+1)))))),-1.6364)),0.678))*IF(AL8*COS(RADIANS(0.25*(_xlfn.SEQUENCE(AO8-AN8,1,AN8+1))))&gt;0,AL8*COS(RADIANS(0.25*(_xlfn.SEQUENCE(AO8-AN8,1,AN8+1)))),0)/60)</f>
        <v>4301.3618751384811</v>
      </c>
      <c r="AQ8" s="17" cm="1">
        <f t="array" ref="AQ8">SUMPRODUCT(1362*POWER(0.7,POWER(1/($AI$2*AK8+$AJ$2*AL8*COS(RADIANS(0.25*(_xlfn.SEQUENCE(AO8-AN8,1,AN8+1))))+0.50572*POWER(96.07995-DEGREES(ACOS($AI$2*AK8+$AJ$2*AL8*COS(RADIANS(0.25*(_xlfn.SEQUENCE(AO8-AN8,1,AN8+1)))))),-1.6364)),0.678))/60)</f>
        <v>5597.3232194188704</v>
      </c>
      <c r="AR8" s="15">
        <f t="shared" si="33"/>
        <v>1.3012909357315272</v>
      </c>
      <c r="AT8">
        <v>7.1533072694246191E-3</v>
      </c>
      <c r="AU8">
        <v>89.590142188460334</v>
      </c>
      <c r="AV8">
        <v>32.409968237255654</v>
      </c>
      <c r="AW8">
        <v>31.350235622253106</v>
      </c>
    </row>
    <row r="9" spans="1:94" ht="17" x14ac:dyDescent="0.2">
      <c r="D9" s="1">
        <f t="shared" si="34"/>
        <v>46030</v>
      </c>
      <c r="E9" s="6">
        <f t="shared" si="2"/>
        <v>0.5</v>
      </c>
      <c r="F9" s="2">
        <f t="shared" si="3"/>
        <v>2461049.3333333335</v>
      </c>
      <c r="G9" s="3">
        <f t="shared" si="4"/>
        <v>0.26021446497832962</v>
      </c>
      <c r="I9">
        <f t="shared" si="5"/>
        <v>288.38754065158719</v>
      </c>
      <c r="J9">
        <f t="shared" si="6"/>
        <v>9725.0027105330628</v>
      </c>
      <c r="K9">
        <f t="shared" si="7"/>
        <v>1.6697686785480066E-2</v>
      </c>
      <c r="L9">
        <f t="shared" si="8"/>
        <v>0.17039328563781275</v>
      </c>
      <c r="M9">
        <f t="shared" si="9"/>
        <v>288.55793393722502</v>
      </c>
      <c r="N9">
        <f t="shared" si="10"/>
        <v>9725.1731038187008</v>
      </c>
      <c r="O9">
        <f t="shared" si="11"/>
        <v>0.98336909713113896</v>
      </c>
      <c r="P9">
        <f t="shared" si="12"/>
        <v>288.55374087324827</v>
      </c>
      <c r="Q9">
        <f t="shared" si="13"/>
        <v>23.435907236615673</v>
      </c>
      <c r="R9">
        <f t="shared" si="14"/>
        <v>23.438338464077912</v>
      </c>
      <c r="S9">
        <f t="shared" si="15"/>
        <v>-69.906309777303662</v>
      </c>
      <c r="T9" s="19">
        <f t="shared" si="16"/>
        <v>-22.153452174703993</v>
      </c>
      <c r="U9">
        <f t="shared" si="17"/>
        <v>4.3030931723653361E-2</v>
      </c>
      <c r="V9">
        <f t="shared" si="18"/>
        <v>-6.834919961571571</v>
      </c>
      <c r="W9">
        <f t="shared" si="19"/>
        <v>72.918490128958524</v>
      </c>
      <c r="X9" s="6">
        <f t="shared" si="20"/>
        <v>0.5101683333066469</v>
      </c>
      <c r="Y9" s="6">
        <f t="shared" si="21"/>
        <v>0.30761697183731768</v>
      </c>
      <c r="Z9" s="6">
        <f t="shared" si="22"/>
        <v>0.71271969477597608</v>
      </c>
      <c r="AA9" s="19">
        <f t="shared" si="23"/>
        <v>583.34792103166819</v>
      </c>
      <c r="AB9">
        <f t="shared" si="24"/>
        <v>705.35760003842847</v>
      </c>
      <c r="AC9">
        <f t="shared" si="25"/>
        <v>-3.6605999903928819</v>
      </c>
      <c r="AD9">
        <f t="shared" si="0"/>
        <v>59.852699064856374</v>
      </c>
      <c r="AE9">
        <f t="shared" si="26"/>
        <v>30.147300935143626</v>
      </c>
      <c r="AF9">
        <f t="shared" si="27"/>
        <v>2.7689252221398664E-2</v>
      </c>
      <c r="AG9">
        <f t="shared" si="28"/>
        <v>30.174990187365026</v>
      </c>
      <c r="AH9">
        <f t="shared" si="1"/>
        <v>176.07891872461437</v>
      </c>
      <c r="AK9">
        <f t="shared" si="29"/>
        <v>-0.37708847308652149</v>
      </c>
      <c r="AL9">
        <f t="shared" si="35"/>
        <v>0.92617724192795614</v>
      </c>
      <c r="AM9">
        <f t="shared" si="30"/>
        <v>583</v>
      </c>
      <c r="AN9">
        <f t="shared" si="31"/>
        <v>-291.5</v>
      </c>
      <c r="AO9">
        <f t="shared" si="32"/>
        <v>291.5</v>
      </c>
      <c r="AP9" s="16" cm="1">
        <f t="array" ref="AP9">SUMPRODUCT(1362*POWER(0.7,POWER(1/($AI$2*AK9+$AJ$2*AL9*COS(RADIANS(0.25*(_xlfn.SEQUENCE(AO9-AN9,1,AN9+1))))+0.50572*POWER(96.07995-DEGREES(ACOS($AI$2*AK9+$AJ$2*AL9*COS(RADIANS(0.25*(_xlfn.SEQUENCE(AO9-AN9,1,AN9+1)))))),-1.6364)),0.678))*IF(AL9*COS(RADIANS(0.25*(_xlfn.SEQUENCE(AO9-AN9,1,AN9+1))))&gt;0,AL9*COS(RADIANS(0.25*(_xlfn.SEQUENCE(AO9-AN9,1,AN9+1)))),0)/60)</f>
        <v>4318.1592839984187</v>
      </c>
      <c r="AQ9" s="17" cm="1">
        <f t="array" ref="AQ9">SUMPRODUCT(1362*POWER(0.7,POWER(1/($AI$2*AK9+$AJ$2*AL9*COS(RADIANS(0.25*(_xlfn.SEQUENCE(AO9-AN9,1,AN9+1))))+0.50572*POWER(96.07995-DEGREES(ACOS($AI$2*AK9+$AJ$2*AL9*COS(RADIANS(0.25*(_xlfn.SEQUENCE(AO9-AN9,1,AN9+1)))))),-1.6364)),0.678))/60)</f>
        <v>5618.1136356302532</v>
      </c>
      <c r="AR9" s="15">
        <f t="shared" si="33"/>
        <v>1.3010436313567701</v>
      </c>
      <c r="AT9">
        <v>1.0149477397346535E-2</v>
      </c>
      <c r="AU9">
        <v>89.418467796455175</v>
      </c>
      <c r="AV9">
        <v>30.432541872128624</v>
      </c>
      <c r="AW9">
        <v>36.7012656070481</v>
      </c>
    </row>
    <row r="10" spans="1:94" ht="17" x14ac:dyDescent="0.2">
      <c r="D10" s="1">
        <f t="shared" si="34"/>
        <v>46031</v>
      </c>
      <c r="E10" s="6">
        <f t="shared" si="2"/>
        <v>0.5</v>
      </c>
      <c r="F10" s="2">
        <f t="shared" si="3"/>
        <v>2461050.3333333335</v>
      </c>
      <c r="G10" s="3">
        <f t="shared" si="4"/>
        <v>0.26024184348620094</v>
      </c>
      <c r="I10">
        <f t="shared" si="5"/>
        <v>289.37318801607216</v>
      </c>
      <c r="J10">
        <f t="shared" si="6"/>
        <v>9725.9883108125978</v>
      </c>
      <c r="K10">
        <f t="shared" si="7"/>
        <v>1.6697685632764345E-2</v>
      </c>
      <c r="L10">
        <f t="shared" si="8"/>
        <v>0.20384353536203878</v>
      </c>
      <c r="M10">
        <f t="shared" si="9"/>
        <v>289.57703155143417</v>
      </c>
      <c r="N10">
        <f t="shared" si="10"/>
        <v>9726.1921543479602</v>
      </c>
      <c r="O10">
        <f t="shared" si="11"/>
        <v>0.98339754317957517</v>
      </c>
      <c r="P10">
        <f t="shared" si="12"/>
        <v>289.57284268235566</v>
      </c>
      <c r="Q10">
        <f t="shared" si="13"/>
        <v>23.435906880581459</v>
      </c>
      <c r="R10">
        <f t="shared" si="14"/>
        <v>23.438337366054505</v>
      </c>
      <c r="S10">
        <f t="shared" si="15"/>
        <v>-68.817394969162706</v>
      </c>
      <c r="T10" s="19">
        <f t="shared" si="16"/>
        <v>-22.010576998272253</v>
      </c>
      <c r="U10">
        <f t="shared" si="17"/>
        <v>4.303092757720256E-2</v>
      </c>
      <c r="V10">
        <f t="shared" si="18"/>
        <v>-7.2481379246312638</v>
      </c>
      <c r="W10">
        <f t="shared" si="19"/>
        <v>73.051293488820292</v>
      </c>
      <c r="X10" s="6">
        <f t="shared" si="20"/>
        <v>0.51045529022543834</v>
      </c>
      <c r="Y10" s="6">
        <f t="shared" si="21"/>
        <v>0.30753503053427084</v>
      </c>
      <c r="Z10" s="6">
        <f t="shared" si="22"/>
        <v>0.71337554991660579</v>
      </c>
      <c r="AA10" s="19">
        <f t="shared" si="23"/>
        <v>584.41034791056234</v>
      </c>
      <c r="AB10">
        <f t="shared" si="24"/>
        <v>704.94438207536882</v>
      </c>
      <c r="AC10">
        <f t="shared" si="25"/>
        <v>-3.7639044811577946</v>
      </c>
      <c r="AD10">
        <f t="shared" si="0"/>
        <v>59.715758490029707</v>
      </c>
      <c r="AE10">
        <f t="shared" si="26"/>
        <v>30.284241509970293</v>
      </c>
      <c r="AF10">
        <f t="shared" si="27"/>
        <v>2.753856401725218E-2</v>
      </c>
      <c r="AG10">
        <f t="shared" si="28"/>
        <v>30.311780073987546</v>
      </c>
      <c r="AH10">
        <f t="shared" si="1"/>
        <v>175.95852166038412</v>
      </c>
      <c r="AK10">
        <f t="shared" si="29"/>
        <v>-0.37477774836547972</v>
      </c>
      <c r="AL10">
        <f t="shared" si="35"/>
        <v>0.92711468510109429</v>
      </c>
      <c r="AM10">
        <f t="shared" si="30"/>
        <v>584</v>
      </c>
      <c r="AN10">
        <f t="shared" si="31"/>
        <v>-292</v>
      </c>
      <c r="AO10">
        <f t="shared" si="32"/>
        <v>292</v>
      </c>
      <c r="AP10" s="16" cm="1">
        <f t="array" ref="AP10">SUMPRODUCT(1362*POWER(0.7,POWER(1/($AI$2*AK10+$AJ$2*AL10*COS(RADIANS(0.25*(_xlfn.SEQUENCE(AO10-AN10,1,AN10+1))))+0.50572*POWER(96.07995-DEGREES(ACOS($AI$2*AK10+$AJ$2*AL10*COS(RADIANS(0.25*(_xlfn.SEQUENCE(AO10-AN10,1,AN10+1)))))),-1.6364)),0.678))*IF(AL10*COS(RADIANS(0.25*(_xlfn.SEQUENCE(AO10-AN10,1,AN10+1))))&gt;0,AL10*COS(RADIANS(0.25*(_xlfn.SEQUENCE(AO10-AN10,1,AN10+1)))),0)/60)</f>
        <v>4335.7848705119204</v>
      </c>
      <c r="AQ10" s="17" cm="1">
        <f t="array" ref="AQ10">SUMPRODUCT(1362*POWER(0.7,POWER(1/($AI$2*AK10+$AJ$2*AL10*COS(RADIANS(0.25*(_xlfn.SEQUENCE(AO10-AN10,1,AN10+1))))+0.50572*POWER(96.07995-DEGREES(ACOS($AI$2*AK10+$AJ$2*AL10*COS(RADIANS(0.25*(_xlfn.SEQUENCE(AO10-AN10,1,AN10+1)))))),-1.6364)),0.678))/60)</f>
        <v>5639.9501566977606</v>
      </c>
      <c r="AR10" s="15">
        <f t="shared" si="33"/>
        <v>1.3007910505559421</v>
      </c>
      <c r="AT10">
        <v>1.3140925239396056E-2</v>
      </c>
      <c r="AU10">
        <v>89.247058773685382</v>
      </c>
      <c r="AV10">
        <v>28.631789583970519</v>
      </c>
      <c r="AW10">
        <v>42.487681720639543</v>
      </c>
    </row>
    <row r="11" spans="1:94" ht="17" x14ac:dyDescent="0.2">
      <c r="D11" s="1">
        <f t="shared" si="34"/>
        <v>46032</v>
      </c>
      <c r="E11" s="6">
        <f t="shared" si="2"/>
        <v>0.5</v>
      </c>
      <c r="F11" s="2">
        <f t="shared" si="3"/>
        <v>2461051.3333333335</v>
      </c>
      <c r="G11" s="3">
        <f t="shared" si="4"/>
        <v>0.26026922199407226</v>
      </c>
      <c r="I11">
        <f t="shared" si="5"/>
        <v>290.35883538055532</v>
      </c>
      <c r="J11">
        <f t="shared" si="6"/>
        <v>9726.9739110921309</v>
      </c>
      <c r="K11">
        <f t="shared" si="7"/>
        <v>1.6697684480048429E-2</v>
      </c>
      <c r="L11">
        <f t="shared" si="8"/>
        <v>0.23722957433203054</v>
      </c>
      <c r="M11">
        <f t="shared" si="9"/>
        <v>290.59606495488737</v>
      </c>
      <c r="N11">
        <f t="shared" si="10"/>
        <v>9727.2111406664626</v>
      </c>
      <c r="O11">
        <f t="shared" si="11"/>
        <v>0.98343106850768114</v>
      </c>
      <c r="P11">
        <f t="shared" si="12"/>
        <v>290.59188027942486</v>
      </c>
      <c r="Q11">
        <f t="shared" si="13"/>
        <v>23.435906524547246</v>
      </c>
      <c r="R11">
        <f t="shared" si="14"/>
        <v>23.438336265955027</v>
      </c>
      <c r="S11">
        <f t="shared" si="15"/>
        <v>-67.730796554981595</v>
      </c>
      <c r="T11" s="19">
        <f t="shared" si="16"/>
        <v>-21.860535669700845</v>
      </c>
      <c r="U11">
        <f t="shared" si="17"/>
        <v>4.3030923422912128E-2</v>
      </c>
      <c r="V11">
        <f t="shared" si="18"/>
        <v>-7.6522492239855584</v>
      </c>
      <c r="W11">
        <f t="shared" si="19"/>
        <v>73.190377283426926</v>
      </c>
      <c r="X11" s="6">
        <f t="shared" si="20"/>
        <v>0.51073592307221216</v>
      </c>
      <c r="Y11" s="6">
        <f t="shared" si="21"/>
        <v>0.30742931950713737</v>
      </c>
      <c r="Z11" s="6">
        <f t="shared" si="22"/>
        <v>0.71404252663728696</v>
      </c>
      <c r="AA11" s="19">
        <f t="shared" si="23"/>
        <v>585.52301826741541</v>
      </c>
      <c r="AB11">
        <f t="shared" si="24"/>
        <v>704.54027077601449</v>
      </c>
      <c r="AC11">
        <f t="shared" si="25"/>
        <v>-3.8649323059963763</v>
      </c>
      <c r="AD11">
        <f t="shared" si="0"/>
        <v>59.571721542030872</v>
      </c>
      <c r="AE11">
        <f t="shared" si="26"/>
        <v>30.428278457969128</v>
      </c>
      <c r="AF11">
        <f t="shared" si="27"/>
        <v>2.7381373537914481E-2</v>
      </c>
      <c r="AG11">
        <f t="shared" si="28"/>
        <v>30.455659831507042</v>
      </c>
      <c r="AH11">
        <f t="shared" si="1"/>
        <v>175.83950005128236</v>
      </c>
      <c r="AK11">
        <f t="shared" si="29"/>
        <v>-0.37234861677435666</v>
      </c>
      <c r="AL11">
        <f t="shared" si="35"/>
        <v>0.92809294124361452</v>
      </c>
      <c r="AM11">
        <f t="shared" si="30"/>
        <v>586</v>
      </c>
      <c r="AN11">
        <f t="shared" si="31"/>
        <v>-293</v>
      </c>
      <c r="AO11">
        <f t="shared" si="32"/>
        <v>293</v>
      </c>
      <c r="AP11" s="16" cm="1">
        <f t="array" ref="AP11">SUMPRODUCT(1362*POWER(0.7,POWER(1/($AI$2*AK11+$AJ$2*AL11*COS(RADIANS(0.25*(_xlfn.SEQUENCE(AO11-AN11,1,AN11+1))))+0.50572*POWER(96.07995-DEGREES(ACOS($AI$2*AK11+$AJ$2*AL11*COS(RADIANS(0.25*(_xlfn.SEQUENCE(AO11-AN11,1,AN11+1)))))),-1.6364)),0.678))*IF(AL11*COS(RADIANS(0.25*(_xlfn.SEQUENCE(AO11-AN11,1,AN11+1))))&gt;0,AL11*COS(RADIANS(0.25*(_xlfn.SEQUENCE(AO11-AN11,1,AN11+1)))),0)/60)</f>
        <v>4354.2525335613582</v>
      </c>
      <c r="AQ11" s="17" cm="1">
        <f t="array" ref="AQ11">SUMPRODUCT(1362*POWER(0.7,POWER(1/($AI$2*AK11+$AJ$2*AL11*COS(RADIANS(0.25*(_xlfn.SEQUENCE(AO11-AN11,1,AN11+1))))+0.50572*POWER(96.07995-DEGREES(ACOS($AI$2*AK11+$AJ$2*AL11*COS(RADIANS(0.25*(_xlfn.SEQUENCE(AO11-AN11,1,AN11+1)))))),-1.6364)),0.678))/60)</f>
        <v>5662.9357186713796</v>
      </c>
      <c r="AR11" s="15">
        <f t="shared" si="33"/>
        <v>1.3005528905416162</v>
      </c>
      <c r="AT11">
        <v>1.6127593842718252E-2</v>
      </c>
      <c r="AU11">
        <v>89.075916877265584</v>
      </c>
      <c r="AV11">
        <v>26.991580887453161</v>
      </c>
      <c r="AW11">
        <v>48.675052714117953</v>
      </c>
    </row>
    <row r="12" spans="1:94" ht="17" x14ac:dyDescent="0.2">
      <c r="D12" s="1">
        <f t="shared" si="34"/>
        <v>46033</v>
      </c>
      <c r="E12" s="6">
        <f t="shared" si="2"/>
        <v>0.5</v>
      </c>
      <c r="F12" s="2">
        <f t="shared" si="3"/>
        <v>2461052.3333333335</v>
      </c>
      <c r="G12" s="3">
        <f t="shared" si="4"/>
        <v>0.26029660050194359</v>
      </c>
      <c r="I12">
        <f t="shared" si="5"/>
        <v>291.34448274504211</v>
      </c>
      <c r="J12">
        <f t="shared" si="6"/>
        <v>9727.9595113716659</v>
      </c>
      <c r="K12">
        <f t="shared" si="7"/>
        <v>1.6697683327332326E-2</v>
      </c>
      <c r="L12">
        <f t="shared" si="8"/>
        <v>0.27054089616836674</v>
      </c>
      <c r="M12">
        <f t="shared" si="9"/>
        <v>291.61502364121048</v>
      </c>
      <c r="N12">
        <f t="shared" si="10"/>
        <v>9728.2300522678343</v>
      </c>
      <c r="O12">
        <f t="shared" si="11"/>
        <v>0.98346966216552012</v>
      </c>
      <c r="P12">
        <f t="shared" si="12"/>
        <v>291.61084315807813</v>
      </c>
      <c r="Q12">
        <f t="shared" si="13"/>
        <v>23.435906168513032</v>
      </c>
      <c r="R12">
        <f t="shared" si="14"/>
        <v>23.43833516378012</v>
      </c>
      <c r="S12">
        <f t="shared" si="15"/>
        <v>-66.646612181971207</v>
      </c>
      <c r="T12" s="19">
        <f t="shared" si="16"/>
        <v>-21.703400212250209</v>
      </c>
      <c r="U12">
        <f t="shared" si="17"/>
        <v>4.303091926078452E-2</v>
      </c>
      <c r="V12">
        <f t="shared" si="18"/>
        <v>-8.0468605979006895</v>
      </c>
      <c r="W12">
        <f t="shared" si="19"/>
        <v>73.335623986246233</v>
      </c>
      <c r="X12" s="6">
        <f t="shared" si="20"/>
        <v>0.51100995874854205</v>
      </c>
      <c r="Y12" s="6">
        <f t="shared" si="21"/>
        <v>0.3072998921200803</v>
      </c>
      <c r="Z12" s="6">
        <f t="shared" si="22"/>
        <v>0.71472002537700374</v>
      </c>
      <c r="AA12" s="19">
        <f t="shared" si="23"/>
        <v>586.68499188996987</v>
      </c>
      <c r="AB12">
        <f t="shared" si="24"/>
        <v>704.14565940209923</v>
      </c>
      <c r="AC12">
        <f t="shared" si="25"/>
        <v>-3.9635851494751932</v>
      </c>
      <c r="AD12">
        <f t="shared" si="0"/>
        <v>59.420646579849254</v>
      </c>
      <c r="AE12">
        <f t="shared" si="26"/>
        <v>30.579353420150746</v>
      </c>
      <c r="AF12">
        <f t="shared" si="27"/>
        <v>2.7217921462430066E-2</v>
      </c>
      <c r="AG12">
        <f t="shared" si="28"/>
        <v>30.606571341613176</v>
      </c>
      <c r="AH12">
        <f t="shared" si="1"/>
        <v>175.72193613616912</v>
      </c>
      <c r="AK12">
        <f t="shared" si="29"/>
        <v>-0.36980189590135248</v>
      </c>
      <c r="AL12">
        <f t="shared" si="35"/>
        <v>0.92911062731397343</v>
      </c>
      <c r="AM12">
        <f t="shared" si="30"/>
        <v>587</v>
      </c>
      <c r="AN12">
        <f t="shared" si="31"/>
        <v>-293.5</v>
      </c>
      <c r="AO12">
        <f t="shared" si="32"/>
        <v>293.5</v>
      </c>
      <c r="AP12" s="16" cm="1">
        <f t="array" ref="AP12">SUMPRODUCT(1362*POWER(0.7,POWER(1/($AI$2*AK12+$AJ$2*AL12*COS(RADIANS(0.25*(_xlfn.SEQUENCE(AO12-AN12,1,AN12+1))))+0.50572*POWER(96.07995-DEGREES(ACOS($AI$2*AK12+$AJ$2*AL12*COS(RADIANS(0.25*(_xlfn.SEQUENCE(AO12-AN12,1,AN12+1)))))),-1.6364)),0.678))*IF(AL12*COS(RADIANS(0.25*(_xlfn.SEQUENCE(AO12-AN12,1,AN12+1))))&gt;0,AL12*COS(RADIANS(0.25*(_xlfn.SEQUENCE(AO12-AN12,1,AN12+1)))),0)/60)</f>
        <v>4373.4775144635623</v>
      </c>
      <c r="AQ12" s="17" cm="1">
        <f t="array" ref="AQ12">SUMPRODUCT(1362*POWER(0.7,POWER(1/($AI$2*AK12+$AJ$2*AL12*COS(RADIANS(0.25*(_xlfn.SEQUENCE(AO12-AN12,1,AN12+1))))+0.50572*POWER(96.07995-DEGREES(ACOS($AI$2*AK12+$AJ$2*AL12*COS(RADIANS(0.25*(_xlfn.SEQUENCE(AO12-AN12,1,AN12+1)))))),-1.6364)),0.678))/60)</f>
        <v>5686.8089788067764</v>
      </c>
      <c r="AR12" s="15">
        <f t="shared" si="33"/>
        <v>1.300294550503549</v>
      </c>
      <c r="AT12">
        <v>1.9109426345448349E-2</v>
      </c>
      <c r="AU12">
        <v>88.90504387370666</v>
      </c>
      <c r="AV12">
        <v>25.496352322803457</v>
      </c>
      <c r="AW12">
        <v>55.226269319031303</v>
      </c>
    </row>
    <row r="13" spans="1:94" ht="17" x14ac:dyDescent="0.2">
      <c r="D13" s="1">
        <f t="shared" si="34"/>
        <v>46034</v>
      </c>
      <c r="E13" s="6">
        <f t="shared" si="2"/>
        <v>0.5</v>
      </c>
      <c r="F13" s="2">
        <f t="shared" si="3"/>
        <v>2461053.3333333335</v>
      </c>
      <c r="G13" s="3">
        <f t="shared" si="4"/>
        <v>0.26032397900981485</v>
      </c>
      <c r="I13">
        <f t="shared" si="5"/>
        <v>292.33013010952527</v>
      </c>
      <c r="J13">
        <f t="shared" si="6"/>
        <v>9728.9451116511991</v>
      </c>
      <c r="K13">
        <f t="shared" si="7"/>
        <v>1.6697682174616032E-2</v>
      </c>
      <c r="L13">
        <f t="shared" si="8"/>
        <v>0.30376702230790331</v>
      </c>
      <c r="M13">
        <f t="shared" si="9"/>
        <v>292.63389713183318</v>
      </c>
      <c r="N13">
        <f t="shared" si="10"/>
        <v>9729.2488786735066</v>
      </c>
      <c r="O13">
        <f t="shared" si="11"/>
        <v>0.98351331155058552</v>
      </c>
      <c r="P13">
        <f t="shared" si="12"/>
        <v>292.62972083974165</v>
      </c>
      <c r="Q13">
        <f t="shared" si="13"/>
        <v>23.435905812478822</v>
      </c>
      <c r="R13">
        <f t="shared" si="14"/>
        <v>23.438334059530423</v>
      </c>
      <c r="S13">
        <f t="shared" si="15"/>
        <v>-65.564935222122102</v>
      </c>
      <c r="T13" s="19">
        <f t="shared" si="16"/>
        <v>-21.539245656103539</v>
      </c>
      <c r="U13">
        <f t="shared" si="17"/>
        <v>4.3030915090822103E-2</v>
      </c>
      <c r="V13">
        <f t="shared" si="18"/>
        <v>-8.4315943172835901</v>
      </c>
      <c r="W13">
        <f t="shared" si="19"/>
        <v>73.486912749655005</v>
      </c>
      <c r="X13" s="6">
        <f t="shared" si="20"/>
        <v>0.511277134942558</v>
      </c>
      <c r="Y13" s="6">
        <f t="shared" si="21"/>
        <v>0.30714682174907187</v>
      </c>
      <c r="Z13" s="6">
        <f t="shared" si="22"/>
        <v>0.71540744813604407</v>
      </c>
      <c r="AA13" s="19">
        <f t="shared" si="23"/>
        <v>587.89530199724004</v>
      </c>
      <c r="AB13">
        <f t="shared" si="24"/>
        <v>703.76092568271633</v>
      </c>
      <c r="AC13">
        <f t="shared" si="25"/>
        <v>-4.0597685793209166</v>
      </c>
      <c r="AD13">
        <f t="shared" si="0"/>
        <v>59.262594714961601</v>
      </c>
      <c r="AE13">
        <f t="shared" si="26"/>
        <v>30.737405285038399</v>
      </c>
      <c r="AF13">
        <f t="shared" si="27"/>
        <v>2.7048453337122257E-2</v>
      </c>
      <c r="AG13">
        <f t="shared" si="28"/>
        <v>30.764453738375522</v>
      </c>
      <c r="AH13">
        <f t="shared" si="1"/>
        <v>175.60591098059547</v>
      </c>
      <c r="AK13">
        <f t="shared" si="29"/>
        <v>-0.367138445019073</v>
      </c>
      <c r="AL13">
        <f t="shared" si="35"/>
        <v>0.93016630888727481</v>
      </c>
      <c r="AM13">
        <f t="shared" si="30"/>
        <v>588</v>
      </c>
      <c r="AN13">
        <f t="shared" si="31"/>
        <v>-294</v>
      </c>
      <c r="AO13">
        <f t="shared" si="32"/>
        <v>294</v>
      </c>
      <c r="AP13" s="16" cm="1">
        <f t="array" ref="AP13">SUMPRODUCT(1362*POWER(0.7,POWER(1/($AI$2*AK13+$AJ$2*AL13*COS(RADIANS(0.25*(_xlfn.SEQUENCE(AO13-AN13,1,AN13+1))))+0.50572*POWER(96.07995-DEGREES(ACOS($AI$2*AK13+$AJ$2*AL13*COS(RADIANS(0.25*(_xlfn.SEQUENCE(AO13-AN13,1,AN13+1)))))),-1.6364)),0.678))*IF(AL13*COS(RADIANS(0.25*(_xlfn.SEQUENCE(AO13-AN13,1,AN13+1))))&gt;0,AL13*COS(RADIANS(0.25*(_xlfn.SEQUENCE(AO13-AN13,1,AN13+1)))),0)/60)</f>
        <v>4393.4718886684996</v>
      </c>
      <c r="AQ13" s="17" cm="1">
        <f t="array" ref="AQ13">SUMPRODUCT(1362*POWER(0.7,POWER(1/($AI$2*AK13+$AJ$2*AL13*COS(RADIANS(0.25*(_xlfn.SEQUENCE(AO13-AN13,1,AN13+1))))+0.50572*POWER(96.07995-DEGREES(ACOS($AI$2*AK13+$AJ$2*AL13*COS(RADIANS(0.25*(_xlfn.SEQUENCE(AO13-AN13,1,AN13+1)))))),-1.6364)),0.678))/60)</f>
        <v>5711.6697788477913</v>
      </c>
      <c r="AR13" s="15">
        <f t="shared" si="33"/>
        <v>1.3000355808760595</v>
      </c>
      <c r="AT13">
        <v>2.2086365977793315E-2</v>
      </c>
      <c r="AU13">
        <v>88.734441538968767</v>
      </c>
      <c r="AV13">
        <v>24.131548479080251</v>
      </c>
      <c r="AW13">
        <v>62.103001271166661</v>
      </c>
    </row>
    <row r="14" spans="1:94" ht="17" x14ac:dyDescent="0.2">
      <c r="D14" s="1">
        <f t="shared" si="34"/>
        <v>46035</v>
      </c>
      <c r="E14" s="6">
        <f t="shared" si="2"/>
        <v>0.5</v>
      </c>
      <c r="F14" s="2">
        <f t="shared" si="3"/>
        <v>2461054.3333333335</v>
      </c>
      <c r="G14" s="3">
        <f t="shared" si="4"/>
        <v>0.26035135751768618</v>
      </c>
      <c r="I14">
        <f t="shared" si="5"/>
        <v>293.31577747401207</v>
      </c>
      <c r="J14">
        <f t="shared" si="6"/>
        <v>9729.9307119307323</v>
      </c>
      <c r="K14">
        <f t="shared" si="7"/>
        <v>1.6697681021899551E-2</v>
      </c>
      <c r="L14">
        <f t="shared" si="8"/>
        <v>0.33689750588902928</v>
      </c>
      <c r="M14">
        <f t="shared" si="9"/>
        <v>293.65267497990112</v>
      </c>
      <c r="N14">
        <f t="shared" si="10"/>
        <v>9730.2676094366216</v>
      </c>
      <c r="O14">
        <f t="shared" si="11"/>
        <v>0.98356200241306524</v>
      </c>
      <c r="P14">
        <f t="shared" si="12"/>
        <v>293.64850287755741</v>
      </c>
      <c r="Q14">
        <f t="shared" si="13"/>
        <v>23.435905456444608</v>
      </c>
      <c r="R14">
        <f t="shared" si="14"/>
        <v>23.438332953206565</v>
      </c>
      <c r="S14">
        <f t="shared" si="15"/>
        <v>-64.485854665403181</v>
      </c>
      <c r="T14" s="19">
        <f t="shared" si="16"/>
        <v>-21.368149930292411</v>
      </c>
      <c r="U14">
        <f t="shared" si="17"/>
        <v>4.3030910913027298E-2</v>
      </c>
      <c r="V14">
        <f t="shared" si="18"/>
        <v>-8.8060886716378945</v>
      </c>
      <c r="W14">
        <f t="shared" si="19"/>
        <v>73.644119739478526</v>
      </c>
      <c r="X14" s="6">
        <f t="shared" si="20"/>
        <v>0.51153720046641526</v>
      </c>
      <c r="Y14" s="6">
        <f t="shared" si="21"/>
        <v>0.306970201190086</v>
      </c>
      <c r="Z14" s="6">
        <f t="shared" si="22"/>
        <v>0.71610419974274453</v>
      </c>
      <c r="AA14" s="19">
        <f t="shared" si="23"/>
        <v>589.15295791582821</v>
      </c>
      <c r="AB14">
        <f t="shared" si="24"/>
        <v>703.38643132836205</v>
      </c>
      <c r="AC14">
        <f t="shared" si="25"/>
        <v>-4.1533921679094874</v>
      </c>
      <c r="AD14">
        <f t="shared" si="0"/>
        <v>59.097629752093049</v>
      </c>
      <c r="AE14">
        <f t="shared" si="26"/>
        <v>30.902370247906951</v>
      </c>
      <c r="AF14">
        <f t="shared" si="27"/>
        <v>2.6873218692497664E-2</v>
      </c>
      <c r="AG14">
        <f t="shared" si="28"/>
        <v>30.929243466599448</v>
      </c>
      <c r="AH14">
        <f t="shared" si="1"/>
        <v>175.49150440958203</v>
      </c>
      <c r="AK14">
        <f t="shared" si="29"/>
        <v>-0.36435916469006868</v>
      </c>
      <c r="AL14">
        <f t="shared" si="35"/>
        <v>0.93125850283707767</v>
      </c>
      <c r="AM14">
        <f t="shared" si="30"/>
        <v>589</v>
      </c>
      <c r="AN14">
        <f t="shared" si="31"/>
        <v>-294.5</v>
      </c>
      <c r="AO14">
        <f t="shared" si="32"/>
        <v>294.5</v>
      </c>
      <c r="AP14" s="16" cm="1">
        <f t="array" ref="AP14">SUMPRODUCT(1362*POWER(0.7,POWER(1/($AI$2*AK14+$AJ$2*AL14*COS(RADIANS(0.25*(_xlfn.SEQUENCE(AO14-AN14,1,AN14+1))))+0.50572*POWER(96.07995-DEGREES(ACOS($AI$2*AK14+$AJ$2*AL14*COS(RADIANS(0.25*(_xlfn.SEQUENCE(AO14-AN14,1,AN14+1)))))),-1.6364)),0.678))*IF(AL14*COS(RADIANS(0.25*(_xlfn.SEQUENCE(AO14-AN14,1,AN14+1))))&gt;0,AL14*COS(RADIANS(0.25*(_xlfn.SEQUENCE(AO14-AN14,1,AN14+1)))),0)/60)</f>
        <v>4414.2144548354572</v>
      </c>
      <c r="AQ14" s="17" cm="1">
        <f t="array" ref="AQ14">SUMPRODUCT(1362*POWER(0.7,POWER(1/($AI$2*AK14+$AJ$2*AL14*COS(RADIANS(0.25*(_xlfn.SEQUENCE(AO14-AN14,1,AN14+1))))+0.50572*POWER(96.07995-DEGREES(ACOS($AI$2*AK14+$AJ$2*AL14*COS(RADIANS(0.25*(_xlfn.SEQUENCE(AO14-AN14,1,AN14+1)))))),-1.6364)),0.678))/60)</f>
        <v>5737.4968940912895</v>
      </c>
      <c r="AR14" s="15">
        <f t="shared" si="33"/>
        <v>1.2997775601514492</v>
      </c>
      <c r="AT14">
        <v>2.505835606311399E-2</v>
      </c>
      <c r="AU14">
        <v>88.564111658513596</v>
      </c>
      <c r="AV14">
        <v>22.883824437366133</v>
      </c>
      <c r="AW14">
        <v>69.266871232123023</v>
      </c>
    </row>
    <row r="15" spans="1:94" ht="17" x14ac:dyDescent="0.2">
      <c r="D15" s="1">
        <f t="shared" si="34"/>
        <v>46036</v>
      </c>
      <c r="E15" s="6">
        <f t="shared" si="2"/>
        <v>0.5</v>
      </c>
      <c r="F15" s="2">
        <f t="shared" si="3"/>
        <v>2461055.3333333335</v>
      </c>
      <c r="G15" s="3">
        <f t="shared" si="4"/>
        <v>0.2603787360255575</v>
      </c>
      <c r="I15">
        <f t="shared" si="5"/>
        <v>294.30142483850068</v>
      </c>
      <c r="J15">
        <f t="shared" si="6"/>
        <v>9730.9163122102655</v>
      </c>
      <c r="K15">
        <f t="shared" si="7"/>
        <v>1.6697679869182875E-2</v>
      </c>
      <c r="L15">
        <f t="shared" si="8"/>
        <v>0.3699219356181061</v>
      </c>
      <c r="M15">
        <f t="shared" si="9"/>
        <v>294.67134677411877</v>
      </c>
      <c r="N15">
        <f t="shared" si="10"/>
        <v>9731.286234145884</v>
      </c>
      <c r="O15">
        <f t="shared" si="11"/>
        <v>0.98361571886178456</v>
      </c>
      <c r="P15">
        <f t="shared" si="12"/>
        <v>294.66717886022633</v>
      </c>
      <c r="Q15">
        <f t="shared" si="13"/>
        <v>23.435905100410395</v>
      </c>
      <c r="R15">
        <f t="shared" si="14"/>
        <v>23.438331844809195</v>
      </c>
      <c r="S15">
        <f t="shared" si="15"/>
        <v>-63.409455026113662</v>
      </c>
      <c r="T15" s="19">
        <f t="shared" si="16"/>
        <v>-21.190193752572636</v>
      </c>
      <c r="U15">
        <f t="shared" si="17"/>
        <v>4.3030906727402521E-2</v>
      </c>
      <c r="V15">
        <f t="shared" si="18"/>
        <v>-9.1699984166233204</v>
      </c>
      <c r="W15">
        <f t="shared" si="19"/>
        <v>73.80711846840191</v>
      </c>
      <c r="X15" s="6">
        <f t="shared" si="20"/>
        <v>0.51178991556709941</v>
      </c>
      <c r="Y15" s="6">
        <f t="shared" si="21"/>
        <v>0.3067701420437608</v>
      </c>
      <c r="Z15" s="6">
        <f t="shared" si="22"/>
        <v>0.71680968909043818</v>
      </c>
      <c r="AA15" s="19">
        <f t="shared" si="23"/>
        <v>590.45694774721528</v>
      </c>
      <c r="AB15">
        <f t="shared" si="24"/>
        <v>703.0225215833766</v>
      </c>
      <c r="AC15">
        <f t="shared" si="25"/>
        <v>-4.2443696041558496</v>
      </c>
      <c r="AD15">
        <f t="shared" si="0"/>
        <v>58.925818128573731</v>
      </c>
      <c r="AE15">
        <f t="shared" si="26"/>
        <v>31.074181871426269</v>
      </c>
      <c r="AF15">
        <f t="shared" si="27"/>
        <v>2.6692470176347381E-2</v>
      </c>
      <c r="AG15">
        <f t="shared" si="28"/>
        <v>31.100874341602616</v>
      </c>
      <c r="AH15">
        <f t="shared" si="1"/>
        <v>175.37879493980029</v>
      </c>
      <c r="AK15">
        <f t="shared" si="29"/>
        <v>-0.36146499635123691</v>
      </c>
      <c r="AL15">
        <f t="shared" si="35"/>
        <v>0.93238568007708067</v>
      </c>
      <c r="AM15">
        <f t="shared" si="30"/>
        <v>590</v>
      </c>
      <c r="AN15">
        <f t="shared" si="31"/>
        <v>-295</v>
      </c>
      <c r="AO15">
        <f t="shared" si="32"/>
        <v>295</v>
      </c>
      <c r="AP15" s="16" cm="1">
        <f t="array" ref="AP15">SUMPRODUCT(1362*POWER(0.7,POWER(1/($AI$2*AK15+$AJ$2*AL15*COS(RADIANS(0.25*(_xlfn.SEQUENCE(AO15-AN15,1,AN15+1))))+0.50572*POWER(96.07995-DEGREES(ACOS($AI$2*AK15+$AJ$2*AL15*COS(RADIANS(0.25*(_xlfn.SEQUENCE(AO15-AN15,1,AN15+1)))))),-1.6364)),0.678))*IF(AL15*COS(RADIANS(0.25*(_xlfn.SEQUENCE(AO15-AN15,1,AN15+1))))&gt;0,AL15*COS(RADIANS(0.25*(_xlfn.SEQUENCE(AO15-AN15,1,AN15+1)))),0)/60)</f>
        <v>4435.6832988639326</v>
      </c>
      <c r="AQ15" s="17" cm="1">
        <f t="array" ref="AQ15">SUMPRODUCT(1362*POWER(0.7,POWER(1/($AI$2*AK15+$AJ$2*AL15*COS(RADIANS(0.25*(_xlfn.SEQUENCE(AO15-AN15,1,AN15+1))))+0.50572*POWER(96.07995-DEGREES(ACOS($AI$2*AK15+$AJ$2*AL15*COS(RADIANS(0.25*(_xlfn.SEQUENCE(AO15-AN15,1,AN15+1)))))),-1.6364)),0.678))/60)</f>
        <v>5764.2684343047713</v>
      </c>
      <c r="AR15" s="15">
        <f t="shared" si="33"/>
        <v>1.2995220907184957</v>
      </c>
      <c r="AT15">
        <v>2.8025340019003059E-2</v>
      </c>
      <c r="AU15">
        <v>88.394056027356612</v>
      </c>
      <c r="AV15">
        <v>21.741103027480158</v>
      </c>
      <c r="AW15">
        <v>76.680357400842652</v>
      </c>
    </row>
    <row r="16" spans="1:94" ht="17" x14ac:dyDescent="0.2">
      <c r="D16" s="1">
        <f t="shared" si="34"/>
        <v>46037</v>
      </c>
      <c r="E16" s="6">
        <f t="shared" si="2"/>
        <v>0.5</v>
      </c>
      <c r="F16" s="2">
        <f t="shared" si="3"/>
        <v>2461056.3333333335</v>
      </c>
      <c r="G16" s="3">
        <f t="shared" si="4"/>
        <v>0.26040611453342882</v>
      </c>
      <c r="I16">
        <f t="shared" si="5"/>
        <v>295.28707220298747</v>
      </c>
      <c r="J16">
        <f t="shared" si="6"/>
        <v>9731.9019124898005</v>
      </c>
      <c r="K16">
        <f t="shared" si="7"/>
        <v>1.6697678716466012E-2</v>
      </c>
      <c r="L16">
        <f t="shared" si="8"/>
        <v>0.4028299396156772</v>
      </c>
      <c r="M16">
        <f t="shared" si="9"/>
        <v>295.68990214260316</v>
      </c>
      <c r="N16">
        <f t="shared" si="10"/>
        <v>9732.3047424294164</v>
      </c>
      <c r="O16">
        <f t="shared" si="11"/>
        <v>0.9836744433708311</v>
      </c>
      <c r="P16">
        <f t="shared" si="12"/>
        <v>295.68573841586186</v>
      </c>
      <c r="Q16">
        <f t="shared" si="13"/>
        <v>23.435904744376185</v>
      </c>
      <c r="R16">
        <f t="shared" si="14"/>
        <v>23.438330734338958</v>
      </c>
      <c r="S16">
        <f t="shared" si="15"/>
        <v>-62.335816262227532</v>
      </c>
      <c r="T16" s="19">
        <f t="shared" si="16"/>
        <v>-21.005460517621238</v>
      </c>
      <c r="U16">
        <f t="shared" si="17"/>
        <v>4.3030902533950248E-2</v>
      </c>
      <c r="V16">
        <f t="shared" si="18"/>
        <v>-9.5229951825599937</v>
      </c>
      <c r="W16">
        <f t="shared" si="19"/>
        <v>73.975780126668255</v>
      </c>
      <c r="X16" s="6">
        <f t="shared" si="20"/>
        <v>0.51203505221011103</v>
      </c>
      <c r="Y16" s="6">
        <f t="shared" si="21"/>
        <v>0.30654677408047698</v>
      </c>
      <c r="Z16" s="6">
        <f t="shared" si="22"/>
        <v>0.71752333033974514</v>
      </c>
      <c r="AA16" s="19">
        <f t="shared" si="23"/>
        <v>591.80624101334604</v>
      </c>
      <c r="AB16">
        <f t="shared" si="24"/>
        <v>702.66952481744011</v>
      </c>
      <c r="AC16">
        <f t="shared" si="25"/>
        <v>-4.3326187956399735</v>
      </c>
      <c r="AD16">
        <f t="shared" si="0"/>
        <v>58.747228852444216</v>
      </c>
      <c r="AE16">
        <f t="shared" si="26"/>
        <v>31.252771147555784</v>
      </c>
      <c r="AF16">
        <f t="shared" si="27"/>
        <v>2.6506462707809653E-2</v>
      </c>
      <c r="AG16">
        <f t="shared" si="28"/>
        <v>31.279277610263595</v>
      </c>
      <c r="AH16">
        <f t="shared" si="1"/>
        <v>175.26785971131358</v>
      </c>
      <c r="AK16">
        <f t="shared" si="29"/>
        <v>-0.35845692187723016</v>
      </c>
      <c r="AL16">
        <f t="shared" si="35"/>
        <v>0.93354626835433352</v>
      </c>
      <c r="AM16">
        <f t="shared" si="30"/>
        <v>592</v>
      </c>
      <c r="AN16">
        <f t="shared" si="31"/>
        <v>-296</v>
      </c>
      <c r="AO16">
        <f t="shared" si="32"/>
        <v>296</v>
      </c>
      <c r="AP16" s="16" cm="1">
        <f t="array" ref="AP16">SUMPRODUCT(1362*POWER(0.7,POWER(1/($AI$2*AK16+$AJ$2*AL16*COS(RADIANS(0.25*(_xlfn.SEQUENCE(AO16-AN16,1,AN16+1))))+0.50572*POWER(96.07995-DEGREES(ACOS($AI$2*AK16+$AJ$2*AL16*COS(RADIANS(0.25*(_xlfn.SEQUENCE(AO16-AN16,1,AN16+1)))))),-1.6364)),0.678))*IF(AL16*COS(RADIANS(0.25*(_xlfn.SEQUENCE(AO16-AN16,1,AN16+1))))&gt;0,AL16*COS(RADIANS(0.25*(_xlfn.SEQUENCE(AO16-AN16,1,AN16+1)))),0)/60)</f>
        <v>4457.8883960301928</v>
      </c>
      <c r="AQ16" s="17" cm="1">
        <f t="array" ref="AQ16">SUMPRODUCT(1362*POWER(0.7,POWER(1/($AI$2*AK16+$AJ$2*AL16*COS(RADIANS(0.25*(_xlfn.SEQUENCE(AO16-AN16,1,AN16+1))))+0.50572*POWER(96.07995-DEGREES(ACOS($AI$2*AK16+$AJ$2*AL16*COS(RADIANS(0.25*(_xlfn.SEQUENCE(AO16-AN16,1,AN16+1)))))),-1.6364)),0.678))/60)</f>
        <v>5792.0878795965764</v>
      </c>
      <c r="AR16" s="15">
        <f t="shared" si="33"/>
        <v>1.2992895660543018</v>
      </c>
      <c r="AT16">
        <v>3.0987261358363077E-2</v>
      </c>
      <c r="AU16">
        <v>88.224276450118666</v>
      </c>
      <c r="AV16">
        <v>20.692547434868299</v>
      </c>
      <c r="AW16">
        <v>84.307453798142163</v>
      </c>
    </row>
    <row r="17" spans="4:53" ht="17" x14ac:dyDescent="0.2">
      <c r="D17" s="1">
        <f t="shared" si="34"/>
        <v>46038</v>
      </c>
      <c r="E17" s="6">
        <f t="shared" si="2"/>
        <v>0.5</v>
      </c>
      <c r="F17" s="2">
        <f t="shared" si="3"/>
        <v>2461057.3333333335</v>
      </c>
      <c r="G17" s="3">
        <f t="shared" si="4"/>
        <v>0.26043349304130015</v>
      </c>
      <c r="I17">
        <f t="shared" si="5"/>
        <v>296.27271956747609</v>
      </c>
      <c r="J17">
        <f t="shared" si="6"/>
        <v>9732.8875127693318</v>
      </c>
      <c r="K17">
        <f t="shared" si="7"/>
        <v>1.6697677563748958E-2</v>
      </c>
      <c r="L17">
        <f t="shared" si="8"/>
        <v>0.43561118923973796</v>
      </c>
      <c r="M17">
        <f t="shared" si="9"/>
        <v>296.70833075671584</v>
      </c>
      <c r="N17">
        <f t="shared" si="10"/>
        <v>9733.3231239585712</v>
      </c>
      <c r="O17">
        <f t="shared" si="11"/>
        <v>0.98373815678684973</v>
      </c>
      <c r="P17">
        <f t="shared" si="12"/>
        <v>296.70417121582193</v>
      </c>
      <c r="Q17">
        <f t="shared" si="13"/>
        <v>23.435904388341974</v>
      </c>
      <c r="R17">
        <f t="shared" si="14"/>
        <v>23.438329621796495</v>
      </c>
      <c r="S17">
        <f t="shared" si="15"/>
        <v>-61.265013707623091</v>
      </c>
      <c r="T17" s="19">
        <f t="shared" si="16"/>
        <v>-20.814036183936562</v>
      </c>
      <c r="U17">
        <f t="shared" si="17"/>
        <v>4.3030898332672853E-2</v>
      </c>
      <c r="V17">
        <f t="shared" si="18"/>
        <v>-9.8647678433176083</v>
      </c>
      <c r="W17">
        <f t="shared" si="19"/>
        <v>74.149973908552937</v>
      </c>
      <c r="X17" s="6">
        <f t="shared" si="20"/>
        <v>0.5122723943356372</v>
      </c>
      <c r="Y17" s="6">
        <f t="shared" si="21"/>
        <v>0.30630024458965682</v>
      </c>
      <c r="Z17" s="6">
        <f t="shared" si="22"/>
        <v>0.71824454408161764</v>
      </c>
      <c r="AA17" s="19">
        <f t="shared" si="23"/>
        <v>593.1997912684235</v>
      </c>
      <c r="AB17">
        <f t="shared" si="24"/>
        <v>702.32775215668244</v>
      </c>
      <c r="AC17">
        <f t="shared" si="25"/>
        <v>-4.418061960829391</v>
      </c>
      <c r="AD17">
        <f t="shared" si="0"/>
        <v>58.561933439470515</v>
      </c>
      <c r="AE17">
        <f t="shared" si="26"/>
        <v>31.438066560529485</v>
      </c>
      <c r="AF17">
        <f t="shared" si="27"/>
        <v>2.631545265674199E-2</v>
      </c>
      <c r="AG17">
        <f t="shared" si="28"/>
        <v>31.464382013186228</v>
      </c>
      <c r="AH17">
        <f t="shared" si="1"/>
        <v>175.15877441910084</v>
      </c>
      <c r="AK17">
        <f t="shared" si="29"/>
        <v>-0.35533596312330451</v>
      </c>
      <c r="AL17">
        <f t="shared" si="35"/>
        <v>0.9347386550855985</v>
      </c>
      <c r="AM17">
        <f t="shared" si="30"/>
        <v>593</v>
      </c>
      <c r="AN17">
        <f t="shared" si="31"/>
        <v>-296.5</v>
      </c>
      <c r="AO17">
        <f t="shared" si="32"/>
        <v>296.5</v>
      </c>
      <c r="AP17" s="16" cm="1">
        <f t="array" ref="AP17">SUMPRODUCT(1362*POWER(0.7,POWER(1/($AI$2*AK17+$AJ$2*AL17*COS(RADIANS(0.25*(_xlfn.SEQUENCE(AO17-AN17,1,AN17+1))))+0.50572*POWER(96.07995-DEGREES(ACOS($AI$2*AK17+$AJ$2*AL17*COS(RADIANS(0.25*(_xlfn.SEQUENCE(AO17-AN17,1,AN17+1)))))),-1.6364)),0.678))*IF(AL17*COS(RADIANS(0.25*(_xlfn.SEQUENCE(AO17-AN17,1,AN17+1))))&gt;0,AL17*COS(RADIANS(0.25*(_xlfn.SEQUENCE(AO17-AN17,1,AN17+1)))),0)/60)</f>
        <v>4480.7426943754708</v>
      </c>
      <c r="AQ17" s="17" cm="1">
        <f t="array" ref="AQ17">SUMPRODUCT(1362*POWER(0.7,POWER(1/($AI$2*AK17+$AJ$2*AL17*COS(RADIANS(0.25*(_xlfn.SEQUENCE(AO17-AN17,1,AN17+1))))+0.50572*POWER(96.07995-DEGREES(ACOS($AI$2*AK17+$AJ$2*AL17*COS(RADIANS(0.25*(_xlfn.SEQUENCE(AO17-AN17,1,AN17+1)))))),-1.6364)),0.678))/60)</f>
        <v>5820.6860365269476</v>
      </c>
      <c r="AR17" s="15">
        <f t="shared" si="33"/>
        <v>1.2990449203506962</v>
      </c>
      <c r="AT17">
        <v>3.3944063690480836E-2</v>
      </c>
      <c r="AU17">
        <v>88.054774741077338</v>
      </c>
      <c r="AV17">
        <v>19.728487631061373</v>
      </c>
      <c r="AW17">
        <v>92.114124764339607</v>
      </c>
      <c r="AY17" t="s">
        <v>49</v>
      </c>
    </row>
    <row r="18" spans="4:53" ht="17" x14ac:dyDescent="0.2">
      <c r="D18" s="1">
        <f t="shared" si="34"/>
        <v>46039</v>
      </c>
      <c r="E18" s="6">
        <f t="shared" si="2"/>
        <v>0.5</v>
      </c>
      <c r="F18" s="2">
        <f t="shared" si="3"/>
        <v>2461058.3333333335</v>
      </c>
      <c r="G18" s="3">
        <f t="shared" si="4"/>
        <v>0.26046087154917147</v>
      </c>
      <c r="I18">
        <f t="shared" si="5"/>
        <v>297.2583669319647</v>
      </c>
      <c r="J18">
        <f t="shared" si="6"/>
        <v>9733.8731130488668</v>
      </c>
      <c r="K18">
        <f t="shared" si="7"/>
        <v>1.6697676411031714E-2</v>
      </c>
      <c r="L18">
        <f t="shared" si="8"/>
        <v>0.46825540288576589</v>
      </c>
      <c r="M18">
        <f t="shared" si="9"/>
        <v>297.72662233485045</v>
      </c>
      <c r="N18">
        <f t="shared" si="10"/>
        <v>9734.3413684517527</v>
      </c>
      <c r="O18">
        <f t="shared" si="11"/>
        <v>0.98380683833701277</v>
      </c>
      <c r="P18">
        <f t="shared" si="12"/>
        <v>297.7224669784967</v>
      </c>
      <c r="Q18">
        <f t="shared" si="13"/>
        <v>23.435904032307761</v>
      </c>
      <c r="R18">
        <f t="shared" si="14"/>
        <v>23.438328507182447</v>
      </c>
      <c r="S18">
        <f t="shared" si="15"/>
        <v>-60.197118017021936</v>
      </c>
      <c r="T18" s="19">
        <f t="shared" si="16"/>
        <v>-20.61600915981575</v>
      </c>
      <c r="U18">
        <f t="shared" si="17"/>
        <v>4.3030894123572819E-2</v>
      </c>
      <c r="V18">
        <f t="shared" si="18"/>
        <v>-10.195022845177228</v>
      </c>
      <c r="W18">
        <f t="shared" si="19"/>
        <v>74.329567333201624</v>
      </c>
      <c r="X18" s="6">
        <f t="shared" si="20"/>
        <v>0.51250173808692856</v>
      </c>
      <c r="Y18" s="6">
        <f t="shared" si="21"/>
        <v>0.30603071771692403</v>
      </c>
      <c r="Z18" s="6">
        <f t="shared" si="22"/>
        <v>0.71897275845693309</v>
      </c>
      <c r="AA18" s="19">
        <f t="shared" si="23"/>
        <v>594.63653866561299</v>
      </c>
      <c r="AB18">
        <f t="shared" si="24"/>
        <v>701.99749715482267</v>
      </c>
      <c r="AC18">
        <f t="shared" si="25"/>
        <v>-4.5006257112943331</v>
      </c>
      <c r="AD18">
        <f t="shared" si="0"/>
        <v>58.370005849222835</v>
      </c>
      <c r="AE18">
        <f t="shared" si="26"/>
        <v>31.629994150777165</v>
      </c>
      <c r="AF18">
        <f t="shared" si="27"/>
        <v>2.611969705229886E-2</v>
      </c>
      <c r="AG18">
        <f t="shared" si="28"/>
        <v>31.656113847829463</v>
      </c>
      <c r="AH18">
        <f t="shared" si="1"/>
        <v>175.05161324456196</v>
      </c>
      <c r="AK18">
        <f t="shared" si="29"/>
        <v>-0.35210318144806102</v>
      </c>
      <c r="AL18">
        <f t="shared" si="35"/>
        <v>0.93596119022860869</v>
      </c>
      <c r="AM18">
        <f t="shared" si="30"/>
        <v>595</v>
      </c>
      <c r="AN18">
        <f t="shared" si="31"/>
        <v>-297.5</v>
      </c>
      <c r="AO18">
        <f t="shared" si="32"/>
        <v>297.5</v>
      </c>
      <c r="AP18" s="16" cm="1">
        <f t="array" ref="AP18">SUMPRODUCT(1362*POWER(0.7,POWER(1/($AI$2*AK18+$AJ$2*AL18*COS(RADIANS(0.25*(_xlfn.SEQUENCE(AO18-AN18,1,AN18+1))))+0.50572*POWER(96.07995-DEGREES(ACOS($AI$2*AK18+$AJ$2*AL18*COS(RADIANS(0.25*(_xlfn.SEQUENCE(AO18-AN18,1,AN18+1)))))),-1.6364)),0.678))*IF(AL18*COS(RADIANS(0.25*(_xlfn.SEQUENCE(AO18-AN18,1,AN18+1))))&gt;0,AL18*COS(RADIANS(0.25*(_xlfn.SEQUENCE(AO18-AN18,1,AN18+1)))),0)/60)</f>
        <v>4504.2851424496948</v>
      </c>
      <c r="AQ18" s="17" cm="1">
        <f t="array" ref="AQ18">SUMPRODUCT(1362*POWER(0.7,POWER(1/($AI$2*AK18+$AJ$2*AL18*COS(RADIANS(0.25*(_xlfn.SEQUENCE(AO18-AN18,1,AN18+1))))+0.50572*POWER(96.07995-DEGREES(ACOS($AI$2*AK18+$AJ$2*AL18*COS(RADIANS(0.25*(_xlfn.SEQUENCE(AO18-AN18,1,AN18+1)))))),-1.6364)),0.678))/60)</f>
        <v>5850.2839036852856</v>
      </c>
      <c r="AR18" s="15">
        <f t="shared" si="33"/>
        <v>1.2988262773487642</v>
      </c>
      <c r="AT18">
        <v>3.6895690722102387E-2</v>
      </c>
      <c r="AU18">
        <v>87.885552724217717</v>
      </c>
      <c r="AV18">
        <v>18.840324570128924</v>
      </c>
      <c r="AW18">
        <v>100.06859151254223</v>
      </c>
      <c r="AY18" s="20" t="s">
        <v>48</v>
      </c>
      <c r="AZ18" s="20" t="s">
        <v>47</v>
      </c>
      <c r="BA18" s="20"/>
    </row>
    <row r="19" spans="4:53" ht="17" x14ac:dyDescent="0.2">
      <c r="D19" s="1">
        <f t="shared" si="34"/>
        <v>46040</v>
      </c>
      <c r="E19" s="6">
        <f t="shared" si="2"/>
        <v>0.5</v>
      </c>
      <c r="F19" s="2">
        <f t="shared" si="3"/>
        <v>2461059.3333333335</v>
      </c>
      <c r="G19" s="3">
        <f t="shared" si="4"/>
        <v>0.26048825005704279</v>
      </c>
      <c r="I19">
        <f t="shared" si="5"/>
        <v>298.24401429645332</v>
      </c>
      <c r="J19">
        <f t="shared" si="6"/>
        <v>9734.8587133284</v>
      </c>
      <c r="K19">
        <f t="shared" si="7"/>
        <v>1.6697675258314282E-2</v>
      </c>
      <c r="L19">
        <f t="shared" si="8"/>
        <v>0.50075234975786731</v>
      </c>
      <c r="M19">
        <f t="shared" si="9"/>
        <v>298.74476664621119</v>
      </c>
      <c r="N19">
        <f t="shared" si="10"/>
        <v>9735.359465678157</v>
      </c>
      <c r="O19">
        <f t="shared" si="11"/>
        <v>0.98388046563764497</v>
      </c>
      <c r="P19">
        <f t="shared" si="12"/>
        <v>298.74061547308673</v>
      </c>
      <c r="Q19">
        <f t="shared" si="13"/>
        <v>23.435903676273551</v>
      </c>
      <c r="R19">
        <f t="shared" si="14"/>
        <v>23.43832739049747</v>
      </c>
      <c r="S19">
        <f t="shared" si="15"/>
        <v>-59.132195123345184</v>
      </c>
      <c r="T19" s="19">
        <f t="shared" si="16"/>
        <v>-20.411470188763733</v>
      </c>
      <c r="U19">
        <f t="shared" si="17"/>
        <v>4.3030889906652568E-2</v>
      </c>
      <c r="V19">
        <f t="shared" si="18"/>
        <v>-10.513484495379199</v>
      </c>
      <c r="W19">
        <f t="shared" si="19"/>
        <v>74.514426558534367</v>
      </c>
      <c r="X19" s="6">
        <f t="shared" si="20"/>
        <v>0.51272289201067989</v>
      </c>
      <c r="Y19" s="6">
        <f t="shared" si="21"/>
        <v>0.30573837379252888</v>
      </c>
      <c r="Z19" s="6">
        <f t="shared" si="22"/>
        <v>0.71970741022883089</v>
      </c>
      <c r="AA19" s="19">
        <f t="shared" si="23"/>
        <v>596.11541246827494</v>
      </c>
      <c r="AB19">
        <f t="shared" si="24"/>
        <v>701.67903550462074</v>
      </c>
      <c r="AC19">
        <f t="shared" si="25"/>
        <v>-4.5802411238448144</v>
      </c>
      <c r="AD19">
        <f t="shared" si="0"/>
        <v>58.171522420351494</v>
      </c>
      <c r="AE19">
        <f t="shared" si="26"/>
        <v>31.828477579648506</v>
      </c>
      <c r="AF19">
        <f t="shared" si="27"/>
        <v>2.5919452824131849E-2</v>
      </c>
      <c r="AG19">
        <f t="shared" si="28"/>
        <v>31.854397032472637</v>
      </c>
      <c r="AH19">
        <f t="shared" si="1"/>
        <v>174.94644878724125</v>
      </c>
      <c r="AK19">
        <f t="shared" si="29"/>
        <v>-0.34875967721637652</v>
      </c>
      <c r="AL19">
        <f t="shared" si="35"/>
        <v>0.93721218918019245</v>
      </c>
      <c r="AM19">
        <f t="shared" si="30"/>
        <v>596</v>
      </c>
      <c r="AN19">
        <f t="shared" si="31"/>
        <v>-298</v>
      </c>
      <c r="AO19">
        <f t="shared" si="32"/>
        <v>298</v>
      </c>
      <c r="AP19" s="16" cm="1">
        <f t="array" ref="AP19">SUMPRODUCT(1362*POWER(0.7,POWER(1/($AI$2*AK19+$AJ$2*AL19*COS(RADIANS(0.25*(_xlfn.SEQUENCE(AO19-AN19,1,AN19+1))))+0.50572*POWER(96.07995-DEGREES(ACOS($AI$2*AK19+$AJ$2*AL19*COS(RADIANS(0.25*(_xlfn.SEQUENCE(AO19-AN19,1,AN19+1)))))),-1.6364)),0.678))*IF(AL19*COS(RADIANS(0.25*(_xlfn.SEQUENCE(AO19-AN19,1,AN19+1))))&gt;0,AL19*COS(RADIANS(0.25*(_xlfn.SEQUENCE(AO19-AN19,1,AN19+1)))),0)/60)</f>
        <v>4528.4303611702871</v>
      </c>
      <c r="AQ19" s="17" cm="1">
        <f t="array" ref="AQ19">SUMPRODUCT(1362*POWER(0.7,POWER(1/($AI$2*AK19+$AJ$2*AL19*COS(RADIANS(0.25*(_xlfn.SEQUENCE(AO19-AN19,1,AN19+1))))+0.50572*POWER(96.07995-DEGREES(ACOS($AI$2*AK19+$AJ$2*AL19*COS(RADIANS(0.25*(_xlfn.SEQUENCE(AO19-AN19,1,AN19+1)))))),-1.6364)),0.678))/60)</f>
        <v>5880.6173784254461</v>
      </c>
      <c r="AR19" s="15">
        <f t="shared" si="33"/>
        <v>1.2985994946173163</v>
      </c>
      <c r="AT19">
        <v>3.9842086258503578E-2</v>
      </c>
      <c r="AU19">
        <v>87.71661223328293</v>
      </c>
      <c r="AV19">
        <v>18.020426669435544</v>
      </c>
      <c r="AW19">
        <v>108.14148621809237</v>
      </c>
      <c r="AY19" s="20">
        <f>SUM(AP2:AP367)</f>
        <v>2093030.2179550731</v>
      </c>
      <c r="AZ19" s="20">
        <f>SUM(AQ2:AQ367)</f>
        <v>3061169.837134413</v>
      </c>
      <c r="BA19" s="21">
        <f>AZ19/AY19</f>
        <v>1.4625540572105209</v>
      </c>
    </row>
    <row r="20" spans="4:53" ht="17" x14ac:dyDescent="0.2">
      <c r="D20" s="1">
        <f t="shared" si="34"/>
        <v>46041</v>
      </c>
      <c r="E20" s="6">
        <f t="shared" si="2"/>
        <v>0.5</v>
      </c>
      <c r="F20" s="2">
        <f t="shared" si="3"/>
        <v>2461060.3333333335</v>
      </c>
      <c r="G20" s="3">
        <f t="shared" si="4"/>
        <v>0.26051562856491411</v>
      </c>
      <c r="I20">
        <f t="shared" si="5"/>
        <v>299.22966166094193</v>
      </c>
      <c r="J20">
        <f t="shared" si="6"/>
        <v>9735.8443136079313</v>
      </c>
      <c r="K20">
        <f t="shared" si="7"/>
        <v>1.6697674105596659E-2</v>
      </c>
      <c r="L20">
        <f t="shared" si="8"/>
        <v>0.53309185361290878</v>
      </c>
      <c r="M20">
        <f t="shared" si="9"/>
        <v>299.76275351455484</v>
      </c>
      <c r="N20">
        <f t="shared" si="10"/>
        <v>9736.3774054615442</v>
      </c>
      <c r="O20">
        <f t="shared" si="11"/>
        <v>0.98395901470351388</v>
      </c>
      <c r="P20">
        <f t="shared" si="12"/>
        <v>299.75860652334524</v>
      </c>
      <c r="Q20">
        <f t="shared" si="13"/>
        <v>23.435903320239341</v>
      </c>
      <c r="R20">
        <f t="shared" si="14"/>
        <v>23.438326271742209</v>
      </c>
      <c r="S20">
        <f t="shared" si="15"/>
        <v>-58.070306207208105</v>
      </c>
      <c r="T20" s="19">
        <f t="shared" si="16"/>
        <v>-20.200512234687633</v>
      </c>
      <c r="U20">
        <f t="shared" si="17"/>
        <v>4.3030885681914592E-2</v>
      </c>
      <c r="V20">
        <f t="shared" si="18"/>
        <v>-10.819895210220837</v>
      </c>
      <c r="W20">
        <f t="shared" si="19"/>
        <v>74.704416687017897</v>
      </c>
      <c r="X20" s="6">
        <f t="shared" si="20"/>
        <v>0.5129356772293201</v>
      </c>
      <c r="Y20" s="6">
        <f t="shared" si="21"/>
        <v>0.30542340865427042</v>
      </c>
      <c r="Z20" s="6">
        <f t="shared" si="22"/>
        <v>0.72044794580436988</v>
      </c>
      <c r="AA20" s="19">
        <f t="shared" si="23"/>
        <v>597.63533349614318</v>
      </c>
      <c r="AB20">
        <f t="shared" si="24"/>
        <v>701.37262478977914</v>
      </c>
      <c r="AC20">
        <f t="shared" si="25"/>
        <v>-4.6568438025552155</v>
      </c>
      <c r="AD20">
        <f t="shared" si="0"/>
        <v>57.966561805197031</v>
      </c>
      <c r="AE20">
        <f t="shared" si="26"/>
        <v>32.033438194802969</v>
      </c>
      <c r="AF20">
        <f t="shared" si="27"/>
        <v>2.5714976079170049E-2</v>
      </c>
      <c r="AG20">
        <f t="shared" si="28"/>
        <v>32.059153170882141</v>
      </c>
      <c r="AH20">
        <f t="shared" si="1"/>
        <v>174.84335199698603</v>
      </c>
      <c r="AK20">
        <f t="shared" si="29"/>
        <v>-0.34530658928301622</v>
      </c>
      <c r="AL20">
        <f t="shared" si="35"/>
        <v>0.93848993569336181</v>
      </c>
      <c r="AM20">
        <f t="shared" si="30"/>
        <v>598</v>
      </c>
      <c r="AN20">
        <f t="shared" si="31"/>
        <v>-299</v>
      </c>
      <c r="AO20">
        <f t="shared" si="32"/>
        <v>299</v>
      </c>
      <c r="AP20" s="16" cm="1">
        <f t="array" ref="AP20">SUMPRODUCT(1362*POWER(0.7,POWER(1/($AI$2*AK20+$AJ$2*AL20*COS(RADIANS(0.25*(_xlfn.SEQUENCE(AO20-AN20,1,AN20+1))))+0.50572*POWER(96.07995-DEGREES(ACOS($AI$2*AK20+$AJ$2*AL20*COS(RADIANS(0.25*(_xlfn.SEQUENCE(AO20-AN20,1,AN20+1)))))),-1.6364)),0.678))*IF(AL20*COS(RADIANS(0.25*(_xlfn.SEQUENCE(AO20-AN20,1,AN20+1))))&gt;0,AL20*COS(RADIANS(0.25*(_xlfn.SEQUENCE(AO20-AN20,1,AN20+1)))),0)/60)</f>
        <v>4553.2140474462676</v>
      </c>
      <c r="AQ20" s="17" cm="1">
        <f t="array" ref="AQ20">SUMPRODUCT(1362*POWER(0.7,POWER(1/($AI$2*AK20+$AJ$2*AL20*COS(RADIANS(0.25*(_xlfn.SEQUENCE(AO20-AN20,1,AN20+1))))+0.50572*POWER(96.07995-DEGREES(ACOS($AI$2*AK20+$AJ$2*AL20*COS(RADIANS(0.25*(_xlfn.SEQUENCE(AO20-AN20,1,AN20+1)))))),-1.6364)),0.678))/60)</f>
        <v>5911.9030394469592</v>
      </c>
      <c r="AR20" s="15">
        <f t="shared" si="33"/>
        <v>1.2984021787341034</v>
      </c>
      <c r="AT20">
        <v>4.2783194204560587E-2</v>
      </c>
      <c r="AU20">
        <v>87.547955111824052</v>
      </c>
      <c r="AV20">
        <v>17.26202706461342</v>
      </c>
      <c r="AW20">
        <v>116.30590491449362</v>
      </c>
    </row>
    <row r="21" spans="4:53" ht="17" x14ac:dyDescent="0.2">
      <c r="D21" s="1">
        <f t="shared" si="34"/>
        <v>46042</v>
      </c>
      <c r="E21" s="6">
        <f t="shared" si="2"/>
        <v>0.5</v>
      </c>
      <c r="F21" s="2">
        <f t="shared" si="3"/>
        <v>2461061.3333333335</v>
      </c>
      <c r="G21" s="3">
        <f t="shared" si="4"/>
        <v>0.26054300707278544</v>
      </c>
      <c r="I21">
        <f t="shared" si="5"/>
        <v>300.21530902543054</v>
      </c>
      <c r="J21">
        <f t="shared" si="6"/>
        <v>9736.8299138874645</v>
      </c>
      <c r="K21">
        <f t="shared" si="7"/>
        <v>1.6697672952878845E-2</v>
      </c>
      <c r="L21">
        <f t="shared" si="8"/>
        <v>0.5652637964730709</v>
      </c>
      <c r="M21">
        <f t="shared" si="9"/>
        <v>300.7805728219036</v>
      </c>
      <c r="N21">
        <f t="shared" si="10"/>
        <v>9737.3951776839367</v>
      </c>
      <c r="O21">
        <f t="shared" si="11"/>
        <v>0.98404245995776529</v>
      </c>
      <c r="P21">
        <f t="shared" si="12"/>
        <v>300.77643001129081</v>
      </c>
      <c r="Q21">
        <f t="shared" si="13"/>
        <v>23.43590296420513</v>
      </c>
      <c r="R21">
        <f t="shared" si="14"/>
        <v>23.438325150917318</v>
      </c>
      <c r="S21">
        <f t="shared" si="15"/>
        <v>-57.011507678192906</v>
      </c>
      <c r="T21" s="19">
        <f t="shared" si="16"/>
        <v>-19.983230367212141</v>
      </c>
      <c r="U21">
        <f t="shared" si="17"/>
        <v>4.3030881449361291E-2</v>
      </c>
      <c r="V21">
        <f t="shared" si="18"/>
        <v>-11.114015722682353</v>
      </c>
      <c r="W21">
        <f t="shared" si="19"/>
        <v>74.899402062226827</v>
      </c>
      <c r="X21" s="6">
        <f t="shared" si="20"/>
        <v>0.513139927585196</v>
      </c>
      <c r="Y21" s="6">
        <f t="shared" si="21"/>
        <v>0.30508603296789927</v>
      </c>
      <c r="Z21" s="6">
        <f t="shared" si="22"/>
        <v>0.72119382220249284</v>
      </c>
      <c r="AA21" s="19">
        <f t="shared" si="23"/>
        <v>599.19521649781461</v>
      </c>
      <c r="AB21">
        <f t="shared" si="24"/>
        <v>701.07850427731773</v>
      </c>
      <c r="AC21">
        <f t="shared" si="25"/>
        <v>-4.7303739306705666</v>
      </c>
      <c r="AD21">
        <f t="shared" si="0"/>
        <v>57.755204903854626</v>
      </c>
      <c r="AE21">
        <f t="shared" si="26"/>
        <v>32.244795096145374</v>
      </c>
      <c r="AF21">
        <f t="shared" si="27"/>
        <v>2.5506521416458577E-2</v>
      </c>
      <c r="AG21">
        <f t="shared" si="28"/>
        <v>32.270301617561834</v>
      </c>
      <c r="AH21">
        <f t="shared" si="1"/>
        <v>174.742392106799</v>
      </c>
      <c r="AK21">
        <f t="shared" si="29"/>
        <v>-0.34174509445734197</v>
      </c>
      <c r="AL21">
        <f t="shared" si="35"/>
        <v>0.93979268480571954</v>
      </c>
      <c r="AM21">
        <f t="shared" si="30"/>
        <v>599</v>
      </c>
      <c r="AN21">
        <f t="shared" si="31"/>
        <v>-299.5</v>
      </c>
      <c r="AO21">
        <f t="shared" si="32"/>
        <v>299.5</v>
      </c>
      <c r="AP21" s="16" cm="1">
        <f t="array" ref="AP21">SUMPRODUCT(1362*POWER(0.7,POWER(1/($AI$2*AK21+$AJ$2*AL21*COS(RADIANS(0.25*(_xlfn.SEQUENCE(AO21-AN21,1,AN21+1))))+0.50572*POWER(96.07995-DEGREES(ACOS($AI$2*AK21+$AJ$2*AL21*COS(RADIANS(0.25*(_xlfn.SEQUENCE(AO21-AN21,1,AN21+1)))))),-1.6364)),0.678))*IF(AL21*COS(RADIANS(0.25*(_xlfn.SEQUENCE(AO21-AN21,1,AN21+1))))&gt;0,AL21*COS(RADIANS(0.25*(_xlfn.SEQUENCE(AO21-AN21,1,AN21+1)))),0)/60)</f>
        <v>4578.5513998412889</v>
      </c>
      <c r="AQ21" s="17" cm="1">
        <f t="array" ref="AQ21">SUMPRODUCT(1362*POWER(0.7,POWER(1/($AI$2*AK21+$AJ$2*AL21*COS(RADIANS(0.25*(_xlfn.SEQUENCE(AO21-AN21,1,AN21+1))))+0.50572*POWER(96.07995-DEGREES(ACOS($AI$2*AK21+$AJ$2*AL21*COS(RADIANS(0.25*(_xlfn.SEQUENCE(AO21-AN21,1,AN21+1)))))),-1.6364)),0.678))/60)</f>
        <v>5943.8772597253574</v>
      </c>
      <c r="AR21" s="15">
        <f t="shared" si="33"/>
        <v>1.2982004002251446</v>
      </c>
      <c r="AT21">
        <v>4.5718958565817785E-2</v>
      </c>
      <c r="AU21">
        <v>87.379583213249617</v>
      </c>
      <c r="AV21">
        <v>16.559126326887558</v>
      </c>
      <c r="AW21">
        <v>124.53738558736846</v>
      </c>
    </row>
    <row r="22" spans="4:53" ht="17" x14ac:dyDescent="0.2">
      <c r="D22" s="1">
        <f t="shared" si="34"/>
        <v>46043</v>
      </c>
      <c r="E22" s="6">
        <f t="shared" si="2"/>
        <v>0.5</v>
      </c>
      <c r="F22" s="2">
        <f t="shared" si="3"/>
        <v>2461062.3333333335</v>
      </c>
      <c r="G22" s="3">
        <f t="shared" si="4"/>
        <v>0.26057038558065676</v>
      </c>
      <c r="I22">
        <f t="shared" si="5"/>
        <v>301.20095638992098</v>
      </c>
      <c r="J22">
        <f t="shared" si="6"/>
        <v>9737.8155141669959</v>
      </c>
      <c r="K22">
        <f t="shared" si="7"/>
        <v>1.6697671800160841E-2</v>
      </c>
      <c r="L22">
        <f t="shared" si="8"/>
        <v>0.59725812230497499</v>
      </c>
      <c r="M22">
        <f t="shared" si="9"/>
        <v>301.79821451222597</v>
      </c>
      <c r="N22">
        <f t="shared" si="10"/>
        <v>9738.4127722893008</v>
      </c>
      <c r="O22">
        <f t="shared" si="11"/>
        <v>0.98413077424250395</v>
      </c>
      <c r="P22">
        <f t="shared" si="12"/>
        <v>301.79407588088844</v>
      </c>
      <c r="Q22">
        <f t="shared" si="13"/>
        <v>23.435902608170924</v>
      </c>
      <c r="R22">
        <f t="shared" si="14"/>
        <v>23.438324028023452</v>
      </c>
      <c r="S22">
        <f t="shared" si="15"/>
        <v>-55.955851167507141</v>
      </c>
      <c r="T22" s="19">
        <f t="shared" si="16"/>
        <v>-19.759721647439324</v>
      </c>
      <c r="U22">
        <f t="shared" si="17"/>
        <v>4.3030877208995191E-2</v>
      </c>
      <c r="V22">
        <f t="shared" si="18"/>
        <v>-11.3956252497004</v>
      </c>
      <c r="W22">
        <f t="shared" si="19"/>
        <v>75.099246555229271</v>
      </c>
      <c r="X22" s="6">
        <f t="shared" si="20"/>
        <v>0.51333548975673626</v>
      </c>
      <c r="Y22" s="6">
        <f t="shared" si="21"/>
        <v>0.30472647154776605</v>
      </c>
      <c r="Z22" s="6">
        <f t="shared" si="22"/>
        <v>0.72194450796570653</v>
      </c>
      <c r="AA22" s="19">
        <f t="shared" si="23"/>
        <v>600.79397244183417</v>
      </c>
      <c r="AB22">
        <f t="shared" si="24"/>
        <v>700.79689475029954</v>
      </c>
      <c r="AC22">
        <f t="shared" si="25"/>
        <v>-4.8007763124251142</v>
      </c>
      <c r="AD22">
        <f t="shared" si="0"/>
        <v>57.537534797807034</v>
      </c>
      <c r="AE22">
        <f t="shared" si="26"/>
        <v>32.462465202192966</v>
      </c>
      <c r="AF22">
        <f t="shared" si="27"/>
        <v>2.529434128207202E-2</v>
      </c>
      <c r="AG22">
        <f t="shared" si="28"/>
        <v>32.487759543475036</v>
      </c>
      <c r="AH22">
        <f t="shared" si="1"/>
        <v>174.64363656660578</v>
      </c>
      <c r="AK22">
        <f t="shared" si="29"/>
        <v>-0.33807640694957469</v>
      </c>
      <c r="AL22">
        <f t="shared" si="35"/>
        <v>0.94111866577178538</v>
      </c>
      <c r="AM22">
        <f t="shared" si="30"/>
        <v>601</v>
      </c>
      <c r="AN22">
        <f t="shared" si="31"/>
        <v>-300.5</v>
      </c>
      <c r="AO22">
        <f t="shared" si="32"/>
        <v>300.5</v>
      </c>
      <c r="AP22" s="16" cm="1">
        <f t="array" ref="AP22">SUMPRODUCT(1362*POWER(0.7,POWER(1/($AI$2*AK22+$AJ$2*AL22*COS(RADIANS(0.25*(_xlfn.SEQUENCE(AO22-AN22,1,AN22+1))))+0.50572*POWER(96.07995-DEGREES(ACOS($AI$2*AK22+$AJ$2*AL22*COS(RADIANS(0.25*(_xlfn.SEQUENCE(AO22-AN22,1,AN22+1)))))),-1.6364)),0.678))*IF(AL22*COS(RADIANS(0.25*(_xlfn.SEQUENCE(AO22-AN22,1,AN22+1))))&gt;0,AL22*COS(RADIANS(0.25*(_xlfn.SEQUENCE(AO22-AN22,1,AN22+1)))),0)/60)</f>
        <v>4604.476215748391</v>
      </c>
      <c r="AQ22" s="17" cm="1">
        <f t="array" ref="AQ22">SUMPRODUCT(1362*POWER(0.7,POWER(1/($AI$2*AK22+$AJ$2*AL22*COS(RADIANS(0.25*(_xlfn.SEQUENCE(AO22-AN22,1,AN22+1))))+0.50572*POWER(96.07995-DEGREES(ACOS($AI$2*AK22+$AJ$2*AL22*COS(RADIANS(0.25*(_xlfn.SEQUENCE(AO22-AN22,1,AN22+1)))))),-1.6364)),0.678))/60)</f>
        <v>5976.7570767172338</v>
      </c>
      <c r="AR22" s="15">
        <f t="shared" si="33"/>
        <v>1.2980319143088024</v>
      </c>
      <c r="AT22">
        <v>4.8649323449553278E-2</v>
      </c>
      <c r="AU22">
        <v>87.211498400874788</v>
      </c>
      <c r="AV22">
        <v>15.906402973209321</v>
      </c>
      <c r="AW22">
        <v>132.81383301725177</v>
      </c>
      <c r="AY22" t="s">
        <v>53</v>
      </c>
    </row>
    <row r="23" spans="4:53" ht="17" x14ac:dyDescent="0.2">
      <c r="D23" s="1">
        <f t="shared" si="34"/>
        <v>46044</v>
      </c>
      <c r="E23" s="6">
        <f t="shared" si="2"/>
        <v>0.5</v>
      </c>
      <c r="F23" s="2">
        <f t="shared" si="3"/>
        <v>2461063.3333333335</v>
      </c>
      <c r="G23" s="3">
        <f t="shared" si="4"/>
        <v>0.26059776408852808</v>
      </c>
      <c r="I23">
        <f t="shared" si="5"/>
        <v>302.18660375441141</v>
      </c>
      <c r="J23">
        <f t="shared" si="6"/>
        <v>9738.8011144465272</v>
      </c>
      <c r="K23">
        <f t="shared" si="7"/>
        <v>1.6697670647442649E-2</v>
      </c>
      <c r="L23">
        <f t="shared" si="8"/>
        <v>0.62906484066450608</v>
      </c>
      <c r="M23">
        <f t="shared" si="9"/>
        <v>302.81566859507592</v>
      </c>
      <c r="N23">
        <f t="shared" si="10"/>
        <v>9739.430179287192</v>
      </c>
      <c r="O23">
        <f t="shared" si="11"/>
        <v>0.98422392883001186</v>
      </c>
      <c r="P23">
        <f t="shared" si="12"/>
        <v>302.81153414168853</v>
      </c>
      <c r="Q23">
        <f t="shared" si="13"/>
        <v>23.435902252136714</v>
      </c>
      <c r="R23">
        <f t="shared" si="14"/>
        <v>23.438322903061259</v>
      </c>
      <c r="S23">
        <f t="shared" si="15"/>
        <v>-54.903383531605037</v>
      </c>
      <c r="T23" s="19">
        <f t="shared" si="16"/>
        <v>-19.530085014462625</v>
      </c>
      <c r="U23">
        <f t="shared" si="17"/>
        <v>4.3030872960818721E-2</v>
      </c>
      <c r="V23">
        <f t="shared" si="18"/>
        <v>-11.664521619340912</v>
      </c>
      <c r="W23">
        <f t="shared" si="19"/>
        <v>75.303813839945917</v>
      </c>
      <c r="X23" s="6">
        <f t="shared" si="20"/>
        <v>0.51352222334676445</v>
      </c>
      <c r="Y23" s="6">
        <f t="shared" si="21"/>
        <v>0.30434496268024802</v>
      </c>
      <c r="Z23" s="6">
        <f t="shared" si="22"/>
        <v>0.72269948401328088</v>
      </c>
      <c r="AA23" s="19">
        <f t="shared" si="23"/>
        <v>602.43051071956734</v>
      </c>
      <c r="AB23">
        <f t="shared" si="24"/>
        <v>700.52799838065903</v>
      </c>
      <c r="AC23">
        <f t="shared" si="25"/>
        <v>-4.868000404835243</v>
      </c>
      <c r="AD23">
        <f t="shared" si="0"/>
        <v>57.313636683231337</v>
      </c>
      <c r="AE23">
        <f t="shared" si="26"/>
        <v>32.686363316768663</v>
      </c>
      <c r="AF23">
        <f t="shared" si="27"/>
        <v>2.5078685365667049E-2</v>
      </c>
      <c r="AG23">
        <f t="shared" si="28"/>
        <v>32.711442002134334</v>
      </c>
      <c r="AH23">
        <f t="shared" si="1"/>
        <v>174.54715097820076</v>
      </c>
      <c r="AK23">
        <f t="shared" si="29"/>
        <v>-0.33430177779910952</v>
      </c>
      <c r="AL23">
        <f t="shared" si="35"/>
        <v>0.94246608499210982</v>
      </c>
      <c r="AM23">
        <f t="shared" si="30"/>
        <v>602</v>
      </c>
      <c r="AN23">
        <f t="shared" si="31"/>
        <v>-301</v>
      </c>
      <c r="AO23">
        <f t="shared" si="32"/>
        <v>301</v>
      </c>
      <c r="AP23" s="16" cm="1">
        <f t="array" ref="AP23">SUMPRODUCT(1362*POWER(0.7,POWER(1/($AI$2*AK23+$AJ$2*AL23*COS(RADIANS(0.25*(_xlfn.SEQUENCE(AO23-AN23,1,AN23+1))))+0.50572*POWER(96.07995-DEGREES(ACOS($AI$2*AK23+$AJ$2*AL23*COS(RADIANS(0.25*(_xlfn.SEQUENCE(AO23-AN23,1,AN23+1)))))),-1.6364)),0.678))*IF(AL23*COS(RADIANS(0.25*(_xlfn.SEQUENCE(AO23-AN23,1,AN23+1))))&gt;0,AL23*COS(RADIANS(0.25*(_xlfn.SEQUENCE(AO23-AN23,1,AN23+1)))),0)/60)</f>
        <v>4630.9033147863065</v>
      </c>
      <c r="AQ23" s="17" cm="1">
        <f t="array" ref="AQ23">SUMPRODUCT(1362*POWER(0.7,POWER(1/($AI$2*AK23+$AJ$2*AL23*COS(RADIANS(0.25*(_xlfn.SEQUENCE(AO23-AN23,1,AN23+1))))+0.50572*POWER(96.07995-DEGREES(ACOS($AI$2*AK23+$AJ$2*AL23*COS(RADIANS(0.25*(_xlfn.SEQUENCE(AO23-AN23,1,AN23+1)))))),-1.6364)),0.678))/60)</f>
        <v>6010.2749645662061</v>
      </c>
      <c r="AR23" s="15">
        <f t="shared" si="33"/>
        <v>1.2978623296616052</v>
      </c>
      <c r="AT23">
        <v>5.1574233065843827E-2</v>
      </c>
      <c r="AU23">
        <v>87.043702547969815</v>
      </c>
      <c r="AV23">
        <v>15.299132669576375</v>
      </c>
      <c r="AW23">
        <v>141.11540749955478</v>
      </c>
      <c r="AY23" t="s">
        <v>55</v>
      </c>
    </row>
    <row r="24" spans="4:53" ht="17" x14ac:dyDescent="0.2">
      <c r="D24" s="1">
        <f t="shared" si="34"/>
        <v>46045</v>
      </c>
      <c r="E24" s="6">
        <f t="shared" si="2"/>
        <v>0.5</v>
      </c>
      <c r="F24" s="2">
        <f t="shared" si="3"/>
        <v>2461064.3333333335</v>
      </c>
      <c r="G24" s="3">
        <f t="shared" si="4"/>
        <v>0.26062514259639941</v>
      </c>
      <c r="I24">
        <f t="shared" si="5"/>
        <v>303.17225111890366</v>
      </c>
      <c r="J24">
        <f t="shared" si="6"/>
        <v>9739.7867147260586</v>
      </c>
      <c r="K24">
        <f t="shared" si="7"/>
        <v>1.6697669494724267E-2</v>
      </c>
      <c r="L24">
        <f t="shared" si="8"/>
        <v>0.66067403030461291</v>
      </c>
      <c r="M24">
        <f t="shared" si="9"/>
        <v>303.83292514920828</v>
      </c>
      <c r="N24">
        <f t="shared" si="10"/>
        <v>9740.4473887563636</v>
      </c>
      <c r="O24">
        <f t="shared" si="11"/>
        <v>0.98432189343459209</v>
      </c>
      <c r="P24">
        <f t="shared" si="12"/>
        <v>303.8287948724423</v>
      </c>
      <c r="Q24">
        <f t="shared" si="13"/>
        <v>23.435901896102504</v>
      </c>
      <c r="R24">
        <f t="shared" si="14"/>
        <v>23.438321776031401</v>
      </c>
      <c r="S24">
        <f t="shared" si="15"/>
        <v>-53.854146866287692</v>
      </c>
      <c r="T24" s="19">
        <f t="shared" si="16"/>
        <v>-19.294421172923133</v>
      </c>
      <c r="U24">
        <f t="shared" si="17"/>
        <v>4.3030868704834406E-2</v>
      </c>
      <c r="V24">
        <f t="shared" si="18"/>
        <v>-11.920521358247363</v>
      </c>
      <c r="W24">
        <f t="shared" si="19"/>
        <v>75.512967656754043</v>
      </c>
      <c r="X24" s="6">
        <f t="shared" si="20"/>
        <v>0.51370000094322732</v>
      </c>
      <c r="Y24" s="6">
        <f t="shared" si="21"/>
        <v>0.30394175745224383</v>
      </c>
      <c r="Z24" s="6">
        <f t="shared" si="22"/>
        <v>0.72345824443421081</v>
      </c>
      <c r="AA24" s="19">
        <f t="shared" si="23"/>
        <v>604.10374125403234</v>
      </c>
      <c r="AB24">
        <f t="shared" si="24"/>
        <v>700.27199864175259</v>
      </c>
      <c r="AC24">
        <f t="shared" si="25"/>
        <v>-4.9320003395618528</v>
      </c>
      <c r="AD24">
        <f t="shared" si="0"/>
        <v>57.083597804070493</v>
      </c>
      <c r="AE24">
        <f t="shared" si="26"/>
        <v>32.916402195929507</v>
      </c>
      <c r="AF24">
        <f t="shared" si="27"/>
        <v>2.4859800039798971E-2</v>
      </c>
      <c r="AG24">
        <f t="shared" si="28"/>
        <v>32.941261995969306</v>
      </c>
      <c r="AH24">
        <f t="shared" si="1"/>
        <v>174.45299903159707</v>
      </c>
      <c r="AK24">
        <f t="shared" si="29"/>
        <v>-0.33042249428529857</v>
      </c>
      <c r="AL24">
        <f t="shared" si="35"/>
        <v>0.94383312893237747</v>
      </c>
      <c r="AM24">
        <f t="shared" si="30"/>
        <v>604</v>
      </c>
      <c r="AN24">
        <f t="shared" si="31"/>
        <v>-302</v>
      </c>
      <c r="AO24">
        <f t="shared" si="32"/>
        <v>302</v>
      </c>
      <c r="AP24" s="16" cm="1">
        <f t="array" ref="AP24">SUMPRODUCT(1362*POWER(0.7,POWER(1/($AI$2*AK24+$AJ$2*AL24*COS(RADIANS(0.25*(_xlfn.SEQUENCE(AO24-AN24,1,AN24+1))))+0.50572*POWER(96.07995-DEGREES(ACOS($AI$2*AK24+$AJ$2*AL24*COS(RADIANS(0.25*(_xlfn.SEQUENCE(AO24-AN24,1,AN24+1)))))),-1.6364)),0.678))*IF(AL24*COS(RADIANS(0.25*(_xlfn.SEQUENCE(AO24-AN24,1,AN24+1))))&gt;0,AL24*COS(RADIANS(0.25*(_xlfn.SEQUENCE(AO24-AN24,1,AN24+1)))),0)/60)</f>
        <v>4657.8658404008438</v>
      </c>
      <c r="AQ24" s="17" cm="1">
        <f t="array" ref="AQ24">SUMPRODUCT(1362*POWER(0.7,POWER(1/($AI$2*AK24+$AJ$2*AL24*COS(RADIANS(0.25*(_xlfn.SEQUENCE(AO24-AN24,1,AN24+1))))+0.50572*POWER(96.07995-DEGREES(ACOS($AI$2*AK24+$AJ$2*AL24*COS(RADIANS(0.25*(_xlfn.SEQUENCE(AO24-AN24,1,AN24+1)))))),-1.6364)),0.678))/60)</f>
        <v>6044.6531586486744</v>
      </c>
      <c r="AR24" s="15">
        <f t="shared" si="33"/>
        <v>1.2977301978556959</v>
      </c>
      <c r="AT24">
        <v>5.4493631728626507E-2</v>
      </c>
      <c r="AU24">
        <v>86.876197537808068</v>
      </c>
      <c r="AV24">
        <v>14.733116187911055</v>
      </c>
      <c r="AW24">
        <v>149.42439073492039</v>
      </c>
      <c r="AY24" t="s">
        <v>56</v>
      </c>
    </row>
    <row r="25" spans="4:53" ht="17" x14ac:dyDescent="0.2">
      <c r="D25" s="1">
        <f t="shared" si="34"/>
        <v>46046</v>
      </c>
      <c r="E25" s="6">
        <f t="shared" si="2"/>
        <v>0.5</v>
      </c>
      <c r="F25" s="2">
        <f t="shared" si="3"/>
        <v>2461065.3333333335</v>
      </c>
      <c r="G25" s="3">
        <f t="shared" si="4"/>
        <v>0.26065252110427073</v>
      </c>
      <c r="I25">
        <f t="shared" si="5"/>
        <v>304.15789848339409</v>
      </c>
      <c r="J25">
        <f t="shared" si="6"/>
        <v>9740.7723150055899</v>
      </c>
      <c r="K25">
        <f t="shared" si="7"/>
        <v>1.6697668342005693E-2</v>
      </c>
      <c r="L25">
        <f t="shared" si="8"/>
        <v>0.69207584274406742</v>
      </c>
      <c r="M25">
        <f t="shared" si="9"/>
        <v>304.84997432613818</v>
      </c>
      <c r="N25">
        <f t="shared" si="10"/>
        <v>9741.464390848334</v>
      </c>
      <c r="O25">
        <f t="shared" si="11"/>
        <v>0.98442463622503518</v>
      </c>
      <c r="P25">
        <f t="shared" si="12"/>
        <v>304.84584822466132</v>
      </c>
      <c r="Q25">
        <f t="shared" si="13"/>
        <v>23.435901540068297</v>
      </c>
      <c r="R25">
        <f t="shared" si="14"/>
        <v>23.438320646934539</v>
      </c>
      <c r="S25">
        <f t="shared" si="15"/>
        <v>-52.80817853082366</v>
      </c>
      <c r="T25" s="19">
        <f t="shared" si="16"/>
        <v>-19.05283248189054</v>
      </c>
      <c r="U25">
        <f t="shared" si="17"/>
        <v>4.3030864441044724E-2</v>
      </c>
      <c r="V25">
        <f t="shared" si="18"/>
        <v>-12.163459739860031</v>
      </c>
      <c r="W25">
        <f t="shared" si="19"/>
        <v>75.726572063710933</v>
      </c>
      <c r="X25" s="6">
        <f t="shared" si="20"/>
        <v>0.51386870815268049</v>
      </c>
      <c r="Y25" s="6">
        <f t="shared" si="21"/>
        <v>0.30351711908681678</v>
      </c>
      <c r="Z25" s="6">
        <f t="shared" si="22"/>
        <v>0.7242202972185442</v>
      </c>
      <c r="AA25" s="19">
        <f t="shared" si="23"/>
        <v>605.81257650968746</v>
      </c>
      <c r="AB25">
        <f t="shared" si="24"/>
        <v>700.02906026013989</v>
      </c>
      <c r="AC25">
        <f t="shared" si="25"/>
        <v>-4.9927349349650285</v>
      </c>
      <c r="AD25">
        <f t="shared" si="0"/>
        <v>56.847507384963158</v>
      </c>
      <c r="AE25">
        <f t="shared" si="26"/>
        <v>33.152492615036842</v>
      </c>
      <c r="AF25">
        <f t="shared" si="27"/>
        <v>2.4637927842723485E-2</v>
      </c>
      <c r="AG25">
        <f t="shared" si="28"/>
        <v>33.177130542879567</v>
      </c>
      <c r="AH25">
        <f t="shared" si="1"/>
        <v>174.36124244303301</v>
      </c>
      <c r="AK25">
        <f t="shared" si="29"/>
        <v>-0.32643987932131685</v>
      </c>
      <c r="AL25">
        <f t="shared" si="35"/>
        <v>0.94521796702595751</v>
      </c>
      <c r="AM25">
        <f t="shared" si="30"/>
        <v>606</v>
      </c>
      <c r="AN25">
        <f t="shared" si="31"/>
        <v>-303</v>
      </c>
      <c r="AO25">
        <f t="shared" si="32"/>
        <v>303</v>
      </c>
      <c r="AP25" s="16" cm="1">
        <f t="array" ref="AP25">SUMPRODUCT(1362*POWER(0.7,POWER(1/($AI$2*AK25+$AJ$2*AL25*COS(RADIANS(0.25*(_xlfn.SEQUENCE(AO25-AN25,1,AN25+1))))+0.50572*POWER(96.07995-DEGREES(ACOS($AI$2*AK25+$AJ$2*AL25*COS(RADIANS(0.25*(_xlfn.SEQUENCE(AO25-AN25,1,AN25+1)))))),-1.6364)),0.678))*IF(AL25*COS(RADIANS(0.25*(_xlfn.SEQUENCE(AO25-AN25,1,AN25+1))))&gt;0,AL25*COS(RADIANS(0.25*(_xlfn.SEQUENCE(AO25-AN25,1,AN25+1)))),0)/60)</f>
        <v>4685.306857344709</v>
      </c>
      <c r="AQ25" s="17" cm="1">
        <f t="array" ref="AQ25">SUMPRODUCT(1362*POWER(0.7,POWER(1/($AI$2*AK25+$AJ$2*AL25*COS(RADIANS(0.25*(_xlfn.SEQUENCE(AO25-AN25,1,AN25+1))))+0.50572*POWER(96.07995-DEGREES(ACOS($AI$2*AK25+$AJ$2*AL25*COS(RADIANS(0.25*(_xlfn.SEQUENCE(AO25-AN25,1,AN25+1)))))),-1.6364)),0.678))/60)</f>
        <v>6079.7420346930121</v>
      </c>
      <c r="AR25" s="15">
        <f t="shared" si="33"/>
        <v>1.29761875151515</v>
      </c>
      <c r="AT25">
        <v>5.7407463856759128E-2</v>
      </c>
      <c r="AU25">
        <v>86.708985263713686</v>
      </c>
      <c r="AV25">
        <v>14.204615708041153</v>
      </c>
      <c r="AW25">
        <v>157.72503897663475</v>
      </c>
      <c r="AY25" t="s">
        <v>57</v>
      </c>
    </row>
    <row r="26" spans="4:53" ht="17" x14ac:dyDescent="0.2">
      <c r="D26" s="1">
        <f t="shared" si="34"/>
        <v>46047</v>
      </c>
      <c r="E26" s="6">
        <f t="shared" si="2"/>
        <v>0.5</v>
      </c>
      <c r="F26" s="2">
        <f t="shared" si="3"/>
        <v>2461066.3333333335</v>
      </c>
      <c r="G26" s="3">
        <f t="shared" si="4"/>
        <v>0.26067989961214205</v>
      </c>
      <c r="I26">
        <f t="shared" si="5"/>
        <v>305.14354584788634</v>
      </c>
      <c r="J26">
        <f t="shared" si="6"/>
        <v>9741.7579152851213</v>
      </c>
      <c r="K26">
        <f t="shared" si="7"/>
        <v>1.6697667189286929E-2</v>
      </c>
      <c r="L26">
        <f t="shared" si="8"/>
        <v>0.72326050579545564</v>
      </c>
      <c r="M26">
        <f t="shared" si="9"/>
        <v>305.8668063536818</v>
      </c>
      <c r="N26">
        <f t="shared" si="10"/>
        <v>9742.4811757909174</v>
      </c>
      <c r="O26">
        <f t="shared" si="11"/>
        <v>0.98453212383769628</v>
      </c>
      <c r="P26">
        <f t="shared" si="12"/>
        <v>305.86268442615824</v>
      </c>
      <c r="Q26">
        <f t="shared" si="13"/>
        <v>23.435901184034087</v>
      </c>
      <c r="R26">
        <f t="shared" si="14"/>
        <v>23.438319515771326</v>
      </c>
      <c r="S26">
        <f t="shared" si="15"/>
        <v>-51.765511181534194</v>
      </c>
      <c r="T26" s="19">
        <f t="shared" si="16"/>
        <v>-18.805422845317675</v>
      </c>
      <c r="U26">
        <f t="shared" si="17"/>
        <v>4.303086016945213E-2</v>
      </c>
      <c r="V26">
        <f t="shared" si="18"/>
        <v>-12.393190794033908</v>
      </c>
      <c r="W26">
        <f t="shared" si="19"/>
        <v>75.944491674897279</v>
      </c>
      <c r="X26" s="6">
        <f t="shared" si="20"/>
        <v>0.51402824360696797</v>
      </c>
      <c r="Y26" s="6">
        <f t="shared" si="21"/>
        <v>0.30307132228780886</v>
      </c>
      <c r="Z26" s="6">
        <f t="shared" si="22"/>
        <v>0.72498516492612708</v>
      </c>
      <c r="AA26" s="19">
        <f t="shared" si="23"/>
        <v>607.55593339917823</v>
      </c>
      <c r="AB26">
        <f t="shared" si="24"/>
        <v>699.79932920596616</v>
      </c>
      <c r="AC26">
        <f t="shared" si="25"/>
        <v>-5.05016769850846</v>
      </c>
      <c r="AD26">
        <f t="shared" si="0"/>
        <v>56.605456564100606</v>
      </c>
      <c r="AE26">
        <f t="shared" si="26"/>
        <v>33.394543435899394</v>
      </c>
      <c r="AF26">
        <f t="shared" si="27"/>
        <v>2.4413307005001033E-2</v>
      </c>
      <c r="AG26">
        <f t="shared" si="28"/>
        <v>33.418956742904392</v>
      </c>
      <c r="AH26">
        <f t="shared" si="1"/>
        <v>174.27194089485988</v>
      </c>
      <c r="AK26">
        <f t="shared" si="29"/>
        <v>-0.32235529083147307</v>
      </c>
      <c r="AL26">
        <f t="shared" si="35"/>
        <v>0.94661875455378364</v>
      </c>
      <c r="AM26">
        <f t="shared" si="30"/>
        <v>608</v>
      </c>
      <c r="AN26">
        <f t="shared" si="31"/>
        <v>-304</v>
      </c>
      <c r="AO26">
        <f t="shared" si="32"/>
        <v>304</v>
      </c>
      <c r="AP26" s="16" cm="1">
        <f t="array" ref="AP26">SUMPRODUCT(1362*POWER(0.7,POWER(1/($AI$2*AK26+$AJ$2*AL26*COS(RADIANS(0.25*(_xlfn.SEQUENCE(AO26-AN26,1,AN26+1))))+0.50572*POWER(96.07995-DEGREES(ACOS($AI$2*AK26+$AJ$2*AL26*COS(RADIANS(0.25*(_xlfn.SEQUENCE(AO26-AN26,1,AN26+1)))))),-1.6364)),0.678))*IF(AL26*COS(RADIANS(0.25*(_xlfn.SEQUENCE(AO26-AN26,1,AN26+1))))&gt;0,AL26*COS(RADIANS(0.25*(_xlfn.SEQUENCE(AO26-AN26,1,AN26+1)))),0)/60)</f>
        <v>4713.1997017319709</v>
      </c>
      <c r="AQ26" s="17" cm="1">
        <f t="array" ref="AQ26">SUMPRODUCT(1362*POWER(0.7,POWER(1/($AI$2*AK26+$AJ$2*AL26*COS(RADIANS(0.25*(_xlfn.SEQUENCE(AO26-AN26,1,AN26+1))))+0.50572*POWER(96.07995-DEGREES(ACOS($AI$2*AK26+$AJ$2*AL26*COS(RADIANS(0.25*(_xlfn.SEQUENCE(AO26-AN26,1,AN26+1)))))),-1.6364)),0.678))/60)</f>
        <v>6115.5177012680988</v>
      </c>
      <c r="AR26" s="15">
        <f t="shared" si="33"/>
        <v>1.297529934710981</v>
      </c>
      <c r="AT26">
        <v>6.0315673975077894E-2</v>
      </c>
      <c r="AU26">
        <v>86.542067629108473</v>
      </c>
      <c r="AV26">
        <v>13.710298817673172</v>
      </c>
      <c r="AW26">
        <v>166.00343091340534</v>
      </c>
      <c r="AY26" t="s">
        <v>58</v>
      </c>
    </row>
    <row r="27" spans="4:53" ht="17" x14ac:dyDescent="0.2">
      <c r="D27" s="1">
        <f t="shared" si="34"/>
        <v>46048</v>
      </c>
      <c r="E27" s="6">
        <f t="shared" si="2"/>
        <v>0.5</v>
      </c>
      <c r="F27" s="2">
        <f t="shared" si="3"/>
        <v>2461067.3333333335</v>
      </c>
      <c r="G27" s="3">
        <f t="shared" si="4"/>
        <v>0.26070727812001337</v>
      </c>
      <c r="I27">
        <f t="shared" si="5"/>
        <v>306.12919321238041</v>
      </c>
      <c r="J27">
        <f t="shared" si="6"/>
        <v>9742.7435155646526</v>
      </c>
      <c r="K27">
        <f t="shared" si="7"/>
        <v>1.6697666036567978E-2</v>
      </c>
      <c r="L27">
        <f t="shared" si="8"/>
        <v>0.75421832705112291</v>
      </c>
      <c r="M27">
        <f t="shared" si="9"/>
        <v>306.88341153943156</v>
      </c>
      <c r="N27">
        <f t="shared" si="10"/>
        <v>9743.4977338917033</v>
      </c>
      <c r="O27">
        <f t="shared" si="11"/>
        <v>0.98464432139017455</v>
      </c>
      <c r="P27">
        <f t="shared" si="12"/>
        <v>306.87929378452185</v>
      </c>
      <c r="Q27">
        <f t="shared" si="13"/>
        <v>23.43590082799988</v>
      </c>
      <c r="R27">
        <f t="shared" si="14"/>
        <v>23.43831838254243</v>
      </c>
      <c r="S27">
        <f t="shared" si="15"/>
        <v>-50.726172814358385</v>
      </c>
      <c r="T27" s="19">
        <f t="shared" si="16"/>
        <v>-18.552297604319971</v>
      </c>
      <c r="U27">
        <f t="shared" si="17"/>
        <v>4.3030855890059186E-2</v>
      </c>
      <c r="V27">
        <f t="shared" si="18"/>
        <v>-12.609587278790181</v>
      </c>
      <c r="W27">
        <f t="shared" si="19"/>
        <v>76.166591885470183</v>
      </c>
      <c r="X27" s="6">
        <f t="shared" si="20"/>
        <v>0.51417851894360433</v>
      </c>
      <c r="Y27" s="6">
        <f t="shared" si="21"/>
        <v>0.30260465259507602</v>
      </c>
      <c r="Z27" s="6">
        <f t="shared" si="22"/>
        <v>0.72575238529213248</v>
      </c>
      <c r="AA27" s="19">
        <f t="shared" si="23"/>
        <v>609.33273508376146</v>
      </c>
      <c r="AB27">
        <f t="shared" si="24"/>
        <v>699.58293272120977</v>
      </c>
      <c r="AC27">
        <f t="shared" si="25"/>
        <v>-5.1042668196975569</v>
      </c>
      <c r="AD27">
        <f t="shared" si="0"/>
        <v>56.357538326092907</v>
      </c>
      <c r="AE27">
        <f t="shared" si="26"/>
        <v>33.642461673907093</v>
      </c>
      <c r="AF27">
        <f t="shared" si="27"/>
        <v>2.4186171019879635E-2</v>
      </c>
      <c r="AG27">
        <f t="shared" si="28"/>
        <v>33.66664784492697</v>
      </c>
      <c r="AH27">
        <f t="shared" si="1"/>
        <v>174.18515197754084</v>
      </c>
      <c r="AK27">
        <f t="shared" si="29"/>
        <v>-0.3181701211126744</v>
      </c>
      <c r="AL27">
        <f t="shared" si="35"/>
        <v>0.94803363549567488</v>
      </c>
      <c r="AM27">
        <f t="shared" si="30"/>
        <v>609</v>
      </c>
      <c r="AN27">
        <f t="shared" si="31"/>
        <v>-304.5</v>
      </c>
      <c r="AO27">
        <f t="shared" si="32"/>
        <v>304.5</v>
      </c>
      <c r="AP27" s="16" cm="1">
        <f t="array" ref="AP27">SUMPRODUCT(1362*POWER(0.7,POWER(1/($AI$2*AK27+$AJ$2*AL27*COS(RADIANS(0.25*(_xlfn.SEQUENCE(AO27-AN27,1,AN27+1))))+0.50572*POWER(96.07995-DEGREES(ACOS($AI$2*AK27+$AJ$2*AL27*COS(RADIANS(0.25*(_xlfn.SEQUENCE(AO27-AN27,1,AN27+1)))))),-1.6364)),0.678))*IF(AL27*COS(RADIANS(0.25*(_xlfn.SEQUENCE(AO27-AN27,1,AN27+1))))&gt;0,AL27*COS(RADIANS(0.25*(_xlfn.SEQUENCE(AO27-AN27,1,AN27+1)))),0)/60)</f>
        <v>4741.4904474166106</v>
      </c>
      <c r="AQ27" s="17" cm="1">
        <f t="array" ref="AQ27">SUMPRODUCT(1362*POWER(0.7,POWER(1/($AI$2*AK27+$AJ$2*AL27*COS(RADIANS(0.25*(_xlfn.SEQUENCE(AO27-AN27,1,AN27+1))))+0.50572*POWER(96.07995-DEGREES(ACOS($AI$2*AK27+$AJ$2*AL27*COS(RADIANS(0.25*(_xlfn.SEQUENCE(AO27-AN27,1,AN27+1)))))),-1.6364)),0.678))/60)</f>
        <v>6151.8368947104727</v>
      </c>
      <c r="AR27" s="15">
        <f t="shared" si="33"/>
        <v>1.297447914940393</v>
      </c>
      <c r="AT27">
        <v>6.3218206715454389E-2</v>
      </c>
      <c r="AU27">
        <v>86.37544654755844</v>
      </c>
      <c r="AV27">
        <v>13.247189464522959</v>
      </c>
      <c r="AW27">
        <v>174.24731569039554</v>
      </c>
    </row>
    <row r="28" spans="4:53" ht="17" x14ac:dyDescent="0.2">
      <c r="D28" s="1">
        <f t="shared" si="34"/>
        <v>46049</v>
      </c>
      <c r="E28" s="6">
        <f t="shared" si="2"/>
        <v>0.5</v>
      </c>
      <c r="F28" s="2">
        <f t="shared" si="3"/>
        <v>2461068.3333333335</v>
      </c>
      <c r="G28" s="3">
        <f t="shared" si="4"/>
        <v>0.2607346566278847</v>
      </c>
      <c r="I28">
        <f t="shared" si="5"/>
        <v>307.11484057687267</v>
      </c>
      <c r="J28">
        <f t="shared" si="6"/>
        <v>9743.7291158441822</v>
      </c>
      <c r="K28">
        <f t="shared" si="7"/>
        <v>1.6697664883848835E-2</v>
      </c>
      <c r="L28">
        <f t="shared" si="8"/>
        <v>0.78493969732392999</v>
      </c>
      <c r="M28">
        <f t="shared" si="9"/>
        <v>307.89978027419659</v>
      </c>
      <c r="N28">
        <f t="shared" si="10"/>
        <v>9744.5140555415055</v>
      </c>
      <c r="O28">
        <f t="shared" si="11"/>
        <v>0.98476119249558403</v>
      </c>
      <c r="P28">
        <f t="shared" si="12"/>
        <v>307.89566669055779</v>
      </c>
      <c r="Q28">
        <f t="shared" si="13"/>
        <v>23.435900471965674</v>
      </c>
      <c r="R28">
        <f t="shared" si="14"/>
        <v>23.438317247248513</v>
      </c>
      <c r="S28">
        <f t="shared" si="15"/>
        <v>-49.690186815817647</v>
      </c>
      <c r="T28" s="19">
        <f t="shared" si="16"/>
        <v>-18.293563431494032</v>
      </c>
      <c r="U28">
        <f t="shared" si="17"/>
        <v>4.3030851602868347E-2</v>
      </c>
      <c r="V28">
        <f t="shared" si="18"/>
        <v>-12.812540615051679</v>
      </c>
      <c r="W28">
        <f t="shared" si="19"/>
        <v>76.392739083135794</v>
      </c>
      <c r="X28" s="6">
        <f t="shared" si="20"/>
        <v>0.51431945876045249</v>
      </c>
      <c r="Y28" s="6">
        <f t="shared" si="21"/>
        <v>0.3021174057517419</v>
      </c>
      <c r="Z28" s="6">
        <f t="shared" si="22"/>
        <v>0.72652151176916291</v>
      </c>
      <c r="AA28" s="19">
        <f t="shared" si="23"/>
        <v>611.14191266508635</v>
      </c>
      <c r="AB28">
        <f t="shared" si="24"/>
        <v>699.37997938494823</v>
      </c>
      <c r="AC28">
        <f t="shared" si="25"/>
        <v>-5.1550051537629429</v>
      </c>
      <c r="AD28">
        <f t="shared" si="0"/>
        <v>56.103847434899713</v>
      </c>
      <c r="AE28">
        <f t="shared" si="26"/>
        <v>33.896152565100287</v>
      </c>
      <c r="AF28">
        <f t="shared" si="27"/>
        <v>2.3956748257082078E-2</v>
      </c>
      <c r="AG28">
        <f t="shared" si="28"/>
        <v>33.920109313357372</v>
      </c>
      <c r="AH28">
        <f t="shared" si="1"/>
        <v>174.10093113397318</v>
      </c>
      <c r="AK28">
        <f t="shared" si="29"/>
        <v>-0.31388579618045354</v>
      </c>
      <c r="AL28">
        <f t="shared" si="35"/>
        <v>0.94946074534767511</v>
      </c>
      <c r="AM28">
        <f t="shared" si="30"/>
        <v>611</v>
      </c>
      <c r="AN28">
        <f t="shared" si="31"/>
        <v>-305.5</v>
      </c>
      <c r="AO28">
        <f t="shared" si="32"/>
        <v>305.5</v>
      </c>
      <c r="AP28" s="16" cm="1">
        <f t="array" ref="AP28">SUMPRODUCT(1362*POWER(0.7,POWER(1/($AI$2*AK28+$AJ$2*AL28*COS(RADIANS(0.25*(_xlfn.SEQUENCE(AO28-AN28,1,AN28+1))))+0.50572*POWER(96.07995-DEGREES(ACOS($AI$2*AK28+$AJ$2*AL28*COS(RADIANS(0.25*(_xlfn.SEQUENCE(AO28-AN28,1,AN28+1)))))),-1.6364)),0.678))*IF(AL28*COS(RADIANS(0.25*(_xlfn.SEQUENCE(AO28-AN28,1,AN28+1))))&gt;0,AL28*COS(RADIANS(0.25*(_xlfn.SEQUENCE(AO28-AN28,1,AN28+1)))),0)/60)</f>
        <v>4770.2070440802199</v>
      </c>
      <c r="AQ28" s="17" cm="1">
        <f t="array" ref="AQ28">SUMPRODUCT(1362*POWER(0.7,POWER(1/($AI$2*AK28+$AJ$2*AL28*COS(RADIANS(0.25*(_xlfn.SEQUENCE(AO28-AN28,1,AN28+1))))+0.50572*POWER(96.07995-DEGREES(ACOS($AI$2*AK28+$AJ$2*AL28*COS(RADIANS(0.25*(_xlfn.SEQUENCE(AO28-AN28,1,AN28+1)))))),-1.6364)),0.678))/60)</f>
        <v>6188.9167564934005</v>
      </c>
      <c r="AR28" s="15">
        <f t="shared" si="33"/>
        <v>1.2974105105508544</v>
      </c>
      <c r="AT28">
        <v>6.6115006817849181E-2</v>
      </c>
      <c r="AU28">
        <v>86.209123942819616</v>
      </c>
      <c r="AV28">
        <v>12.812625098660648</v>
      </c>
      <c r="AW28">
        <v>182.44596485068493</v>
      </c>
    </row>
    <row r="29" spans="4:53" ht="17" x14ac:dyDescent="0.2">
      <c r="D29" s="1">
        <f t="shared" si="34"/>
        <v>46050</v>
      </c>
      <c r="E29" s="6">
        <f t="shared" si="2"/>
        <v>0.5</v>
      </c>
      <c r="F29" s="2">
        <f t="shared" si="3"/>
        <v>2461069.3333333335</v>
      </c>
      <c r="G29" s="3">
        <f t="shared" si="4"/>
        <v>0.26076203513575602</v>
      </c>
      <c r="I29">
        <f t="shared" si="5"/>
        <v>308.10048794136674</v>
      </c>
      <c r="J29">
        <f t="shared" si="6"/>
        <v>9744.7147161237135</v>
      </c>
      <c r="K29">
        <f t="shared" si="7"/>
        <v>1.6697663731129502E-2</v>
      </c>
      <c r="L29">
        <f t="shared" si="8"/>
        <v>0.81541509404290846</v>
      </c>
      <c r="M29">
        <f t="shared" si="9"/>
        <v>308.91590303540966</v>
      </c>
      <c r="N29">
        <f t="shared" si="10"/>
        <v>9745.5301312177562</v>
      </c>
      <c r="O29">
        <f t="shared" si="11"/>
        <v>0.98488269927741268</v>
      </c>
      <c r="P29">
        <f t="shared" si="12"/>
        <v>308.91179362169521</v>
      </c>
      <c r="Q29">
        <f t="shared" si="13"/>
        <v>23.435900115931467</v>
      </c>
      <c r="R29">
        <f t="shared" si="14"/>
        <v>23.438316109890241</v>
      </c>
      <c r="S29">
        <f t="shared" si="15"/>
        <v>-48.657572021821188</v>
      </c>
      <c r="T29" s="19">
        <f t="shared" si="16"/>
        <v>-18.029328227478437</v>
      </c>
      <c r="U29">
        <f t="shared" si="17"/>
        <v>4.3030847307882168E-2</v>
      </c>
      <c r="V29">
        <f t="shared" si="18"/>
        <v>-13.001960785327897</v>
      </c>
      <c r="W29">
        <f t="shared" si="19"/>
        <v>76.622800845842349</v>
      </c>
      <c r="X29" s="6">
        <f t="shared" si="20"/>
        <v>0.51445100054536652</v>
      </c>
      <c r="Y29" s="6">
        <f t="shared" si="21"/>
        <v>0.30160988708469333</v>
      </c>
      <c r="Z29" s="6">
        <f t="shared" si="22"/>
        <v>0.72729211400603966</v>
      </c>
      <c r="AA29" s="19">
        <f t="shared" si="23"/>
        <v>612.98240676673879</v>
      </c>
      <c r="AB29">
        <f t="shared" si="24"/>
        <v>699.19055921467202</v>
      </c>
      <c r="AC29">
        <f t="shared" si="25"/>
        <v>-5.2023601963319948</v>
      </c>
      <c r="AD29">
        <f t="shared" si="0"/>
        <v>55.844480366882784</v>
      </c>
      <c r="AE29">
        <f t="shared" si="26"/>
        <v>34.155519633117216</v>
      </c>
      <c r="AF29">
        <f t="shared" si="27"/>
        <v>2.3725261619330848E-2</v>
      </c>
      <c r="AG29">
        <f t="shared" si="28"/>
        <v>34.179244894736549</v>
      </c>
      <c r="AH29">
        <f t="shared" si="1"/>
        <v>174.01933160633735</v>
      </c>
      <c r="AK29">
        <f t="shared" si="29"/>
        <v>-0.30950377510009736</v>
      </c>
      <c r="AL29">
        <f t="shared" si="35"/>
        <v>0.95089821390030405</v>
      </c>
      <c r="AM29">
        <f t="shared" si="30"/>
        <v>613</v>
      </c>
      <c r="AN29">
        <f t="shared" si="31"/>
        <v>-306.5</v>
      </c>
      <c r="AO29">
        <f t="shared" si="32"/>
        <v>306.5</v>
      </c>
      <c r="AP29" s="16" cm="1">
        <f t="array" ref="AP29">SUMPRODUCT(1362*POWER(0.7,POWER(1/($AI$2*AK29+$AJ$2*AL29*COS(RADIANS(0.25*(_xlfn.SEQUENCE(AO29-AN29,1,AN29+1))))+0.50572*POWER(96.07995-DEGREES(ACOS($AI$2*AK29+$AJ$2*AL29*COS(RADIANS(0.25*(_xlfn.SEQUENCE(AO29-AN29,1,AN29+1)))))),-1.6364)),0.678))*IF(AL29*COS(RADIANS(0.25*(_xlfn.SEQUENCE(AO29-AN29,1,AN29+1))))&gt;0,AL29*COS(RADIANS(0.25*(_xlfn.SEQUENCE(AO29-AN29,1,AN29+1)))),0)/60)</f>
        <v>4799.294044520324</v>
      </c>
      <c r="AQ29" s="17" cm="1">
        <f t="array" ref="AQ29">SUMPRODUCT(1362*POWER(0.7,POWER(1/($AI$2*AK29+$AJ$2*AL29*COS(RADIANS(0.25*(_xlfn.SEQUENCE(AO29-AN29,1,AN29+1))))+0.50572*POWER(96.07995-DEGREES(ACOS($AI$2*AK29+$AJ$2*AL29*COS(RADIANS(0.25*(_xlfn.SEQUENCE(AO29-AN29,1,AN29+1)))))),-1.6364)),0.678))/60)</f>
        <v>6226.6108188861572</v>
      </c>
      <c r="AR29" s="15">
        <f t="shared" si="33"/>
        <v>1.2974014013572468</v>
      </c>
      <c r="AT29">
        <v>6.9006019131363977E-2</v>
      </c>
      <c r="AU29">
        <v>86.043101748883331</v>
      </c>
      <c r="AV29">
        <v>12.404219273566763</v>
      </c>
      <c r="AW29">
        <v>190.59003073506156</v>
      </c>
    </row>
    <row r="30" spans="4:53" ht="17" x14ac:dyDescent="0.2">
      <c r="D30" s="1">
        <f t="shared" si="34"/>
        <v>46051</v>
      </c>
      <c r="E30" s="6">
        <f t="shared" si="2"/>
        <v>0.5</v>
      </c>
      <c r="F30" s="2">
        <f t="shared" si="3"/>
        <v>2461070.3333333335</v>
      </c>
      <c r="G30" s="3">
        <f t="shared" si="4"/>
        <v>0.26078941364362734</v>
      </c>
      <c r="I30">
        <f t="shared" si="5"/>
        <v>309.08613530586081</v>
      </c>
      <c r="J30">
        <f t="shared" si="6"/>
        <v>9745.7003164032431</v>
      </c>
      <c r="K30">
        <f t="shared" si="7"/>
        <v>1.6697662578409978E-2</v>
      </c>
      <c r="L30">
        <f t="shared" si="8"/>
        <v>0.84563508459996184</v>
      </c>
      <c r="M30">
        <f t="shared" si="9"/>
        <v>309.93177039046077</v>
      </c>
      <c r="N30">
        <f t="shared" si="10"/>
        <v>9746.5459514878421</v>
      </c>
      <c r="O30">
        <f t="shared" si="11"/>
        <v>0.98500880238494837</v>
      </c>
      <c r="P30">
        <f t="shared" si="12"/>
        <v>309.92766514532059</v>
      </c>
      <c r="Q30">
        <f t="shared" si="13"/>
        <v>23.435899759897261</v>
      </c>
      <c r="R30">
        <f t="shared" si="14"/>
        <v>23.43831497046828</v>
      </c>
      <c r="S30">
        <f t="shared" si="15"/>
        <v>-47.628342783789059</v>
      </c>
      <c r="T30" s="19">
        <f t="shared" si="16"/>
        <v>-17.759701019951653</v>
      </c>
      <c r="U30">
        <f t="shared" si="17"/>
        <v>4.3030843005103125E-2</v>
      </c>
      <c r="V30">
        <f t="shared" si="18"/>
        <v>-13.177776197399767</v>
      </c>
      <c r="W30">
        <f t="shared" si="19"/>
        <v>76.85664612557801</v>
      </c>
      <c r="X30" s="6">
        <f t="shared" si="20"/>
        <v>0.51457309458152756</v>
      </c>
      <c r="Y30" s="6">
        <f t="shared" si="21"/>
        <v>0.30108241089936644</v>
      </c>
      <c r="Z30" s="6">
        <f t="shared" si="22"/>
        <v>0.72806377826368873</v>
      </c>
      <c r="AA30" s="19">
        <f t="shared" si="23"/>
        <v>614.85316900462408</v>
      </c>
      <c r="AB30">
        <f t="shared" si="24"/>
        <v>699.01474380260015</v>
      </c>
      <c r="AC30">
        <f t="shared" si="25"/>
        <v>-5.2463140493499623</v>
      </c>
      <c r="AD30">
        <f t="shared" si="0"/>
        <v>55.579535244041359</v>
      </c>
      <c r="AE30">
        <f t="shared" si="26"/>
        <v>34.420464755958641</v>
      </c>
      <c r="AF30">
        <f t="shared" si="27"/>
        <v>2.3491928240684048E-2</v>
      </c>
      <c r="AG30">
        <f t="shared" si="28"/>
        <v>34.443956684199321</v>
      </c>
      <c r="AH30">
        <f t="shared" si="1"/>
        <v>173.94040438566526</v>
      </c>
      <c r="AK30">
        <f t="shared" si="29"/>
        <v>-0.30502554930359593</v>
      </c>
      <c r="AL30">
        <f t="shared" si="35"/>
        <v>0.95234416797292332</v>
      </c>
      <c r="AM30">
        <f t="shared" si="30"/>
        <v>615</v>
      </c>
      <c r="AN30">
        <f t="shared" si="31"/>
        <v>-307.5</v>
      </c>
      <c r="AO30">
        <f t="shared" si="32"/>
        <v>307.5</v>
      </c>
      <c r="AP30" s="16" cm="1">
        <f t="array" ref="AP30">SUMPRODUCT(1362*POWER(0.7,POWER(1/($AI$2*AK30+$AJ$2*AL30*COS(RADIANS(0.25*(_xlfn.SEQUENCE(AO30-AN30,1,AN30+1))))+0.50572*POWER(96.07995-DEGREES(ACOS($AI$2*AK30+$AJ$2*AL30*COS(RADIANS(0.25*(_xlfn.SEQUENCE(AO30-AN30,1,AN30+1)))))),-1.6364)),0.678))*IF(AL30*COS(RADIANS(0.25*(_xlfn.SEQUENCE(AO30-AN30,1,AN30+1))))&gt;0,AL30*COS(RADIANS(0.25*(_xlfn.SEQUENCE(AO30-AN30,1,AN30+1)))),0)/60)</f>
        <v>4828.7240654056632</v>
      </c>
      <c r="AQ30" s="17" cm="1">
        <f t="array" ref="AQ30">SUMPRODUCT(1362*POWER(0.7,POWER(1/($AI$2*AK30+$AJ$2*AL30*COS(RADIANS(0.25*(_xlfn.SEQUENCE(AO30-AN30,1,AN30+1))))+0.50572*POWER(96.07995-DEGREES(ACOS($AI$2*AK30+$AJ$2*AL30*COS(RADIANS(0.25*(_xlfn.SEQUENCE(AO30-AN30,1,AN30+1)))))),-1.6364)),0.678))/60)</f>
        <v>6264.8950970496007</v>
      </c>
      <c r="AR30" s="15">
        <f t="shared" si="33"/>
        <v>1.2974224685840035</v>
      </c>
      <c r="AT30">
        <v>7.1891188615291673E-2</v>
      </c>
      <c r="AU30">
        <v>85.877381910021057</v>
      </c>
      <c r="AV30">
        <v>12.019829028987676</v>
      </c>
      <c r="AW30">
        <v>198.67141293829255</v>
      </c>
    </row>
    <row r="31" spans="4:53" ht="17" x14ac:dyDescent="0.2">
      <c r="D31" s="1">
        <f t="shared" si="34"/>
        <v>46052</v>
      </c>
      <c r="E31" s="6">
        <f t="shared" si="2"/>
        <v>0.5</v>
      </c>
      <c r="F31" s="2">
        <f t="shared" si="3"/>
        <v>2461071.3333333335</v>
      </c>
      <c r="G31" s="3">
        <f t="shared" si="4"/>
        <v>0.26081679215149867</v>
      </c>
      <c r="I31">
        <f t="shared" si="5"/>
        <v>310.07178267035488</v>
      </c>
      <c r="J31">
        <f t="shared" si="6"/>
        <v>9746.6859166827726</v>
      </c>
      <c r="K31">
        <f t="shared" si="7"/>
        <v>1.6697661425690267E-2</v>
      </c>
      <c r="L31">
        <f t="shared" si="8"/>
        <v>0.87559032964807726</v>
      </c>
      <c r="M31">
        <f t="shared" si="9"/>
        <v>310.94737300000298</v>
      </c>
      <c r="N31">
        <f t="shared" si="10"/>
        <v>9747.5615070124204</v>
      </c>
      <c r="O31">
        <f t="shared" si="11"/>
        <v>0.98513946100927208</v>
      </c>
      <c r="P31">
        <f t="shared" si="12"/>
        <v>310.9432719220834</v>
      </c>
      <c r="Q31">
        <f t="shared" si="13"/>
        <v>23.435899403863054</v>
      </c>
      <c r="R31">
        <f t="shared" si="14"/>
        <v>23.438313828983301</v>
      </c>
      <c r="S31">
        <f t="shared" si="15"/>
        <v>-46.602509041482584</v>
      </c>
      <c r="T31" s="19">
        <f t="shared" si="16"/>
        <v>-17.484791865222554</v>
      </c>
      <c r="U31">
        <f t="shared" si="17"/>
        <v>4.3030838694533793E-2</v>
      </c>
      <c r="V31">
        <f t="shared" si="18"/>
        <v>-13.339933514174939</v>
      </c>
      <c r="W31">
        <f t="shared" si="19"/>
        <v>77.094145418261959</v>
      </c>
      <c r="X31" s="6">
        <f t="shared" si="20"/>
        <v>0.51468570382928802</v>
      </c>
      <c r="Y31" s="6">
        <f t="shared" si="21"/>
        <v>0.30053529988967148</v>
      </c>
      <c r="Z31" s="6">
        <f t="shared" si="22"/>
        <v>0.72883610776890462</v>
      </c>
      <c r="AA31" s="19">
        <f t="shared" si="23"/>
        <v>616.75316334609568</v>
      </c>
      <c r="AB31">
        <f t="shared" si="24"/>
        <v>698.85258648582499</v>
      </c>
      <c r="AC31">
        <f t="shared" si="25"/>
        <v>-5.2868533785437535</v>
      </c>
      <c r="AD31">
        <f t="shared" si="0"/>
        <v>55.30911176746627</v>
      </c>
      <c r="AE31">
        <f t="shared" si="26"/>
        <v>34.69088823253373</v>
      </c>
      <c r="AF31">
        <f t="shared" si="27"/>
        <v>2.3256959225500487E-2</v>
      </c>
      <c r="AG31">
        <f t="shared" si="28"/>
        <v>34.714145191759229</v>
      </c>
      <c r="AH31">
        <f t="shared" si="1"/>
        <v>173.86419816429066</v>
      </c>
      <c r="AK31">
        <f t="shared" si="29"/>
        <v>-0.30045264189278897</v>
      </c>
      <c r="AL31">
        <f t="shared" si="35"/>
        <v>0.95379673409990429</v>
      </c>
      <c r="AM31">
        <f t="shared" si="30"/>
        <v>617</v>
      </c>
      <c r="AN31">
        <f t="shared" si="31"/>
        <v>-308.5</v>
      </c>
      <c r="AO31">
        <f t="shared" si="32"/>
        <v>308.5</v>
      </c>
      <c r="AP31" s="16" cm="1">
        <f t="array" ref="AP31">SUMPRODUCT(1362*POWER(0.7,POWER(1/($AI$2*AK31+$AJ$2*AL31*COS(RADIANS(0.25*(_xlfn.SEQUENCE(AO31-AN31,1,AN31+1))))+0.50572*POWER(96.07995-DEGREES(ACOS($AI$2*AK31+$AJ$2*AL31*COS(RADIANS(0.25*(_xlfn.SEQUENCE(AO31-AN31,1,AN31+1)))))),-1.6364)),0.678))*IF(AL31*COS(RADIANS(0.25*(_xlfn.SEQUENCE(AO31-AN31,1,AN31+1))))&gt;0,AL31*COS(RADIANS(0.25*(_xlfn.SEQUENCE(AO31-AN31,1,AN31+1)))),0)/60)</f>
        <v>4858.4696403785865</v>
      </c>
      <c r="AQ31" s="17" cm="1">
        <f t="array" ref="AQ31">SUMPRODUCT(1362*POWER(0.7,POWER(1/($AI$2*AK31+$AJ$2*AL31*COS(RADIANS(0.25*(_xlfn.SEQUENCE(AO31-AN31,1,AN31+1))))+0.50572*POWER(96.07995-DEGREES(ACOS($AI$2*AK31+$AJ$2*AL31*COS(RADIANS(0.25*(_xlfn.SEQUENCE(AO31-AN31,1,AN31+1)))))),-1.6364)),0.678))/60)</f>
        <v>6303.7456786537596</v>
      </c>
      <c r="AR31" s="15">
        <f t="shared" si="33"/>
        <v>1.2974755726090228</v>
      </c>
      <c r="AT31">
        <v>7.4770460340163963E-2</v>
      </c>
      <c r="AU31">
        <v>85.711966380828315</v>
      </c>
      <c r="AV31">
        <v>11.657526443755463</v>
      </c>
      <c r="AW31">
        <v>206.68313372221357</v>
      </c>
    </row>
    <row r="32" spans="4:53" ht="17" x14ac:dyDescent="0.2">
      <c r="D32" s="1">
        <f t="shared" si="34"/>
        <v>46053</v>
      </c>
      <c r="E32" s="6">
        <f t="shared" si="2"/>
        <v>0.5</v>
      </c>
      <c r="F32" s="2">
        <f t="shared" si="3"/>
        <v>2461072.3333333335</v>
      </c>
      <c r="G32" s="3">
        <f t="shared" si="4"/>
        <v>0.26084417065936999</v>
      </c>
      <c r="I32">
        <f t="shared" si="5"/>
        <v>311.05743003484713</v>
      </c>
      <c r="J32">
        <f t="shared" si="6"/>
        <v>9747.6715169623021</v>
      </c>
      <c r="K32">
        <f t="shared" si="7"/>
        <v>1.6697660272970361E-2</v>
      </c>
      <c r="L32">
        <f t="shared" si="8"/>
        <v>0.90527158634756622</v>
      </c>
      <c r="M32">
        <f t="shared" si="9"/>
        <v>311.9627016211947</v>
      </c>
      <c r="N32">
        <f t="shared" si="10"/>
        <v>9748.5767885486493</v>
      </c>
      <c r="O32">
        <f t="shared" si="11"/>
        <v>0.98527463289979966</v>
      </c>
      <c r="P32">
        <f t="shared" si="12"/>
        <v>311.95860470913846</v>
      </c>
      <c r="Q32">
        <f t="shared" si="13"/>
        <v>23.435899047828848</v>
      </c>
      <c r="R32">
        <f t="shared" si="14"/>
        <v>23.438312685435971</v>
      </c>
      <c r="S32">
        <f t="shared" si="15"/>
        <v>-45.580076402014583</v>
      </c>
      <c r="T32" s="19">
        <f t="shared" si="16"/>
        <v>-17.204711752571271</v>
      </c>
      <c r="U32">
        <f t="shared" si="17"/>
        <v>4.3030834376176677E-2</v>
      </c>
      <c r="V32">
        <f t="shared" si="18"/>
        <v>-13.488397450952718</v>
      </c>
      <c r="W32">
        <f t="shared" si="19"/>
        <v>77.335170919779713</v>
      </c>
      <c r="X32" s="6">
        <f t="shared" si="20"/>
        <v>0.51478880378538383</v>
      </c>
      <c r="Y32" s="6">
        <f t="shared" si="21"/>
        <v>0.29996888456377352</v>
      </c>
      <c r="Z32" s="6">
        <f t="shared" si="22"/>
        <v>0.7296087230069942</v>
      </c>
      <c r="AA32" s="19">
        <f t="shared" si="23"/>
        <v>618.68136735823771</v>
      </c>
      <c r="AB32">
        <f t="shared" si="24"/>
        <v>698.70412254904727</v>
      </c>
      <c r="AC32">
        <f t="shared" si="25"/>
        <v>-5.3239693627381826</v>
      </c>
      <c r="AD32">
        <f t="shared" si="0"/>
        <v>55.033311151063899</v>
      </c>
      <c r="AE32">
        <f t="shared" si="26"/>
        <v>34.966688848936101</v>
      </c>
      <c r="AF32">
        <f t="shared" si="27"/>
        <v>2.3020559426665015E-2</v>
      </c>
      <c r="AG32">
        <f t="shared" si="28"/>
        <v>34.989709408362764</v>
      </c>
      <c r="AH32">
        <f t="shared" si="1"/>
        <v>173.7907592913491</v>
      </c>
      <c r="AK32">
        <f t="shared" si="29"/>
        <v>-0.29578660692943387</v>
      </c>
      <c r="AL32">
        <f t="shared" si="35"/>
        <v>0.95525404116453361</v>
      </c>
      <c r="AM32">
        <f t="shared" si="30"/>
        <v>619</v>
      </c>
      <c r="AN32">
        <f t="shared" si="31"/>
        <v>-309.5</v>
      </c>
      <c r="AO32">
        <f t="shared" si="32"/>
        <v>309.5</v>
      </c>
      <c r="AP32" s="16" cm="1">
        <f t="array" ref="AP32">SUMPRODUCT(1362*POWER(0.7,POWER(1/($AI$2*AK32+$AJ$2*AL32*COS(RADIANS(0.25*(_xlfn.SEQUENCE(AO32-AN32,1,AN32+1))))+0.50572*POWER(96.07995-DEGREES(ACOS($AI$2*AK32+$AJ$2*AL32*COS(RADIANS(0.25*(_xlfn.SEQUENCE(AO32-AN32,1,AN32+1)))))),-1.6364)),0.678))*IF(AL32*COS(RADIANS(0.25*(_xlfn.SEQUENCE(AO32-AN32,1,AN32+1))))&gt;0,AL32*COS(RADIANS(0.25*(_xlfn.SEQUENCE(AO32-AN32,1,AN32+1)))),0)/60)</f>
        <v>4888.5032588549302</v>
      </c>
      <c r="AQ32" s="17" cm="1">
        <f t="array" ref="AQ32">SUMPRODUCT(1362*POWER(0.7,POWER(1/($AI$2*AK32+$AJ$2*AL32*COS(RADIANS(0.25*(_xlfn.SEQUENCE(AO32-AN32,1,AN32+1))))+0.50572*POWER(96.07995-DEGREES(ACOS($AI$2*AK32+$AJ$2*AL32*COS(RADIANS(0.25*(_xlfn.SEQUENCE(AO32-AN32,1,AN32+1)))))),-1.6364)),0.678))/60)</f>
        <v>6343.1387626181277</v>
      </c>
      <c r="AR32" s="15">
        <f t="shared" si="33"/>
        <v>1.2975625517132063</v>
      </c>
      <c r="AT32">
        <v>7.7643779488797776E-2</v>
      </c>
      <c r="AU32">
        <v>85.546857126268264</v>
      </c>
      <c r="AV32">
        <v>11.315573814190287</v>
      </c>
      <c r="AW32">
        <v>214.61922277748104</v>
      </c>
    </row>
    <row r="33" spans="4:49" ht="17" x14ac:dyDescent="0.2">
      <c r="D33" s="1">
        <f t="shared" si="34"/>
        <v>46054</v>
      </c>
      <c r="E33" s="6">
        <f t="shared" si="2"/>
        <v>0.5</v>
      </c>
      <c r="F33" s="2">
        <f t="shared" si="3"/>
        <v>2461073.3333333335</v>
      </c>
      <c r="G33" s="3">
        <f t="shared" si="4"/>
        <v>0.26087154916724131</v>
      </c>
      <c r="I33">
        <f t="shared" si="5"/>
        <v>312.04307739934302</v>
      </c>
      <c r="J33">
        <f t="shared" si="6"/>
        <v>9748.6571172418335</v>
      </c>
      <c r="K33">
        <f t="shared" si="7"/>
        <v>1.6697659120250272E-2</v>
      </c>
      <c r="L33">
        <f t="shared" si="8"/>
        <v>0.93466971156041789</v>
      </c>
      <c r="M33">
        <f t="shared" si="9"/>
        <v>312.97774711090346</v>
      </c>
      <c r="N33">
        <f t="shared" si="10"/>
        <v>9749.5917869533932</v>
      </c>
      <c r="O33">
        <f t="shared" si="11"/>
        <v>0.98541427438136853</v>
      </c>
      <c r="P33">
        <f t="shared" si="12"/>
        <v>312.97365436334985</v>
      </c>
      <c r="Q33">
        <f t="shared" si="13"/>
        <v>23.435898691794641</v>
      </c>
      <c r="R33">
        <f t="shared" si="14"/>
        <v>23.438311539826966</v>
      </c>
      <c r="S33">
        <f t="shared" si="15"/>
        <v>-44.561046224456994</v>
      </c>
      <c r="T33" s="19">
        <f t="shared" si="16"/>
        <v>-16.919572511464551</v>
      </c>
      <c r="U33">
        <f t="shared" si="17"/>
        <v>4.3030830050034337E-2</v>
      </c>
      <c r="V33">
        <f t="shared" si="18"/>
        <v>-13.623150541440468</v>
      </c>
      <c r="W33">
        <f t="shared" si="19"/>
        <v>77.579596668298677</v>
      </c>
      <c r="X33" s="6">
        <f t="shared" si="20"/>
        <v>0.51488238232044481</v>
      </c>
      <c r="Y33" s="6">
        <f t="shared" si="21"/>
        <v>0.29938350268628183</v>
      </c>
      <c r="Z33" s="6">
        <f t="shared" si="22"/>
        <v>0.73038126195460795</v>
      </c>
      <c r="AA33" s="19">
        <f t="shared" si="23"/>
        <v>620.63677334638942</v>
      </c>
      <c r="AB33">
        <f t="shared" si="24"/>
        <v>698.56936945855955</v>
      </c>
      <c r="AC33">
        <f t="shared" si="25"/>
        <v>-5.3576576353601126</v>
      </c>
      <c r="AD33">
        <f t="shared" si="0"/>
        <v>54.752236055583758</v>
      </c>
      <c r="AE33">
        <f t="shared" si="26"/>
        <v>35.247763944416242</v>
      </c>
      <c r="AF33">
        <f t="shared" si="27"/>
        <v>2.2782927261518759E-2</v>
      </c>
      <c r="AG33">
        <f t="shared" si="28"/>
        <v>35.270546871677759</v>
      </c>
      <c r="AH33">
        <f t="shared" si="1"/>
        <v>173.72013173145399</v>
      </c>
      <c r="AK33">
        <f t="shared" si="29"/>
        <v>-0.29102902871266589</v>
      </c>
      <c r="AL33">
        <f t="shared" si="35"/>
        <v>0.95671422297704045</v>
      </c>
      <c r="AM33">
        <f t="shared" si="30"/>
        <v>621</v>
      </c>
      <c r="AN33">
        <f t="shared" si="31"/>
        <v>-310.5</v>
      </c>
      <c r="AO33">
        <f t="shared" si="32"/>
        <v>310.5</v>
      </c>
      <c r="AP33" s="16" cm="1">
        <f t="array" ref="AP33">SUMPRODUCT(1362*POWER(0.7,POWER(1/($AI$2*AK33+$AJ$2*AL33*COS(RADIANS(0.25*(_xlfn.SEQUENCE(AO33-AN33,1,AN33+1))))+0.50572*POWER(96.07995-DEGREES(ACOS($AI$2*AK33+$AJ$2*AL33*COS(RADIANS(0.25*(_xlfn.SEQUENCE(AO33-AN33,1,AN33+1)))))),-1.6364)),0.678))*IF(AL33*COS(RADIANS(0.25*(_xlfn.SEQUENCE(AO33-AN33,1,AN33+1))))&gt;0,AL33*COS(RADIANS(0.25*(_xlfn.SEQUENCE(AO33-AN33,1,AN33+1)))),0)/60)</f>
        <v>4918.7974036959504</v>
      </c>
      <c r="AQ33" s="17" cm="1">
        <f t="array" ref="AQ33">SUMPRODUCT(1362*POWER(0.7,POWER(1/($AI$2*AK33+$AJ$2*AL33*COS(RADIANS(0.25*(_xlfn.SEQUENCE(AO33-AN33,1,AN33+1))))+0.50572*POWER(96.07995-DEGREES(ACOS($AI$2*AK33+$AJ$2*AL33*COS(RADIANS(0.25*(_xlfn.SEQUENCE(AO33-AN33,1,AN33+1)))))),-1.6364)),0.678))/60)</f>
        <v>6383.0506948361062</v>
      </c>
      <c r="AR33" s="15">
        <f t="shared" si="33"/>
        <v>1.2976852207899285</v>
      </c>
      <c r="AT33">
        <v>8.0511091357338221E-2</v>
      </c>
      <c r="AU33">
        <v>85.382056121714371</v>
      </c>
      <c r="AV33">
        <v>10.992401978925567</v>
      </c>
      <c r="AW33">
        <v>222.47461136346294</v>
      </c>
    </row>
    <row r="34" spans="4:49" ht="17" x14ac:dyDescent="0.2">
      <c r="D34" s="1">
        <f t="shared" si="34"/>
        <v>46055</v>
      </c>
      <c r="E34" s="6">
        <f t="shared" si="2"/>
        <v>0.5</v>
      </c>
      <c r="F34" s="2">
        <f t="shared" si="3"/>
        <v>2461074.3333333335</v>
      </c>
      <c r="G34" s="3">
        <f t="shared" si="4"/>
        <v>0.26089892767511264</v>
      </c>
      <c r="I34">
        <f t="shared" si="5"/>
        <v>313.02872476383891</v>
      </c>
      <c r="J34">
        <f t="shared" si="6"/>
        <v>9749.6427175213612</v>
      </c>
      <c r="K34">
        <f t="shared" si="7"/>
        <v>1.6697657967529988E-2</v>
      </c>
      <c r="L34">
        <f t="shared" si="8"/>
        <v>0.96377566498961187</v>
      </c>
      <c r="M34">
        <f t="shared" si="9"/>
        <v>313.99250042882852</v>
      </c>
      <c r="N34">
        <f t="shared" si="10"/>
        <v>9750.6064931863511</v>
      </c>
      <c r="O34">
        <f t="shared" si="11"/>
        <v>0.98555834037184742</v>
      </c>
      <c r="P34">
        <f t="shared" si="12"/>
        <v>313.98841184441312</v>
      </c>
      <c r="Q34">
        <f t="shared" si="13"/>
        <v>23.435898335760434</v>
      </c>
      <c r="R34">
        <f t="shared" si="14"/>
        <v>23.438310392156961</v>
      </c>
      <c r="S34">
        <f t="shared" si="15"/>
        <v>-43.545415709539625</v>
      </c>
      <c r="T34" s="19">
        <f t="shared" si="16"/>
        <v>-16.629486721771244</v>
      </c>
      <c r="U34">
        <f t="shared" si="17"/>
        <v>4.3030825716109299E-2</v>
      </c>
      <c r="V34">
        <f t="shared" si="18"/>
        <v>-13.744192873925385</v>
      </c>
      <c r="W34">
        <f t="shared" si="19"/>
        <v>77.827298673051288</v>
      </c>
      <c r="X34" s="6">
        <f t="shared" si="20"/>
        <v>0.51496643949578147</v>
      </c>
      <c r="Y34" s="6">
        <f t="shared" si="21"/>
        <v>0.29877949873730569</v>
      </c>
      <c r="Z34" s="6">
        <f t="shared" si="22"/>
        <v>0.73115338025425736</v>
      </c>
      <c r="AA34" s="19">
        <f t="shared" si="23"/>
        <v>622.61838938441031</v>
      </c>
      <c r="AB34">
        <f t="shared" si="24"/>
        <v>698.44832712607467</v>
      </c>
      <c r="AC34">
        <f t="shared" si="25"/>
        <v>-5.3879182184813317</v>
      </c>
      <c r="AD34">
        <f t="shared" si="0"/>
        <v>54.465990522997842</v>
      </c>
      <c r="AE34">
        <f t="shared" si="26"/>
        <v>35.534009477002158</v>
      </c>
      <c r="AF34">
        <f t="shared" si="27"/>
        <v>2.2544254563809984E-2</v>
      </c>
      <c r="AG34">
        <f t="shared" si="28"/>
        <v>35.55655373156597</v>
      </c>
      <c r="AH34">
        <f t="shared" si="1"/>
        <v>173.65235702666735</v>
      </c>
      <c r="AK34">
        <f t="shared" si="29"/>
        <v>-0.28618152104463829</v>
      </c>
      <c r="AL34">
        <f t="shared" si="35"/>
        <v>0.95817542079338336</v>
      </c>
      <c r="AM34">
        <f t="shared" si="30"/>
        <v>623</v>
      </c>
      <c r="AN34">
        <f t="shared" si="31"/>
        <v>-311.5</v>
      </c>
      <c r="AO34">
        <f t="shared" si="32"/>
        <v>311.5</v>
      </c>
      <c r="AP34" s="16" cm="1">
        <f t="array" ref="AP34">SUMPRODUCT(1362*POWER(0.7,POWER(1/($AI$2*AK34+$AJ$2*AL34*COS(RADIANS(0.25*(_xlfn.SEQUENCE(AO34-AN34,1,AN34+1))))+0.50572*POWER(96.07995-DEGREES(ACOS($AI$2*AK34+$AJ$2*AL34*COS(RADIANS(0.25*(_xlfn.SEQUENCE(AO34-AN34,1,AN34+1)))))),-1.6364)),0.678))*IF(AL34*COS(RADIANS(0.25*(_xlfn.SEQUENCE(AO34-AN34,1,AN34+1))))&gt;0,AL34*COS(RADIANS(0.25*(_xlfn.SEQUENCE(AO34-AN34,1,AN34+1)))),0)/60)</f>
        <v>4949.3245877637501</v>
      </c>
      <c r="AQ34" s="17" cm="1">
        <f t="array" ref="AQ34">SUMPRODUCT(1362*POWER(0.7,POWER(1/($AI$2*AK34+$AJ$2*AL34*COS(RADIANS(0.25*(_xlfn.SEQUENCE(AO34-AN34,1,AN34+1))))+0.50572*POWER(96.07995-DEGREES(ACOS($AI$2*AK34+$AJ$2*AL34*COS(RADIANS(0.25*(_xlfn.SEQUENCE(AO34-AN34,1,AN34+1)))))),-1.6364)),0.678))/60)</f>
        <v>6423.4580010478121</v>
      </c>
      <c r="AR34" s="15">
        <f t="shared" si="33"/>
        <v>1.2978453700386863</v>
      </c>
      <c r="AT34">
        <v>8.3372341356300644E-2</v>
      </c>
      <c r="AU34">
        <v>85.217565352992622</v>
      </c>
      <c r="AV34">
        <v>10.686591371555547</v>
      </c>
      <c r="AW34">
        <v>230.24503560485942</v>
      </c>
    </row>
    <row r="35" spans="4:49" ht="17" x14ac:dyDescent="0.2">
      <c r="D35" s="1">
        <f t="shared" si="34"/>
        <v>46056</v>
      </c>
      <c r="E35" s="6">
        <f t="shared" si="2"/>
        <v>0.5</v>
      </c>
      <c r="F35" s="2">
        <f t="shared" si="3"/>
        <v>2461075.3333333335</v>
      </c>
      <c r="G35" s="3">
        <f t="shared" si="4"/>
        <v>0.26092630618298396</v>
      </c>
      <c r="I35">
        <f t="shared" si="5"/>
        <v>314.0143721283348</v>
      </c>
      <c r="J35">
        <f t="shared" si="6"/>
        <v>9750.6283178008907</v>
      </c>
      <c r="K35">
        <f t="shared" si="7"/>
        <v>1.6697656814809517E-2</v>
      </c>
      <c r="L35">
        <f t="shared" si="8"/>
        <v>0.99258051226379151</v>
      </c>
      <c r="M35">
        <f t="shared" si="9"/>
        <v>315.00695264059857</v>
      </c>
      <c r="N35">
        <f t="shared" si="10"/>
        <v>9751.6208983131546</v>
      </c>
      <c r="O35">
        <f t="shared" si="11"/>
        <v>0.98570678440027226</v>
      </c>
      <c r="P35">
        <f t="shared" si="12"/>
        <v>315.00286821795356</v>
      </c>
      <c r="Q35">
        <f t="shared" si="13"/>
        <v>23.435897979726231</v>
      </c>
      <c r="R35">
        <f t="shared" si="14"/>
        <v>23.438309242426634</v>
      </c>
      <c r="S35">
        <f t="shared" si="15"/>
        <v>-42.533177993844753</v>
      </c>
      <c r="T35" s="19">
        <f t="shared" si="16"/>
        <v>-16.334567627058721</v>
      </c>
      <c r="U35">
        <f t="shared" si="17"/>
        <v>4.303082137440415E-2</v>
      </c>
      <c r="V35">
        <f t="shared" si="18"/>
        <v>-13.851541799093393</v>
      </c>
      <c r="W35">
        <f t="shared" si="19"/>
        <v>78.078155029855367</v>
      </c>
      <c r="X35" s="6">
        <f t="shared" si="20"/>
        <v>0.51504098736048154</v>
      </c>
      <c r="Y35" s="6">
        <f t="shared" si="21"/>
        <v>0.29815722338866113</v>
      </c>
      <c r="Z35" s="6">
        <f t="shared" si="22"/>
        <v>0.73192475133230206</v>
      </c>
      <c r="AA35" s="19">
        <f t="shared" si="23"/>
        <v>624.62524023884293</v>
      </c>
      <c r="AB35">
        <f t="shared" si="24"/>
        <v>698.34097820090665</v>
      </c>
      <c r="AC35">
        <f t="shared" si="25"/>
        <v>-5.4147554497733381</v>
      </c>
      <c r="AD35">
        <f t="shared" si="0"/>
        <v>54.1746799112519</v>
      </c>
      <c r="AE35">
        <f t="shared" si="26"/>
        <v>35.8253200887481</v>
      </c>
      <c r="AF35">
        <f t="shared" si="27"/>
        <v>2.2304726469843744E-2</v>
      </c>
      <c r="AG35">
        <f t="shared" si="28"/>
        <v>35.847624815217941</v>
      </c>
      <c r="AH35">
        <f t="shared" si="1"/>
        <v>173.58747426186233</v>
      </c>
      <c r="AK35">
        <f t="shared" si="29"/>
        <v>-0.28124572648467489</v>
      </c>
      <c r="AL35">
        <f t="shared" si="35"/>
        <v>0.95963578577192887</v>
      </c>
      <c r="AM35">
        <f t="shared" si="30"/>
        <v>625</v>
      </c>
      <c r="AN35">
        <f t="shared" si="31"/>
        <v>-312.5</v>
      </c>
      <c r="AO35">
        <f t="shared" si="32"/>
        <v>312.5</v>
      </c>
      <c r="AP35" s="16" cm="1">
        <f t="array" ref="AP35">SUMPRODUCT(1362*POWER(0.7,POWER(1/($AI$2*AK35+$AJ$2*AL35*COS(RADIANS(0.25*(_xlfn.SEQUENCE(AO35-AN35,1,AN35+1))))+0.50572*POWER(96.07995-DEGREES(ACOS($AI$2*AK35+$AJ$2*AL35*COS(RADIANS(0.25*(_xlfn.SEQUENCE(AO35-AN35,1,AN35+1)))))),-1.6364)),0.678))*IF(AL35*COS(RADIANS(0.25*(_xlfn.SEQUENCE(AO35-AN35,1,AN35+1))))&gt;0,AL35*COS(RADIANS(0.25*(_xlfn.SEQUENCE(AO35-AN35,1,AN35+1)))),0)/60)</f>
        <v>4980.057389369902</v>
      </c>
      <c r="AQ35" s="17" cm="1">
        <f t="array" ref="AQ35">SUMPRODUCT(1362*POWER(0.7,POWER(1/($AI$2*AK35+$AJ$2*AL35*COS(RADIANS(0.25*(_xlfn.SEQUENCE(AO35-AN35,1,AN35+1))))+0.50572*POWER(96.07995-DEGREES(ACOS($AI$2*AK35+$AJ$2*AL35*COS(RADIANS(0.25*(_xlfn.SEQUENCE(AO35-AN35,1,AN35+1)))))),-1.6364)),0.678))/60)</f>
        <v>6464.3374170129773</v>
      </c>
      <c r="AR35" s="15">
        <f t="shared" si="33"/>
        <v>1.2980447636630292</v>
      </c>
      <c r="AT35">
        <v>8.6227475011609239E-2</v>
      </c>
      <c r="AU35">
        <v>85.053386816422929</v>
      </c>
      <c r="AV35">
        <v>10.396855437310352</v>
      </c>
      <c r="AW35">
        <v>237.92694855665533</v>
      </c>
    </row>
    <row r="36" spans="4:49" ht="17" x14ac:dyDescent="0.2">
      <c r="D36" s="1">
        <f t="shared" si="34"/>
        <v>46057</v>
      </c>
      <c r="E36" s="6">
        <f t="shared" si="2"/>
        <v>0.5</v>
      </c>
      <c r="F36" s="2">
        <f t="shared" si="3"/>
        <v>2461076.3333333335</v>
      </c>
      <c r="G36" s="3">
        <f t="shared" si="4"/>
        <v>0.26095368469085528</v>
      </c>
      <c r="I36">
        <f t="shared" si="5"/>
        <v>315.00001949283251</v>
      </c>
      <c r="J36">
        <f t="shared" si="6"/>
        <v>9751.6139180804203</v>
      </c>
      <c r="K36">
        <f t="shared" si="7"/>
        <v>1.6697655662088851E-2</v>
      </c>
      <c r="L36">
        <f t="shared" si="8"/>
        <v>1.0210754279636065</v>
      </c>
      <c r="M36">
        <f t="shared" si="9"/>
        <v>316.02109492079609</v>
      </c>
      <c r="N36">
        <f t="shared" si="10"/>
        <v>9752.6349935083836</v>
      </c>
      <c r="O36">
        <f t="shared" si="11"/>
        <v>0.98585955862547825</v>
      </c>
      <c r="P36">
        <f t="shared" si="12"/>
        <v>316.01701465854995</v>
      </c>
      <c r="Q36">
        <f t="shared" si="13"/>
        <v>23.435897623692025</v>
      </c>
      <c r="R36">
        <f t="shared" si="14"/>
        <v>23.438308090636657</v>
      </c>
      <c r="S36">
        <f t="shared" si="15"/>
        <v>-41.52432224802309</v>
      </c>
      <c r="T36" s="19">
        <f t="shared" si="16"/>
        <v>-16.034929051064459</v>
      </c>
      <c r="U36">
        <f t="shared" si="17"/>
        <v>4.3030817024921439E-2</v>
      </c>
      <c r="V36">
        <f t="shared" si="18"/>
        <v>-13.945231611031069</v>
      </c>
      <c r="W36">
        <f t="shared" si="19"/>
        <v>78.332046023668084</v>
      </c>
      <c r="X36" s="6">
        <f t="shared" si="20"/>
        <v>0.51510604972988261</v>
      </c>
      <c r="Y36" s="6">
        <f t="shared" si="21"/>
        <v>0.29751703299747123</v>
      </c>
      <c r="Z36" s="6">
        <f t="shared" si="22"/>
        <v>0.73269506646229399</v>
      </c>
      <c r="AA36" s="19">
        <f t="shared" si="23"/>
        <v>626.65636818934468</v>
      </c>
      <c r="AB36">
        <f t="shared" si="24"/>
        <v>698.24728838896885</v>
      </c>
      <c r="AC36">
        <f t="shared" si="25"/>
        <v>-5.4381779027577863</v>
      </c>
      <c r="AD36">
        <f t="shared" si="0"/>
        <v>53.878410829436348</v>
      </c>
      <c r="AE36">
        <f t="shared" si="26"/>
        <v>36.121589170563652</v>
      </c>
      <c r="AF36">
        <f t="shared" si="27"/>
        <v>2.2064521336945222E-2</v>
      </c>
      <c r="AG36">
        <f t="shared" si="28"/>
        <v>36.143653691900596</v>
      </c>
      <c r="AH36">
        <f t="shared" si="1"/>
        <v>173.52552003354413</v>
      </c>
      <c r="AK36">
        <f t="shared" si="29"/>
        <v>-0.27622331559276486</v>
      </c>
      <c r="AL36">
        <f t="shared" si="35"/>
        <v>0.96109348136533512</v>
      </c>
      <c r="AM36">
        <f t="shared" si="30"/>
        <v>627</v>
      </c>
      <c r="AN36">
        <f t="shared" si="31"/>
        <v>-313.5</v>
      </c>
      <c r="AO36">
        <f t="shared" si="32"/>
        <v>313.5</v>
      </c>
      <c r="AP36" s="16" cm="1">
        <f t="array" ref="AP36">SUMPRODUCT(1362*POWER(0.7,POWER(1/($AI$2*AK36+$AJ$2*AL36*COS(RADIANS(0.25*(_xlfn.SEQUENCE(AO36-AN36,1,AN36+1))))+0.50572*POWER(96.07995-DEGREES(ACOS($AI$2*AK36+$AJ$2*AL36*COS(RADIANS(0.25*(_xlfn.SEQUENCE(AO36-AN36,1,AN36+1)))))),-1.6364)),0.678))*IF(AL36*COS(RADIANS(0.25*(_xlfn.SEQUENCE(AO36-AN36,1,AN36+1))))&gt;0,AL36*COS(RADIANS(0.25*(_xlfn.SEQUENCE(AO36-AN36,1,AN36+1)))),0)/60)</f>
        <v>5010.9684866206726</v>
      </c>
      <c r="AQ36" s="17" cm="1">
        <f t="array" ref="AQ36">SUMPRODUCT(1362*POWER(0.7,POWER(1/($AI$2*AK36+$AJ$2*AL36*COS(RADIANS(0.25*(_xlfn.SEQUENCE(AO36-AN36,1,AN36+1))))+0.50572*POWER(96.07995-DEGREES(ACOS($AI$2*AK36+$AJ$2*AL36*COS(RADIANS(0.25*(_xlfn.SEQUENCE(AO36-AN36,1,AN36+1)))))),-1.6364)),0.678))/60)</f>
        <v>6505.6659161196112</v>
      </c>
      <c r="AR36" s="15">
        <f t="shared" si="33"/>
        <v>1.298285138589435</v>
      </c>
      <c r="AT36">
        <v>8.9076437965634886E-2</v>
      </c>
      <c r="AU36">
        <v>84.889522518859806</v>
      </c>
      <c r="AV36">
        <v>10.122026098713853</v>
      </c>
      <c r="AW36">
        <v>245.51744054448929</v>
      </c>
    </row>
    <row r="37" spans="4:49" ht="17" x14ac:dyDescent="0.2">
      <c r="D37" s="1">
        <f t="shared" si="34"/>
        <v>46058</v>
      </c>
      <c r="E37" s="6">
        <f t="shared" si="2"/>
        <v>0.5</v>
      </c>
      <c r="F37" s="2">
        <f t="shared" si="3"/>
        <v>2461077.3333333335</v>
      </c>
      <c r="G37" s="3">
        <f t="shared" si="4"/>
        <v>0.2609810631987266</v>
      </c>
      <c r="I37">
        <f t="shared" si="5"/>
        <v>315.9856668573284</v>
      </c>
      <c r="J37">
        <f t="shared" si="6"/>
        <v>9752.599518359948</v>
      </c>
      <c r="K37">
        <f t="shared" si="7"/>
        <v>1.6697654509368002E-2</v>
      </c>
      <c r="L37">
        <f t="shared" si="8"/>
        <v>1.0492516985907814</v>
      </c>
      <c r="M37">
        <f t="shared" si="9"/>
        <v>317.03491855591921</v>
      </c>
      <c r="N37">
        <f t="shared" si="10"/>
        <v>9753.6487700585385</v>
      </c>
      <c r="O37">
        <f t="shared" si="11"/>
        <v>0.98601661385523265</v>
      </c>
      <c r="P37">
        <f t="shared" si="12"/>
        <v>317.03084245269702</v>
      </c>
      <c r="Q37">
        <f t="shared" si="13"/>
        <v>23.435897267657822</v>
      </c>
      <c r="R37">
        <f t="shared" si="14"/>
        <v>23.438306936787718</v>
      </c>
      <c r="S37">
        <f t="shared" si="15"/>
        <v>-40.518833778509496</v>
      </c>
      <c r="T37" s="19">
        <f t="shared" si="16"/>
        <v>-15.7306853174043</v>
      </c>
      <c r="U37">
        <f t="shared" si="17"/>
        <v>4.3030812667663718E-2</v>
      </c>
      <c r="V37">
        <f t="shared" si="18"/>
        <v>-14.025313203024242</v>
      </c>
      <c r="W37">
        <f t="shared" si="19"/>
        <v>78.588854218531296</v>
      </c>
      <c r="X37" s="6">
        <f t="shared" si="20"/>
        <v>0.51516166194654467</v>
      </c>
      <c r="Y37" s="6">
        <f t="shared" si="21"/>
        <v>0.29685928911729104</v>
      </c>
      <c r="Z37" s="6">
        <f t="shared" si="22"/>
        <v>0.73346403477579825</v>
      </c>
      <c r="AA37" s="19">
        <f t="shared" si="23"/>
        <v>628.71083374825037</v>
      </c>
      <c r="AB37">
        <f t="shared" si="24"/>
        <v>698.16720679697573</v>
      </c>
      <c r="AC37">
        <f t="shared" si="25"/>
        <v>-5.4581983007560666</v>
      </c>
      <c r="AD37">
        <f t="shared" si="0"/>
        <v>53.577291073407281</v>
      </c>
      <c r="AE37">
        <f t="shared" si="26"/>
        <v>36.422708926592719</v>
      </c>
      <c r="AF37">
        <f t="shared" si="27"/>
        <v>2.1823810692274147E-2</v>
      </c>
      <c r="AG37">
        <f t="shared" si="28"/>
        <v>36.444532737284995</v>
      </c>
      <c r="AH37">
        <f t="shared" si="1"/>
        <v>173.466528422186</v>
      </c>
      <c r="AK37">
        <f t="shared" si="29"/>
        <v>-0.27111598616295229</v>
      </c>
      <c r="AL37">
        <f t="shared" si="35"/>
        <v>0.9625466856453716</v>
      </c>
      <c r="AM37">
        <f t="shared" si="30"/>
        <v>629</v>
      </c>
      <c r="AN37">
        <f t="shared" si="31"/>
        <v>-314.5</v>
      </c>
      <c r="AO37">
        <f t="shared" si="32"/>
        <v>314.5</v>
      </c>
      <c r="AP37" s="16" cm="1">
        <f t="array" ref="AP37">SUMPRODUCT(1362*POWER(0.7,POWER(1/($AI$2*AK37+$AJ$2*AL37*COS(RADIANS(0.25*(_xlfn.SEQUENCE(AO37-AN37,1,AN37+1))))+0.50572*POWER(96.07995-DEGREES(ACOS($AI$2*AK37+$AJ$2*AL37*COS(RADIANS(0.25*(_xlfn.SEQUENCE(AO37-AN37,1,AN37+1)))))),-1.6364)),0.678))*IF(AL37*COS(RADIANS(0.25*(_xlfn.SEQUENCE(AO37-AN37,1,AN37+1))))&gt;0,AL37*COS(RADIANS(0.25*(_xlfn.SEQUENCE(AO37-AN37,1,AN37+1)))),0)/60)</f>
        <v>5042.0306906616997</v>
      </c>
      <c r="AQ37" s="17" cm="1">
        <f t="array" ref="AQ37">SUMPRODUCT(1362*POWER(0.7,POWER(1/($AI$2*AK37+$AJ$2*AL37*COS(RADIANS(0.25*(_xlfn.SEQUENCE(AO37-AN37,1,AN37+1))))+0.50572*POWER(96.07995-DEGREES(ACOS($AI$2*AK37+$AJ$2*AL37*COS(RADIANS(0.25*(_xlfn.SEQUENCE(AO37-AN37,1,AN37+1)))))),-1.6364)),0.678))/60)</f>
        <v>6547.4207345553059</v>
      </c>
      <c r="AR37" s="15">
        <f t="shared" si="33"/>
        <v>1.298568203220525</v>
      </c>
      <c r="AT37">
        <v>9.1919175978229656E-2</v>
      </c>
      <c r="AU37">
        <v>84.72597447773245</v>
      </c>
      <c r="AV37">
        <v>9.8610409980356319</v>
      </c>
      <c r="AW37">
        <v>253.01416722872293</v>
      </c>
    </row>
    <row r="38" spans="4:49" ht="17" x14ac:dyDescent="0.2">
      <c r="D38" s="1">
        <f t="shared" si="34"/>
        <v>46059</v>
      </c>
      <c r="E38" s="6">
        <f t="shared" si="2"/>
        <v>0.5</v>
      </c>
      <c r="F38" s="2">
        <f t="shared" si="3"/>
        <v>2461078.3333333335</v>
      </c>
      <c r="G38" s="3">
        <f t="shared" si="4"/>
        <v>0.26100844170659793</v>
      </c>
      <c r="I38">
        <f t="shared" si="5"/>
        <v>316.97131422182611</v>
      </c>
      <c r="J38">
        <f t="shared" si="6"/>
        <v>9753.5851186394775</v>
      </c>
      <c r="K38">
        <f t="shared" si="7"/>
        <v>1.6697653356646958E-2</v>
      </c>
      <c r="L38">
        <f t="shared" si="8"/>
        <v>1.0771007254769189</v>
      </c>
      <c r="M38">
        <f t="shared" si="9"/>
        <v>318.048414947303</v>
      </c>
      <c r="N38">
        <f t="shared" si="10"/>
        <v>9754.6622193649546</v>
      </c>
      <c r="O38">
        <f t="shared" si="11"/>
        <v>0.98617789956584512</v>
      </c>
      <c r="P38">
        <f t="shared" si="12"/>
        <v>318.04434300172613</v>
      </c>
      <c r="Q38">
        <f t="shared" si="13"/>
        <v>23.435896911623619</v>
      </c>
      <c r="R38">
        <f t="shared" si="14"/>
        <v>23.438305780880491</v>
      </c>
      <c r="S38">
        <f t="shared" si="15"/>
        <v>-39.516694132228459</v>
      </c>
      <c r="T38" s="19">
        <f t="shared" si="16"/>
        <v>-15.421951172561283</v>
      </c>
      <c r="U38">
        <f t="shared" si="17"/>
        <v>4.3030808302633561E-2</v>
      </c>
      <c r="V38">
        <f t="shared" si="18"/>
        <v>-14.091853699797658</v>
      </c>
      <c r="W38">
        <f t="shared" si="19"/>
        <v>78.848464535306235</v>
      </c>
      <c r="X38" s="6">
        <f t="shared" si="20"/>
        <v>0.5152078706248594</v>
      </c>
      <c r="Y38" s="6">
        <f t="shared" si="21"/>
        <v>0.29618435802678655</v>
      </c>
      <c r="Z38" s="6">
        <f t="shared" si="22"/>
        <v>0.73423138322293224</v>
      </c>
      <c r="AA38" s="19">
        <f t="shared" si="23"/>
        <v>630.78771628244988</v>
      </c>
      <c r="AB38">
        <f t="shared" si="24"/>
        <v>698.10066630020242</v>
      </c>
      <c r="AC38">
        <f t="shared" si="25"/>
        <v>-5.4748334249493951</v>
      </c>
      <c r="AD38">
        <f t="shared" si="0"/>
        <v>53.271429561886123</v>
      </c>
      <c r="AE38">
        <f t="shared" si="26"/>
        <v>36.728570438113877</v>
      </c>
      <c r="AF38">
        <f t="shared" si="27"/>
        <v>2.1582759209986962E-2</v>
      </c>
      <c r="AG38">
        <f t="shared" si="28"/>
        <v>36.750153197323861</v>
      </c>
      <c r="AH38">
        <f t="shared" si="1"/>
        <v>173.41053096809651</v>
      </c>
      <c r="AK38">
        <f t="shared" si="29"/>
        <v>-0.26592546244713083</v>
      </c>
      <c r="AL38">
        <f t="shared" si="35"/>
        <v>0.96399359355873293</v>
      </c>
      <c r="AM38">
        <f t="shared" si="30"/>
        <v>631</v>
      </c>
      <c r="AN38">
        <f t="shared" si="31"/>
        <v>-315.5</v>
      </c>
      <c r="AO38">
        <f t="shared" si="32"/>
        <v>315.5</v>
      </c>
      <c r="AP38" s="16" cm="1">
        <f t="array" ref="AP38">SUMPRODUCT(1362*POWER(0.7,POWER(1/($AI$2*AK38+$AJ$2*AL38*COS(RADIANS(0.25*(_xlfn.SEQUENCE(AO38-AN38,1,AN38+1))))+0.50572*POWER(96.07995-DEGREES(ACOS($AI$2*AK38+$AJ$2*AL38*COS(RADIANS(0.25*(_xlfn.SEQUENCE(AO38-AN38,1,AN38+1)))))),-1.6364)),0.678))*IF(AL38*COS(RADIANS(0.25*(_xlfn.SEQUENCE(AO38-AN38,1,AN38+1))))&gt;0,AL38*COS(RADIANS(0.25*(_xlfn.SEQUENCE(AO38-AN38,1,AN38+1)))),0)/60)</f>
        <v>5073.2169778240086</v>
      </c>
      <c r="AQ38" s="17" cm="1">
        <f t="array" ref="AQ38">SUMPRODUCT(1362*POWER(0.7,POWER(1/($AI$2*AK38+$AJ$2*AL38*COS(RADIANS(0.25*(_xlfn.SEQUENCE(AO38-AN38,1,AN38+1))))+0.50572*POWER(96.07995-DEGREES(ACOS($AI$2*AK38+$AJ$2*AL38*COS(RADIANS(0.25*(_xlfn.SEQUENCE(AO38-AN38,1,AN38+1)))))),-1.6364)),0.678))/60)</f>
        <v>6589.5793941599341</v>
      </c>
      <c r="AR38" s="15">
        <f t="shared" si="33"/>
        <v>1.2988956362332289</v>
      </c>
      <c r="AT38">
        <v>9.4755634927759597E-2</v>
      </c>
      <c r="AU38">
        <v>84.562744721083888</v>
      </c>
      <c r="AV38">
        <v>9.6129322817090674</v>
      </c>
      <c r="AW38">
        <v>260.41528481474381</v>
      </c>
    </row>
    <row r="39" spans="4:49" ht="17" x14ac:dyDescent="0.2">
      <c r="D39" s="1">
        <f t="shared" si="34"/>
        <v>46060</v>
      </c>
      <c r="E39" s="6">
        <f t="shared" si="2"/>
        <v>0.5</v>
      </c>
      <c r="F39" s="2">
        <f t="shared" si="3"/>
        <v>2461079.3333333335</v>
      </c>
      <c r="G39" s="3">
        <f t="shared" si="4"/>
        <v>0.26103582021446925</v>
      </c>
      <c r="I39">
        <f t="shared" si="5"/>
        <v>317.95696158632563</v>
      </c>
      <c r="J39">
        <f t="shared" si="6"/>
        <v>9754.5707189190034</v>
      </c>
      <c r="K39">
        <f t="shared" si="7"/>
        <v>1.6697652203925727E-2</v>
      </c>
      <c r="L39">
        <f t="shared" si="8"/>
        <v>1.1046140276310621</v>
      </c>
      <c r="M39">
        <f t="shared" si="9"/>
        <v>319.06157561395668</v>
      </c>
      <c r="N39">
        <f t="shared" si="10"/>
        <v>9755.6753329466337</v>
      </c>
      <c r="O39">
        <f t="shared" si="11"/>
        <v>0.98634336392224442</v>
      </c>
      <c r="P39">
        <f t="shared" si="12"/>
        <v>319.05750782464304</v>
      </c>
      <c r="Q39">
        <f t="shared" si="13"/>
        <v>23.435896555589416</v>
      </c>
      <c r="R39">
        <f t="shared" si="14"/>
        <v>23.438304622915659</v>
      </c>
      <c r="S39">
        <f t="shared" si="15"/>
        <v>-38.517881203858465</v>
      </c>
      <c r="T39" s="19">
        <f t="shared" si="16"/>
        <v>-15.108841712202821</v>
      </c>
      <c r="U39">
        <f t="shared" si="17"/>
        <v>4.3030803929833578E-2</v>
      </c>
      <c r="V39">
        <f t="shared" si="18"/>
        <v>-14.144936067891301</v>
      </c>
      <c r="W39">
        <f t="shared" si="19"/>
        <v>79.11076431761461</v>
      </c>
      <c r="X39" s="6">
        <f t="shared" si="20"/>
        <v>0.51524473338047994</v>
      </c>
      <c r="Y39" s="6">
        <f t="shared" si="21"/>
        <v>0.29549261027599494</v>
      </c>
      <c r="Z39" s="6">
        <f t="shared" si="22"/>
        <v>0.73499685648496493</v>
      </c>
      <c r="AA39" s="19">
        <f t="shared" si="23"/>
        <v>632.88611454091688</v>
      </c>
      <c r="AB39">
        <f t="shared" si="24"/>
        <v>698.04758393210864</v>
      </c>
      <c r="AC39">
        <f t="shared" si="25"/>
        <v>-5.4881040169728408</v>
      </c>
      <c r="AD39">
        <f t="shared" si="0"/>
        <v>52.960936273083895</v>
      </c>
      <c r="AE39">
        <f t="shared" si="26"/>
        <v>37.039063726916105</v>
      </c>
      <c r="AF39">
        <f t="shared" si="27"/>
        <v>2.1341524714738623E-2</v>
      </c>
      <c r="AG39">
        <f t="shared" si="28"/>
        <v>37.06040525163084</v>
      </c>
      <c r="AH39">
        <f t="shared" si="1"/>
        <v>173.3575566508307</v>
      </c>
      <c r="AK39">
        <f t="shared" si="29"/>
        <v>-0.26065349437006113</v>
      </c>
      <c r="AL39">
        <f t="shared" si="35"/>
        <v>0.96543241911211808</v>
      </c>
      <c r="AM39">
        <f t="shared" si="30"/>
        <v>633</v>
      </c>
      <c r="AN39">
        <f t="shared" si="31"/>
        <v>-316.5</v>
      </c>
      <c r="AO39">
        <f t="shared" si="32"/>
        <v>316.5</v>
      </c>
      <c r="AP39" s="16" cm="1">
        <f t="array" ref="AP39">SUMPRODUCT(1362*POWER(0.7,POWER(1/($AI$2*AK39+$AJ$2*AL39*COS(RADIANS(0.25*(_xlfn.SEQUENCE(AO39-AN39,1,AN39+1))))+0.50572*POWER(96.07995-DEGREES(ACOS($AI$2*AK39+$AJ$2*AL39*COS(RADIANS(0.25*(_xlfn.SEQUENCE(AO39-AN39,1,AN39+1)))))),-1.6364)),0.678))*IF(AL39*COS(RADIANS(0.25*(_xlfn.SEQUENCE(AO39-AN39,1,AN39+1))))&gt;0,AL39*COS(RADIANS(0.25*(_xlfn.SEQUENCE(AO39-AN39,1,AN39+1)))),0)/60)</f>
        <v>5104.5005206707674</v>
      </c>
      <c r="AQ39" s="17" cm="1">
        <f t="array" ref="AQ39">SUMPRODUCT(1362*POWER(0.7,POWER(1/($AI$2*AK39+$AJ$2*AL39*COS(RADIANS(0.25*(_xlfn.SEQUENCE(AO39-AN39,1,AN39+1))))+0.50572*POWER(96.07995-DEGREES(ACOS($AI$2*AK39+$AJ$2*AL39*COS(RADIANS(0.25*(_xlfn.SEQUENCE(AO39-AN39,1,AN39+1)))))),-1.6364)),0.678))/60)</f>
        <v>6632.1197230690113</v>
      </c>
      <c r="AR39" s="15">
        <f t="shared" si="33"/>
        <v>1.2992690854300284</v>
      </c>
      <c r="AT39">
        <v>9.7585760812134686E-2</v>
      </c>
      <c r="AU39">
        <v>84.39983528760952</v>
      </c>
      <c r="AV39">
        <v>9.3768167242696059</v>
      </c>
      <c r="AW39">
        <v>267.71939182954429</v>
      </c>
    </row>
    <row r="40" spans="4:49" ht="17" x14ac:dyDescent="0.2">
      <c r="D40" s="1">
        <f t="shared" si="34"/>
        <v>46061</v>
      </c>
      <c r="E40" s="6">
        <f t="shared" si="2"/>
        <v>0.5</v>
      </c>
      <c r="F40" s="2">
        <f t="shared" si="3"/>
        <v>2461080.3333333335</v>
      </c>
      <c r="G40" s="3">
        <f t="shared" si="4"/>
        <v>0.26106319872234057</v>
      </c>
      <c r="I40">
        <f t="shared" si="5"/>
        <v>318.94260895082334</v>
      </c>
      <c r="J40">
        <f t="shared" si="6"/>
        <v>9755.5563191985329</v>
      </c>
      <c r="K40">
        <f t="shared" si="7"/>
        <v>1.6697651051204302E-2</v>
      </c>
      <c r="L40">
        <f t="shared" si="8"/>
        <v>1.131783244526011</v>
      </c>
      <c r="M40">
        <f t="shared" si="9"/>
        <v>320.07439219534933</v>
      </c>
      <c r="N40">
        <f t="shared" si="10"/>
        <v>9756.6881024430586</v>
      </c>
      <c r="O40">
        <f t="shared" si="11"/>
        <v>0.98651295379851867</v>
      </c>
      <c r="P40">
        <f t="shared" si="12"/>
        <v>320.07032856091331</v>
      </c>
      <c r="Q40">
        <f t="shared" si="13"/>
        <v>23.435896199555209</v>
      </c>
      <c r="R40">
        <f t="shared" si="14"/>
        <v>23.438303462893909</v>
      </c>
      <c r="S40">
        <f t="shared" si="15"/>
        <v>-37.522369345174432</v>
      </c>
      <c r="T40" s="19">
        <f t="shared" si="16"/>
        <v>-14.791472310839335</v>
      </c>
      <c r="U40">
        <f t="shared" si="17"/>
        <v>4.3030799549266328E-2</v>
      </c>
      <c r="V40">
        <f t="shared" si="18"/>
        <v>-14.184658705904301</v>
      </c>
      <c r="W40">
        <f t="shared" si="19"/>
        <v>79.375643386447308</v>
      </c>
      <c r="X40" s="6">
        <f t="shared" si="20"/>
        <v>0.51527231854576683</v>
      </c>
      <c r="Y40" s="6">
        <f t="shared" si="21"/>
        <v>0.29478442025007989</v>
      </c>
      <c r="Z40" s="6">
        <f t="shared" si="22"/>
        <v>0.73576021684145387</v>
      </c>
      <c r="AA40" s="19">
        <f t="shared" si="23"/>
        <v>635.00514709157846</v>
      </c>
      <c r="AB40">
        <f t="shared" si="24"/>
        <v>698.00786129409562</v>
      </c>
      <c r="AC40">
        <f t="shared" si="25"/>
        <v>-5.4980346764760952</v>
      </c>
      <c r="AD40">
        <f t="shared" si="0"/>
        <v>52.645922181877346</v>
      </c>
      <c r="AE40">
        <f t="shared" si="26"/>
        <v>37.354077818122654</v>
      </c>
      <c r="AF40">
        <f t="shared" si="27"/>
        <v>2.1100258209500674E-2</v>
      </c>
      <c r="AG40">
        <f t="shared" si="28"/>
        <v>37.375178076332155</v>
      </c>
      <c r="AH40">
        <f t="shared" si="1"/>
        <v>173.30763187211414</v>
      </c>
      <c r="AK40">
        <f t="shared" si="29"/>
        <v>-0.25530185673607692</v>
      </c>
      <c r="AL40">
        <f t="shared" si="35"/>
        <v>0.96686139748524025</v>
      </c>
      <c r="AM40">
        <f t="shared" si="30"/>
        <v>635</v>
      </c>
      <c r="AN40">
        <f t="shared" si="31"/>
        <v>-317.5</v>
      </c>
      <c r="AO40">
        <f t="shared" si="32"/>
        <v>317.5</v>
      </c>
      <c r="AP40" s="16" cm="1">
        <f t="array" ref="AP40">SUMPRODUCT(1362*POWER(0.7,POWER(1/($AI$2*AK40+$AJ$2*AL40*COS(RADIANS(0.25*(_xlfn.SEQUENCE(AO40-AN40,1,AN40+1))))+0.50572*POWER(96.07995-DEGREES(ACOS($AI$2*AK40+$AJ$2*AL40*COS(RADIANS(0.25*(_xlfn.SEQUENCE(AO40-AN40,1,AN40+1)))))),-1.6364)),0.678))*IF(AL40*COS(RADIANS(0.25*(_xlfn.SEQUENCE(AO40-AN40,1,AN40+1))))&gt;0,AL40*COS(RADIANS(0.25*(_xlfn.SEQUENCE(AO40-AN40,1,AN40+1)))),0)/60)</f>
        <v>5135.8547179462885</v>
      </c>
      <c r="AQ40" s="17" cm="1">
        <f t="array" ref="AQ40">SUMPRODUCT(1362*POWER(0.7,POWER(1/($AI$2*AK40+$AJ$2*AL40*COS(RADIANS(0.25*(_xlfn.SEQUENCE(AO40-AN40,1,AN40+1))))+0.50572*POWER(96.07995-DEGREES(ACOS($AI$2*AK40+$AJ$2*AL40*COS(RADIANS(0.25*(_xlfn.SEQUENCE(AO40-AN40,1,AN40+1)))))),-1.6364)),0.678))/60)</f>
        <v>6675.0198742546554</v>
      </c>
      <c r="AR40" s="15">
        <f t="shared" si="33"/>
        <v>1.2996901666493876</v>
      </c>
      <c r="AT40">
        <v>0.1004094997498379</v>
      </c>
      <c r="AU40">
        <v>84.23724822669476</v>
      </c>
      <c r="AV40">
        <v>9.1518870173188933</v>
      </c>
      <c r="AW40">
        <v>274.92547689818059</v>
      </c>
    </row>
    <row r="41" spans="4:49" ht="17" x14ac:dyDescent="0.2">
      <c r="D41" s="1">
        <f t="shared" si="34"/>
        <v>46062</v>
      </c>
      <c r="E41" s="6">
        <f t="shared" si="2"/>
        <v>0.5</v>
      </c>
      <c r="F41" s="2">
        <f t="shared" si="3"/>
        <v>2461081.3333333335</v>
      </c>
      <c r="G41" s="3">
        <f t="shared" si="4"/>
        <v>0.2610905772302119</v>
      </c>
      <c r="I41">
        <f t="shared" si="5"/>
        <v>319.92825631532287</v>
      </c>
      <c r="J41">
        <f t="shared" si="6"/>
        <v>9756.5419194780607</v>
      </c>
      <c r="K41">
        <f t="shared" si="7"/>
        <v>1.6697649898482693E-2</v>
      </c>
      <c r="L41">
        <f t="shared" si="8"/>
        <v>1.1586001388199425</v>
      </c>
      <c r="M41">
        <f t="shared" si="9"/>
        <v>321.08685645414283</v>
      </c>
      <c r="N41">
        <f t="shared" si="10"/>
        <v>9757.7005196168811</v>
      </c>
      <c r="O41">
        <f t="shared" si="11"/>
        <v>0.98668661479888331</v>
      </c>
      <c r="P41">
        <f t="shared" si="12"/>
        <v>321.08279697319517</v>
      </c>
      <c r="Q41">
        <f t="shared" si="13"/>
        <v>23.435895843521006</v>
      </c>
      <c r="R41">
        <f t="shared" si="14"/>
        <v>23.438302300815931</v>
      </c>
      <c r="S41">
        <f t="shared" si="15"/>
        <v>-36.530129476040109</v>
      </c>
      <c r="T41" s="19">
        <f t="shared" si="16"/>
        <v>-14.469958554833616</v>
      </c>
      <c r="U41">
        <f t="shared" si="17"/>
        <v>4.3030795160934415E-2</v>
      </c>
      <c r="V41">
        <f t="shared" si="18"/>
        <v>-14.211135016349356</v>
      </c>
      <c r="W41">
        <f t="shared" si="19"/>
        <v>79.642994083916705</v>
      </c>
      <c r="X41" s="6">
        <f t="shared" si="20"/>
        <v>0.51529070487246476</v>
      </c>
      <c r="Y41" s="6">
        <f t="shared" si="21"/>
        <v>0.29406016575047389</v>
      </c>
      <c r="Z41" s="6">
        <f t="shared" si="22"/>
        <v>0.73652124399445551</v>
      </c>
      <c r="AA41" s="19">
        <f t="shared" si="23"/>
        <v>637.14395267133364</v>
      </c>
      <c r="AB41">
        <f t="shared" si="24"/>
        <v>697.98138498365074</v>
      </c>
      <c r="AC41">
        <f t="shared" si="25"/>
        <v>-5.5046537540873146</v>
      </c>
      <c r="AD41">
        <f t="shared" si="0"/>
        <v>52.326499197573419</v>
      </c>
      <c r="AE41">
        <f t="shared" si="26"/>
        <v>37.673500802426581</v>
      </c>
      <c r="AF41">
        <f t="shared" si="27"/>
        <v>2.0859103925696707E-2</v>
      </c>
      <c r="AG41">
        <f t="shared" si="28"/>
        <v>37.694359906352275</v>
      </c>
      <c r="AH41">
        <f t="shared" si="1"/>
        <v>173.26078044223902</v>
      </c>
      <c r="AK41">
        <f t="shared" si="29"/>
        <v>-0.24987234842809314</v>
      </c>
      <c r="AL41">
        <f t="shared" si="35"/>
        <v>0.96827878707066062</v>
      </c>
      <c r="AM41">
        <f t="shared" si="30"/>
        <v>637</v>
      </c>
      <c r="AN41">
        <f t="shared" si="31"/>
        <v>-318.5</v>
      </c>
      <c r="AO41">
        <f t="shared" si="32"/>
        <v>318.5</v>
      </c>
      <c r="AP41" s="16" cm="1">
        <f t="array" ref="AP41">SUMPRODUCT(1362*POWER(0.7,POWER(1/($AI$2*AK41+$AJ$2*AL41*COS(RADIANS(0.25*(_xlfn.SEQUENCE(AO41-AN41,1,AN41+1))))+0.50572*POWER(96.07995-DEGREES(ACOS($AI$2*AK41+$AJ$2*AL41*COS(RADIANS(0.25*(_xlfn.SEQUENCE(AO41-AN41,1,AN41+1)))))),-1.6364)),0.678))*IF(AL41*COS(RADIANS(0.25*(_xlfn.SEQUENCE(AO41-AN41,1,AN41+1))))&gt;0,AL41*COS(RADIANS(0.25*(_xlfn.SEQUENCE(AO41-AN41,1,AN41+1)))),0)/60)</f>
        <v>5167.25322342852</v>
      </c>
      <c r="AQ41" s="17" cm="1">
        <f t="array" ref="AQ41">SUMPRODUCT(1362*POWER(0.7,POWER(1/($AI$2*AK41+$AJ$2*AL41*COS(RADIANS(0.25*(_xlfn.SEQUENCE(AO41-AN41,1,AN41+1))))+0.50572*POWER(96.07995-DEGREES(ACOS($AI$2*AK41+$AJ$2*AL41*COS(RADIANS(0.25*(_xlfn.SEQUENCE(AO41-AN41,1,AN41+1)))))),-1.6364)),0.678))/60)</f>
        <v>6718.2583420650108</v>
      </c>
      <c r="AR41" s="15">
        <f t="shared" si="33"/>
        <v>1.3001604627395025</v>
      </c>
      <c r="AT41">
        <v>0.10322679798095005</v>
      </c>
      <c r="AU41">
        <v>84.074985598451931</v>
      </c>
      <c r="AV41">
        <v>8.9374040730817175</v>
      </c>
      <c r="AW41">
        <v>282.03287197781634</v>
      </c>
    </row>
    <row r="42" spans="4:49" ht="17" x14ac:dyDescent="0.2">
      <c r="D42" s="1">
        <f t="shared" si="34"/>
        <v>46063</v>
      </c>
      <c r="E42" s="6">
        <f t="shared" si="2"/>
        <v>0.5</v>
      </c>
      <c r="F42" s="2">
        <f t="shared" si="3"/>
        <v>2461082.3333333335</v>
      </c>
      <c r="G42" s="3">
        <f t="shared" si="4"/>
        <v>0.26111795573808322</v>
      </c>
      <c r="I42">
        <f t="shared" si="5"/>
        <v>320.91390367982058</v>
      </c>
      <c r="J42">
        <f t="shared" si="6"/>
        <v>9757.5275197575866</v>
      </c>
      <c r="K42">
        <f t="shared" si="7"/>
        <v>1.669764874576089E-2</v>
      </c>
      <c r="L42">
        <f t="shared" si="8"/>
        <v>1.1850565990152084</v>
      </c>
      <c r="M42">
        <f t="shared" si="9"/>
        <v>322.09896027883576</v>
      </c>
      <c r="N42">
        <f t="shared" si="10"/>
        <v>9758.7125763566019</v>
      </c>
      <c r="O42">
        <f t="shared" si="11"/>
        <v>0.98686429127909192</v>
      </c>
      <c r="P42">
        <f t="shared" si="12"/>
        <v>322.09490494998374</v>
      </c>
      <c r="Q42">
        <f t="shared" si="13"/>
        <v>23.435895487486807</v>
      </c>
      <c r="R42">
        <f t="shared" si="14"/>
        <v>23.438301136682416</v>
      </c>
      <c r="S42">
        <f t="shared" si="15"/>
        <v>-35.541129196679783</v>
      </c>
      <c r="T42" s="19">
        <f t="shared" si="16"/>
        <v>-14.144416178769655</v>
      </c>
      <c r="U42">
        <f t="shared" si="17"/>
        <v>4.3030790764840468E-2</v>
      </c>
      <c r="V42">
        <f t="shared" si="18"/>
        <v>-14.224492960902642</v>
      </c>
      <c r="W42">
        <f t="shared" si="19"/>
        <v>79.912711306635316</v>
      </c>
      <c r="X42" s="6">
        <f t="shared" si="20"/>
        <v>0.51529998122284892</v>
      </c>
      <c r="Y42" s="6">
        <f t="shared" si="21"/>
        <v>0.29332022759330634</v>
      </c>
      <c r="Z42" s="6">
        <f t="shared" si="22"/>
        <v>0.7372797348523914</v>
      </c>
      <c r="AA42" s="19">
        <f t="shared" si="23"/>
        <v>639.30169045308253</v>
      </c>
      <c r="AB42">
        <f t="shared" si="24"/>
        <v>697.96802703909725</v>
      </c>
      <c r="AC42">
        <f t="shared" si="25"/>
        <v>-5.5079932402256873</v>
      </c>
      <c r="AD42">
        <f t="shared" si="0"/>
        <v>52.002780102311597</v>
      </c>
      <c r="AE42">
        <f t="shared" si="26"/>
        <v>37.997219897688403</v>
      </c>
      <c r="AF42">
        <f t="shared" si="27"/>
        <v>2.061819939369763E-2</v>
      </c>
      <c r="AG42">
        <f t="shared" si="28"/>
        <v>38.017838097082098</v>
      </c>
      <c r="AH42">
        <f t="shared" si="1"/>
        <v>173.21702356986202</v>
      </c>
      <c r="AK42">
        <f t="shared" si="29"/>
        <v>-0.24436679159972433</v>
      </c>
      <c r="AL42">
        <f t="shared" si="35"/>
        <v>0.96968287143955312</v>
      </c>
      <c r="AM42">
        <f t="shared" si="30"/>
        <v>639</v>
      </c>
      <c r="AN42">
        <f t="shared" si="31"/>
        <v>-319.5</v>
      </c>
      <c r="AO42">
        <f t="shared" si="32"/>
        <v>319.5</v>
      </c>
      <c r="AP42" s="16" cm="1">
        <f t="array" ref="AP42">SUMPRODUCT(1362*POWER(0.7,POWER(1/($AI$2*AK42+$AJ$2*AL42*COS(RADIANS(0.25*(_xlfn.SEQUENCE(AO42-AN42,1,AN42+1))))+0.50572*POWER(96.07995-DEGREES(ACOS($AI$2*AK42+$AJ$2*AL42*COS(RADIANS(0.25*(_xlfn.SEQUENCE(AO42-AN42,1,AN42+1)))))),-1.6364)),0.678))*IF(AL42*COS(RADIANS(0.25*(_xlfn.SEQUENCE(AO42-AN42,1,AN42+1))))&gt;0,AL42*COS(RADIANS(0.25*(_xlfn.SEQUENCE(AO42-AN42,1,AN42+1)))),0)/60)</f>
        <v>5198.6699736858864</v>
      </c>
      <c r="AQ42" s="17" cm="1">
        <f t="array" ref="AQ42">SUMPRODUCT(1362*POWER(0.7,POWER(1/($AI$2*AK42+$AJ$2*AL42*COS(RADIANS(0.25*(_xlfn.SEQUENCE(AO42-AN42,1,AN42+1))))+0.50572*POWER(96.07995-DEGREES(ACOS($AI$2*AK42+$AJ$2*AL42*COS(RADIANS(0.25*(_xlfn.SEQUENCE(AO42-AN42,1,AN42+1)))))),-1.6364)),0.678))/60)</f>
        <v>6761.813976858858</v>
      </c>
      <c r="AR42" s="15">
        <f t="shared" si="33"/>
        <v>1.3006815225981143</v>
      </c>
      <c r="AT42">
        <v>0.10603760186817393</v>
      </c>
      <c r="AU42">
        <v>83.913049473756288</v>
      </c>
      <c r="AV42">
        <v>8.732690212796264</v>
      </c>
      <c r="AW42">
        <v>289.0412105377705</v>
      </c>
    </row>
    <row r="43" spans="4:49" ht="17" x14ac:dyDescent="0.2">
      <c r="D43" s="1">
        <f t="shared" si="34"/>
        <v>46064</v>
      </c>
      <c r="E43" s="6">
        <f t="shared" si="2"/>
        <v>0.5</v>
      </c>
      <c r="F43" s="2">
        <f t="shared" si="3"/>
        <v>2461083.3333333335</v>
      </c>
      <c r="G43" s="3">
        <f t="shared" si="4"/>
        <v>0.26114533424595449</v>
      </c>
      <c r="I43">
        <f t="shared" si="5"/>
        <v>321.89955104431829</v>
      </c>
      <c r="J43">
        <f t="shared" si="6"/>
        <v>9758.5131200371125</v>
      </c>
      <c r="K43">
        <f t="shared" si="7"/>
        <v>1.6697647593038899E-2</v>
      </c>
      <c r="L43">
        <f t="shared" si="8"/>
        <v>1.2111446420507657</v>
      </c>
      <c r="M43">
        <f t="shared" si="9"/>
        <v>323.11069568636907</v>
      </c>
      <c r="N43">
        <f t="shared" si="10"/>
        <v>9759.7242646791638</v>
      </c>
      <c r="O43">
        <f t="shared" si="11"/>
        <v>0.98704592636825561</v>
      </c>
      <c r="P43">
        <f t="shared" si="12"/>
        <v>323.10664450821639</v>
      </c>
      <c r="Q43">
        <f t="shared" si="13"/>
        <v>23.435895131452604</v>
      </c>
      <c r="R43">
        <f t="shared" si="14"/>
        <v>23.438299970494043</v>
      </c>
      <c r="S43">
        <f t="shared" si="15"/>
        <v>-34.555332900798589</v>
      </c>
      <c r="T43" s="19">
        <f t="shared" si="16"/>
        <v>-13.814961005151883</v>
      </c>
      <c r="U43">
        <f t="shared" si="17"/>
        <v>4.3030786360987054E-2</v>
      </c>
      <c r="V43">
        <f t="shared" si="18"/>
        <v>-14.224874600816639</v>
      </c>
      <c r="W43">
        <f t="shared" si="19"/>
        <v>80.184692529237196</v>
      </c>
      <c r="X43" s="6">
        <f t="shared" si="20"/>
        <v>0.51530024625056714</v>
      </c>
      <c r="Y43" s="6">
        <f t="shared" si="21"/>
        <v>0.29256498922490826</v>
      </c>
      <c r="Z43" s="6">
        <f t="shared" si="22"/>
        <v>0.73803550327622591</v>
      </c>
      <c r="AA43" s="19">
        <f t="shared" si="23"/>
        <v>641.47754023389757</v>
      </c>
      <c r="AB43">
        <f t="shared" si="24"/>
        <v>697.96764539918331</v>
      </c>
      <c r="AC43">
        <f t="shared" si="25"/>
        <v>-5.5080886502041722</v>
      </c>
      <c r="AD43">
        <f t="shared" si="0"/>
        <v>51.674878490129309</v>
      </c>
      <c r="AE43">
        <f t="shared" si="26"/>
        <v>38.325121509870691</v>
      </c>
      <c r="AF43">
        <f t="shared" si="27"/>
        <v>2.0377675531745115E-2</v>
      </c>
      <c r="AG43">
        <f t="shared" si="28"/>
        <v>38.345499185402439</v>
      </c>
      <c r="AH43">
        <f t="shared" si="1"/>
        <v>173.17637985510942</v>
      </c>
      <c r="AK43">
        <f t="shared" si="29"/>
        <v>-0.23878703086086966</v>
      </c>
      <c r="AL43">
        <f t="shared" si="35"/>
        <v>0.97107196123286876</v>
      </c>
      <c r="AM43">
        <f t="shared" si="30"/>
        <v>641</v>
      </c>
      <c r="AN43">
        <f t="shared" si="31"/>
        <v>-320.5</v>
      </c>
      <c r="AO43">
        <f t="shared" si="32"/>
        <v>320.5</v>
      </c>
      <c r="AP43" s="16" cm="1">
        <f t="array" ref="AP43">SUMPRODUCT(1362*POWER(0.7,POWER(1/($AI$2*AK43+$AJ$2*AL43*COS(RADIANS(0.25*(_xlfn.SEQUENCE(AO43-AN43,1,AN43+1))))+0.50572*POWER(96.07995-DEGREES(ACOS($AI$2*AK43+$AJ$2*AL43*COS(RADIANS(0.25*(_xlfn.SEQUENCE(AO43-AN43,1,AN43+1)))))),-1.6364)),0.678))*IF(AL43*COS(RADIANS(0.25*(_xlfn.SEQUENCE(AO43-AN43,1,AN43+1))))&gt;0,AL43*COS(RADIANS(0.25*(_xlfn.SEQUENCE(AO43-AN43,1,AN43+1)))),0)/60)</f>
        <v>5230.0792147430548</v>
      </c>
      <c r="AQ43" s="17" cm="1">
        <f t="array" ref="AQ43">SUMPRODUCT(1362*POWER(0.7,POWER(1/($AI$2*AK43+$AJ$2*AL43*COS(RADIANS(0.25*(_xlfn.SEQUENCE(AO43-AN43,1,AN43+1))))+0.50572*POWER(96.07995-DEGREES(ACOS($AI$2*AK43+$AJ$2*AL43*COS(RADIANS(0.25*(_xlfn.SEQUENCE(AO43-AN43,1,AN43+1)))))),-1.6364)),0.678))/60)</f>
        <v>6805.6659978322468</v>
      </c>
      <c r="AR43" s="15">
        <f t="shared" si="33"/>
        <v>1.3012548602797018</v>
      </c>
      <c r="AT43">
        <v>0.10884185789785536</v>
      </c>
      <c r="AU43">
        <v>83.751441934281246</v>
      </c>
      <c r="AV43">
        <v>8.5371231279237136</v>
      </c>
      <c r="AW43">
        <v>295.95039020833883</v>
      </c>
    </row>
    <row r="44" spans="4:49" ht="17" x14ac:dyDescent="0.2">
      <c r="D44" s="1">
        <f t="shared" si="34"/>
        <v>46065</v>
      </c>
      <c r="E44" s="6">
        <f t="shared" si="2"/>
        <v>0.5</v>
      </c>
      <c r="F44" s="2">
        <f t="shared" si="3"/>
        <v>2461084.3333333335</v>
      </c>
      <c r="G44" s="3">
        <f t="shared" si="4"/>
        <v>0.26117271275382581</v>
      </c>
      <c r="I44">
        <f t="shared" si="5"/>
        <v>322.88519840881781</v>
      </c>
      <c r="J44">
        <f t="shared" si="6"/>
        <v>9759.4987203166402</v>
      </c>
      <c r="K44">
        <f t="shared" si="7"/>
        <v>1.6697646440316717E-2</v>
      </c>
      <c r="L44">
        <f t="shared" si="8"/>
        <v>1.2368564158285593</v>
      </c>
      <c r="M44">
        <f t="shared" si="9"/>
        <v>324.1220548246464</v>
      </c>
      <c r="N44">
        <f t="shared" si="10"/>
        <v>9760.735576732468</v>
      </c>
      <c r="O44">
        <f t="shared" si="11"/>
        <v>0.98723146199106215</v>
      </c>
      <c r="P44">
        <f t="shared" si="12"/>
        <v>324.11800779579323</v>
      </c>
      <c r="Q44">
        <f t="shared" si="13"/>
        <v>23.435894775418401</v>
      </c>
      <c r="R44">
        <f t="shared" si="14"/>
        <v>23.438298802251509</v>
      </c>
      <c r="S44">
        <f t="shared" si="15"/>
        <v>-33.572701889237493</v>
      </c>
      <c r="T44" s="19">
        <f t="shared" si="16"/>
        <v>-13.481708887425363</v>
      </c>
      <c r="U44">
        <f t="shared" si="17"/>
        <v>4.3030781949376776E-2</v>
      </c>
      <c r="V44">
        <f t="shared" si="18"/>
        <v>-14.21243562428756</v>
      </c>
      <c r="W44">
        <f t="shared" si="19"/>
        <v>80.458837818541113</v>
      </c>
      <c r="X44" s="6">
        <f t="shared" si="20"/>
        <v>0.51529160807242191</v>
      </c>
      <c r="Y44" s="6">
        <f t="shared" si="21"/>
        <v>0.29179483635425219</v>
      </c>
      <c r="Z44" s="6">
        <f t="shared" si="22"/>
        <v>0.73878837979059175</v>
      </c>
      <c r="AA44" s="19">
        <f t="shared" si="23"/>
        <v>643.6707025483289</v>
      </c>
      <c r="AB44">
        <f t="shared" si="24"/>
        <v>697.98008437571252</v>
      </c>
      <c r="AC44">
        <f t="shared" si="25"/>
        <v>-5.5049789060718695</v>
      </c>
      <c r="AD44">
        <f t="shared" si="0"/>
        <v>51.342908706746506</v>
      </c>
      <c r="AE44">
        <f t="shared" si="26"/>
        <v>38.657091293253494</v>
      </c>
      <c r="AF44">
        <f t="shared" si="27"/>
        <v>2.0137656751450368E-2</v>
      </c>
      <c r="AG44">
        <f t="shared" si="28"/>
        <v>38.677228950004945</v>
      </c>
      <c r="AH44">
        <f t="shared" si="1"/>
        <v>173.13886528587682</v>
      </c>
      <c r="AK44">
        <f t="shared" si="29"/>
        <v>-0.23313493245762434</v>
      </c>
      <c r="AL44">
        <f t="shared" si="35"/>
        <v>0.97244439597746613</v>
      </c>
      <c r="AM44">
        <f t="shared" si="30"/>
        <v>644</v>
      </c>
      <c r="AN44">
        <f t="shared" si="31"/>
        <v>-322</v>
      </c>
      <c r="AO44">
        <f t="shared" si="32"/>
        <v>322</v>
      </c>
      <c r="AP44" s="16" cm="1">
        <f t="array" ref="AP44">SUMPRODUCT(1362*POWER(0.7,POWER(1/($AI$2*AK44+$AJ$2*AL44*COS(RADIANS(0.25*(_xlfn.SEQUENCE(AO44-AN44,1,AN44+1))))+0.50572*POWER(96.07995-DEGREES(ACOS($AI$2*AK44+$AJ$2*AL44*COS(RADIANS(0.25*(_xlfn.SEQUENCE(AO44-AN44,1,AN44+1)))))),-1.6364)),0.678))*IF(AL44*COS(RADIANS(0.25*(_xlfn.SEQUENCE(AO44-AN44,1,AN44+1))))&gt;0,AL44*COS(RADIANS(0.25*(_xlfn.SEQUENCE(AO44-AN44,1,AN44+1)))),0)/60)</f>
        <v>5261.4756322667608</v>
      </c>
      <c r="AQ44" s="17" cm="1">
        <f t="array" ref="AQ44">SUMPRODUCT(1362*POWER(0.7,POWER(1/($AI$2*AK44+$AJ$2*AL44*COS(RADIANS(0.25*(_xlfn.SEQUENCE(AO44-AN44,1,AN44+1))))+0.50572*POWER(96.07995-DEGREES(ACOS($AI$2*AK44+$AJ$2*AL44*COS(RADIANS(0.25*(_xlfn.SEQUENCE(AO44-AN44,1,AN44+1)))))),-1.6364)),0.678))/60)</f>
        <v>6849.9183070962845</v>
      </c>
      <c r="AR44" s="15">
        <f t="shared" si="33"/>
        <v>1.3019006046684258</v>
      </c>
      <c r="AT44">
        <v>0.11163951268100145</v>
      </c>
      <c r="AU44">
        <v>83.590165072532699</v>
      </c>
      <c r="AV44">
        <v>8.3501305173864928</v>
      </c>
      <c r="AW44">
        <v>302.76053945710015</v>
      </c>
    </row>
    <row r="45" spans="4:49" ht="17" x14ac:dyDescent="0.2">
      <c r="D45" s="1">
        <f t="shared" si="34"/>
        <v>46066</v>
      </c>
      <c r="E45" s="6">
        <f t="shared" si="2"/>
        <v>0.5</v>
      </c>
      <c r="F45" s="2">
        <f t="shared" si="3"/>
        <v>2461085.3333333335</v>
      </c>
      <c r="G45" s="3">
        <f t="shared" si="4"/>
        <v>0.26120009126169713</v>
      </c>
      <c r="I45">
        <f t="shared" si="5"/>
        <v>323.87084577331916</v>
      </c>
      <c r="J45">
        <f t="shared" si="6"/>
        <v>9760.4843205961661</v>
      </c>
      <c r="K45">
        <f t="shared" si="7"/>
        <v>1.6697645287594345E-2</v>
      </c>
      <c r="L45">
        <f t="shared" si="8"/>
        <v>1.2621842016725637</v>
      </c>
      <c r="M45">
        <f t="shared" si="9"/>
        <v>325.1330299749917</v>
      </c>
      <c r="N45">
        <f t="shared" si="10"/>
        <v>9761.7465047978385</v>
      </c>
      <c r="O45">
        <f t="shared" si="11"/>
        <v>0.98742083889038823</v>
      </c>
      <c r="P45">
        <f t="shared" si="12"/>
        <v>325.12898709403458</v>
      </c>
      <c r="Q45">
        <f t="shared" si="13"/>
        <v>23.435894419384201</v>
      </c>
      <c r="R45">
        <f t="shared" si="14"/>
        <v>23.438297631955514</v>
      </c>
      <c r="S45">
        <f t="shared" si="15"/>
        <v>-32.59319448380792</v>
      </c>
      <c r="T45" s="19">
        <f t="shared" si="16"/>
        <v>-13.144775656276803</v>
      </c>
      <c r="U45">
        <f t="shared" si="17"/>
        <v>4.3030777530012325E-2</v>
      </c>
      <c r="V45">
        <f t="shared" si="18"/>
        <v>-14.187344862552665</v>
      </c>
      <c r="W45">
        <f t="shared" si="19"/>
        <v>80.735049838874787</v>
      </c>
      <c r="X45" s="6">
        <f t="shared" si="20"/>
        <v>0.51527418393232816</v>
      </c>
      <c r="Y45" s="6">
        <f t="shared" si="21"/>
        <v>0.29101015660212037</v>
      </c>
      <c r="Z45" s="6">
        <f t="shared" si="22"/>
        <v>0.73953821126253594</v>
      </c>
      <c r="AA45" s="19">
        <f t="shared" si="23"/>
        <v>645.88039871099829</v>
      </c>
      <c r="AB45">
        <f t="shared" si="24"/>
        <v>698.0051751374474</v>
      </c>
      <c r="AC45">
        <f t="shared" si="25"/>
        <v>-5.4987062156381512</v>
      </c>
      <c r="AD45">
        <f t="shared" si="0"/>
        <v>51.006985790106576</v>
      </c>
      <c r="AE45">
        <f t="shared" si="26"/>
        <v>38.993014209893424</v>
      </c>
      <c r="AF45">
        <f t="shared" si="27"/>
        <v>1.9898261078065589E-2</v>
      </c>
      <c r="AG45">
        <f t="shared" si="28"/>
        <v>39.012912470971493</v>
      </c>
      <c r="AH45">
        <f t="shared" si="1"/>
        <v>173.10449323718285</v>
      </c>
      <c r="AK45">
        <f t="shared" si="29"/>
        <v>-0.22741238344701881</v>
      </c>
      <c r="AL45">
        <f t="shared" si="35"/>
        <v>0.97379854582708536</v>
      </c>
      <c r="AM45">
        <f t="shared" si="30"/>
        <v>646</v>
      </c>
      <c r="AN45">
        <f t="shared" si="31"/>
        <v>-323</v>
      </c>
      <c r="AO45">
        <f t="shared" si="32"/>
        <v>323</v>
      </c>
      <c r="AP45" s="16" cm="1">
        <f t="array" ref="AP45">SUMPRODUCT(1362*POWER(0.7,POWER(1/($AI$2*AK45+$AJ$2*AL45*COS(RADIANS(0.25*(_xlfn.SEQUENCE(AO45-AN45,1,AN45+1))))+0.50572*POWER(96.07995-DEGREES(ACOS($AI$2*AK45+$AJ$2*AL45*COS(RADIANS(0.25*(_xlfn.SEQUENCE(AO45-AN45,1,AN45+1)))))),-1.6364)),0.678))*IF(AL45*COS(RADIANS(0.25*(_xlfn.SEQUENCE(AO45-AN45,1,AN45+1))))&gt;0,AL45*COS(RADIANS(0.25*(_xlfn.SEQUENCE(AO45-AN45,1,AN45+1)))),0)/60)</f>
        <v>5292.7939828585531</v>
      </c>
      <c r="AQ45" s="17" cm="1">
        <f t="array" ref="AQ45">SUMPRODUCT(1362*POWER(0.7,POWER(1/($AI$2*AK45+$AJ$2*AL45*COS(RADIANS(0.25*(_xlfn.SEQUENCE(AO45-AN45,1,AN45+1))))+0.50572*POWER(96.07995-DEGREES(ACOS($AI$2*AK45+$AJ$2*AL45*COS(RADIANS(0.25*(_xlfn.SEQUENCE(AO45-AN45,1,AN45+1)))))),-1.6364)),0.678))/60)</f>
        <v>6894.3055712712612</v>
      </c>
      <c r="AR45" s="15">
        <f t="shared" si="33"/>
        <v>1.3025833980312524</v>
      </c>
      <c r="AT45">
        <v>0.11443051295429804</v>
      </c>
      <c r="AU45">
        <v>83.429220991882332</v>
      </c>
      <c r="AV45">
        <v>8.1711853171038378</v>
      </c>
      <c r="AW45">
        <v>309.47198788748966</v>
      </c>
    </row>
    <row r="46" spans="4:49" ht="17" x14ac:dyDescent="0.2">
      <c r="D46" s="1">
        <f t="shared" si="34"/>
        <v>46067</v>
      </c>
      <c r="E46" s="6">
        <f t="shared" si="2"/>
        <v>0.5</v>
      </c>
      <c r="F46" s="2">
        <f t="shared" si="3"/>
        <v>2461086.3333333335</v>
      </c>
      <c r="G46" s="3">
        <f t="shared" si="4"/>
        <v>0.26122746976956845</v>
      </c>
      <c r="I46">
        <f t="shared" si="5"/>
        <v>324.85649313782051</v>
      </c>
      <c r="J46">
        <f t="shared" si="6"/>
        <v>9761.4699208756938</v>
      </c>
      <c r="K46">
        <f t="shared" si="7"/>
        <v>1.6697644134871781E-2</v>
      </c>
      <c r="L46">
        <f t="shared" si="8"/>
        <v>1.2871204167202022</v>
      </c>
      <c r="M46">
        <f t="shared" si="9"/>
        <v>326.14361355454071</v>
      </c>
      <c r="N46">
        <f t="shared" si="10"/>
        <v>9762.7570412924142</v>
      </c>
      <c r="O46">
        <f t="shared" si="11"/>
        <v>0.98761399665027938</v>
      </c>
      <c r="P46">
        <f t="shared" si="12"/>
        <v>326.13957482007277</v>
      </c>
      <c r="Q46">
        <f t="shared" si="13"/>
        <v>23.435894063349998</v>
      </c>
      <c r="R46">
        <f t="shared" si="14"/>
        <v>23.438296459606747</v>
      </c>
      <c r="S46">
        <f t="shared" si="15"/>
        <v>-31.616766140998681</v>
      </c>
      <c r="T46" s="19">
        <f t="shared" si="16"/>
        <v>-12.804277069175287</v>
      </c>
      <c r="U46">
        <f t="shared" si="17"/>
        <v>4.3030773102896262E-2</v>
      </c>
      <c r="V46">
        <f t="shared" si="18"/>
        <v>-14.149783796484847</v>
      </c>
      <c r="W46">
        <f t="shared" si="19"/>
        <v>81.013233849072321</v>
      </c>
      <c r="X46" s="6">
        <f t="shared" si="20"/>
        <v>0.51524809985866993</v>
      </c>
      <c r="Y46" s="6">
        <f t="shared" si="21"/>
        <v>0.29021133916680236</v>
      </c>
      <c r="Z46" s="6">
        <f t="shared" si="22"/>
        <v>0.74028486055053755</v>
      </c>
      <c r="AA46" s="19">
        <f t="shared" si="23"/>
        <v>648.10587079257857</v>
      </c>
      <c r="AB46">
        <f t="shared" si="24"/>
        <v>698.04273620351523</v>
      </c>
      <c r="AC46">
        <f t="shared" si="25"/>
        <v>-5.4893159491211918</v>
      </c>
      <c r="AD46">
        <f t="shared" si="0"/>
        <v>50.667225411720445</v>
      </c>
      <c r="AE46">
        <f t="shared" si="26"/>
        <v>39.332774588279555</v>
      </c>
      <c r="AF46">
        <f t="shared" si="27"/>
        <v>1.9659600283805225E-2</v>
      </c>
      <c r="AG46">
        <f t="shared" si="28"/>
        <v>39.352434188563358</v>
      </c>
      <c r="AH46">
        <f t="shared" si="1"/>
        <v>173.07327447341993</v>
      </c>
      <c r="AK46">
        <f t="shared" si="29"/>
        <v>-0.22162129086721288</v>
      </c>
      <c r="AL46">
        <f t="shared" si="35"/>
        <v>0.97513281322820344</v>
      </c>
      <c r="AM46">
        <f t="shared" si="30"/>
        <v>648</v>
      </c>
      <c r="AN46">
        <f t="shared" si="31"/>
        <v>-324</v>
      </c>
      <c r="AO46">
        <f t="shared" si="32"/>
        <v>324</v>
      </c>
      <c r="AP46" s="16" cm="1">
        <f t="array" ref="AP46">SUMPRODUCT(1362*POWER(0.7,POWER(1/($AI$2*AK46+$AJ$2*AL46*COS(RADIANS(0.25*(_xlfn.SEQUENCE(AO46-AN46,1,AN46+1))))+0.50572*POWER(96.07995-DEGREES(ACOS($AI$2*AK46+$AJ$2*AL46*COS(RADIANS(0.25*(_xlfn.SEQUENCE(AO46-AN46,1,AN46+1)))))),-1.6364)),0.678))*IF(AL46*COS(RADIANS(0.25*(_xlfn.SEQUENCE(AO46-AN46,1,AN46+1))))&gt;0,AL46*COS(RADIANS(0.25*(_xlfn.SEQUENCE(AO46-AN46,1,AN46+1)))),0)/60)</f>
        <v>5324.0296971537764</v>
      </c>
      <c r="AQ46" s="17" cm="1">
        <f t="array" ref="AQ46">SUMPRODUCT(1362*POWER(0.7,POWER(1/($AI$2*AK46+$AJ$2*AL46*COS(RADIANS(0.25*(_xlfn.SEQUENCE(AO46-AN46,1,AN46+1))))+0.50572*POWER(96.07995-DEGREES(ACOS($AI$2*AK46+$AJ$2*AL46*COS(RADIANS(0.25*(_xlfn.SEQUENCE(AO46-AN46,1,AN46+1)))))),-1.6364)),0.678))/60)</f>
        <v>6938.9295600691376</v>
      </c>
      <c r="AR46" s="15">
        <f t="shared" si="33"/>
        <v>1.3033228503174363</v>
      </c>
      <c r="AT46">
        <v>0.11721480558112304</v>
      </c>
      <c r="AU46">
        <v>83.268611806600262</v>
      </c>
      <c r="AV46">
        <v>7.9998014493001923</v>
      </c>
      <c r="AW46">
        <v>316.085239789578</v>
      </c>
    </row>
    <row r="47" spans="4:49" ht="17" x14ac:dyDescent="0.2">
      <c r="D47" s="1">
        <f t="shared" si="34"/>
        <v>46068</v>
      </c>
      <c r="E47" s="6">
        <f t="shared" si="2"/>
        <v>0.5</v>
      </c>
      <c r="F47" s="2">
        <f t="shared" si="3"/>
        <v>2461087.3333333335</v>
      </c>
      <c r="G47" s="3">
        <f t="shared" si="4"/>
        <v>0.26125484827743978</v>
      </c>
      <c r="I47">
        <f t="shared" si="5"/>
        <v>325.84214050232185</v>
      </c>
      <c r="J47">
        <f t="shared" si="6"/>
        <v>9762.4555211552197</v>
      </c>
      <c r="K47">
        <f t="shared" si="7"/>
        <v>1.6697642982149031E-2</v>
      </c>
      <c r="L47">
        <f t="shared" si="8"/>
        <v>1.3116576162443172</v>
      </c>
      <c r="M47">
        <f t="shared" si="9"/>
        <v>327.15379811856616</v>
      </c>
      <c r="N47">
        <f t="shared" si="10"/>
        <v>9763.7671787714644</v>
      </c>
      <c r="O47">
        <f t="shared" si="11"/>
        <v>0.98781087371929532</v>
      </c>
      <c r="P47">
        <f t="shared" si="12"/>
        <v>327.14976352917694</v>
      </c>
      <c r="Q47">
        <f t="shared" si="13"/>
        <v>23.435893707315799</v>
      </c>
      <c r="R47">
        <f t="shared" si="14"/>
        <v>23.438295285205907</v>
      </c>
      <c r="S47">
        <f t="shared" si="15"/>
        <v>-30.643369565270355</v>
      </c>
      <c r="T47" s="19">
        <f t="shared" si="16"/>
        <v>-12.460328763103028</v>
      </c>
      <c r="U47">
        <f t="shared" si="17"/>
        <v>4.3030768668031266E-2</v>
      </c>
      <c r="V47">
        <f t="shared" si="18"/>
        <v>-14.099946055425304</v>
      </c>
      <c r="W47">
        <f t="shared" si="19"/>
        <v>81.293297691653876</v>
      </c>
      <c r="X47" s="6">
        <f t="shared" si="20"/>
        <v>0.51521349031626751</v>
      </c>
      <c r="Y47" s="6">
        <f t="shared" si="21"/>
        <v>0.28939877450611784</v>
      </c>
      <c r="Z47" s="6">
        <f t="shared" si="22"/>
        <v>0.74102820612641707</v>
      </c>
      <c r="AA47" s="19">
        <f t="shared" si="23"/>
        <v>650.34638153323101</v>
      </c>
      <c r="AB47">
        <f t="shared" si="24"/>
        <v>698.09257394457472</v>
      </c>
      <c r="AC47">
        <f t="shared" si="25"/>
        <v>-5.476856513856319</v>
      </c>
      <c r="AD47">
        <f t="shared" si="0"/>
        <v>50.323743818860876</v>
      </c>
      <c r="AE47">
        <f t="shared" si="26"/>
        <v>39.676256181139124</v>
      </c>
      <c r="AF47">
        <f t="shared" si="27"/>
        <v>1.9421780032572347E-2</v>
      </c>
      <c r="AG47">
        <f t="shared" si="28"/>
        <v>39.695677961171697</v>
      </c>
      <c r="AH47">
        <f t="shared" si="1"/>
        <v>173.04521715332373</v>
      </c>
      <c r="AK47">
        <f t="shared" si="29"/>
        <v>-0.21576358090375933</v>
      </c>
      <c r="AL47">
        <f t="shared" si="35"/>
        <v>0.97644563451099875</v>
      </c>
      <c r="AM47">
        <f t="shared" si="30"/>
        <v>650</v>
      </c>
      <c r="AN47">
        <f t="shared" si="31"/>
        <v>-325</v>
      </c>
      <c r="AO47">
        <f t="shared" si="32"/>
        <v>325</v>
      </c>
      <c r="AP47" s="16" cm="1">
        <f t="array" ref="AP47">SUMPRODUCT(1362*POWER(0.7,POWER(1/($AI$2*AK47+$AJ$2*AL47*COS(RADIANS(0.25*(_xlfn.SEQUENCE(AO47-AN47,1,AN47+1))))+0.50572*POWER(96.07995-DEGREES(ACOS($AI$2*AK47+$AJ$2*AL47*COS(RADIANS(0.25*(_xlfn.SEQUENCE(AO47-AN47,1,AN47+1)))))),-1.6364)),0.678))*IF(AL47*COS(RADIANS(0.25*(_xlfn.SEQUENCE(AO47-AN47,1,AN47+1))))&gt;0,AL47*COS(RADIANS(0.25*(_xlfn.SEQUENCE(AO47-AN47,1,AN47+1)))),0)/60)</f>
        <v>5355.1585015846449</v>
      </c>
      <c r="AQ47" s="17" cm="1">
        <f t="array" ref="AQ47">SUMPRODUCT(1362*POWER(0.7,POWER(1/($AI$2*AK47+$AJ$2*AL47*COS(RADIANS(0.25*(_xlfn.SEQUENCE(AO47-AN47,1,AN47+1))))+0.50572*POWER(96.07995-DEGREES(ACOS($AI$2*AK47+$AJ$2*AL47*COS(RADIANS(0.25*(_xlfn.SEQUENCE(AO47-AN47,1,AN47+1)))))),-1.6364)),0.678))/60)</f>
        <v>6983.7710775430915</v>
      </c>
      <c r="AR47" s="15">
        <f t="shared" si="33"/>
        <v>1.3041203309811509</v>
      </c>
      <c r="AT47">
        <v>0.11999233755255853</v>
      </c>
      <c r="AU47">
        <v>83.108339641886502</v>
      </c>
      <c r="AV47">
        <v>7.8355300286834613</v>
      </c>
      <c r="AW47">
        <v>322.60095060665742</v>
      </c>
    </row>
    <row r="48" spans="4:49" ht="17" x14ac:dyDescent="0.2">
      <c r="D48" s="1">
        <f t="shared" si="34"/>
        <v>46069</v>
      </c>
      <c r="E48" s="6">
        <f t="shared" si="2"/>
        <v>0.5</v>
      </c>
      <c r="F48" s="2">
        <f t="shared" si="3"/>
        <v>2461088.3333333335</v>
      </c>
      <c r="G48" s="3">
        <f t="shared" si="4"/>
        <v>0.2612822267853111</v>
      </c>
      <c r="I48">
        <f t="shared" si="5"/>
        <v>326.82778786682502</v>
      </c>
      <c r="J48">
        <f t="shared" si="6"/>
        <v>9763.4411214347438</v>
      </c>
      <c r="K48">
        <f t="shared" si="7"/>
        <v>1.6697641829426089E-2</v>
      </c>
      <c r="L48">
        <f t="shared" si="8"/>
        <v>1.3357884959061987</v>
      </c>
      <c r="M48">
        <f t="shared" si="9"/>
        <v>328.16357636273119</v>
      </c>
      <c r="N48">
        <f t="shared" si="10"/>
        <v>9764.7769099306497</v>
      </c>
      <c r="O48">
        <f t="shared" si="11"/>
        <v>0.98801140743419635</v>
      </c>
      <c r="P48">
        <f t="shared" si="12"/>
        <v>328.15954591700665</v>
      </c>
      <c r="Q48">
        <f t="shared" si="13"/>
        <v>23.435893351281596</v>
      </c>
      <c r="R48">
        <f t="shared" si="14"/>
        <v>23.438294108753688</v>
      </c>
      <c r="S48">
        <f t="shared" si="15"/>
        <v>-29.672954821679781</v>
      </c>
      <c r="T48" s="19">
        <f t="shared" si="16"/>
        <v>-12.113046210420567</v>
      </c>
      <c r="U48">
        <f t="shared" si="17"/>
        <v>4.3030764225419925E-2</v>
      </c>
      <c r="V48">
        <f t="shared" si="18"/>
        <v>-14.038036909977421</v>
      </c>
      <c r="W48">
        <f t="shared" si="19"/>
        <v>81.575151774687981</v>
      </c>
      <c r="X48" s="6">
        <f t="shared" si="20"/>
        <v>0.51517049785415092</v>
      </c>
      <c r="Y48" s="6">
        <f t="shared" si="21"/>
        <v>0.28857285403557315</v>
      </c>
      <c r="Z48" s="6">
        <f t="shared" si="22"/>
        <v>0.74176814167272864</v>
      </c>
      <c r="AA48" s="19">
        <f t="shared" si="23"/>
        <v>652.60121419750385</v>
      </c>
      <c r="AB48">
        <f t="shared" si="24"/>
        <v>698.1544830900225</v>
      </c>
      <c r="AC48">
        <f t="shared" si="25"/>
        <v>-5.4613792274943762</v>
      </c>
      <c r="AD48">
        <f t="shared" si="0"/>
        <v>49.976657777657607</v>
      </c>
      <c r="AE48">
        <f t="shared" si="26"/>
        <v>40.023342222342393</v>
      </c>
      <c r="AF48">
        <f t="shared" si="27"/>
        <v>1.91849000345308E-2</v>
      </c>
      <c r="AG48">
        <f t="shared" si="28"/>
        <v>40.042527122376924</v>
      </c>
      <c r="AH48">
        <f t="shared" si="1"/>
        <v>173.02032683746074</v>
      </c>
      <c r="AK48">
        <f t="shared" si="29"/>
        <v>-0.20984119805256721</v>
      </c>
      <c r="AL48">
        <f t="shared" si="35"/>
        <v>0.97773548140581623</v>
      </c>
      <c r="AM48">
        <f t="shared" si="30"/>
        <v>653</v>
      </c>
      <c r="AN48">
        <f t="shared" si="31"/>
        <v>-326.5</v>
      </c>
      <c r="AO48">
        <f t="shared" si="32"/>
        <v>326.5</v>
      </c>
      <c r="AP48" s="16" cm="1">
        <f t="array" ref="AP48">SUMPRODUCT(1362*POWER(0.7,POWER(1/($AI$2*AK48+$AJ$2*AL48*COS(RADIANS(0.25*(_xlfn.SEQUENCE(AO48-AN48,1,AN48+1))))+0.50572*POWER(96.07995-DEGREES(ACOS($AI$2*AK48+$AJ$2*AL48*COS(RADIANS(0.25*(_xlfn.SEQUENCE(AO48-AN48,1,AN48+1)))))),-1.6364)),0.678))*IF(AL48*COS(RADIANS(0.25*(_xlfn.SEQUENCE(AO48-AN48,1,AN48+1))))&gt;0,AL48*COS(RADIANS(0.25*(_xlfn.SEQUENCE(AO48-AN48,1,AN48+1)))),0)/60)</f>
        <v>5386.1742575946364</v>
      </c>
      <c r="AQ48" s="17" cm="1">
        <f t="array" ref="AQ48">SUMPRODUCT(1362*POWER(0.7,POWER(1/($AI$2*AK48+$AJ$2*AL48*COS(RADIANS(0.25*(_xlfn.SEQUENCE(AO48-AN48,1,AN48+1))))+0.50572*POWER(96.07995-DEGREES(ACOS($AI$2*AK48+$AJ$2*AL48*COS(RADIANS(0.25*(_xlfn.SEQUENCE(AO48-AN48,1,AN48+1)))))),-1.6364)),0.678))/60)</f>
        <v>7028.9346048326015</v>
      </c>
      <c r="AR48" s="15">
        <f t="shared" si="33"/>
        <v>1.3049957666931464</v>
      </c>
      <c r="AT48">
        <v>0.12276305598839918</v>
      </c>
      <c r="AU48">
        <v>82.948406633901584</v>
      </c>
      <c r="AV48">
        <v>7.6779559708584033</v>
      </c>
      <c r="AW48">
        <v>329.01990601292005</v>
      </c>
    </row>
    <row r="49" spans="4:49" ht="17" x14ac:dyDescent="0.2">
      <c r="D49" s="1">
        <f t="shared" si="34"/>
        <v>46070</v>
      </c>
      <c r="E49" s="6">
        <f t="shared" si="2"/>
        <v>0.5</v>
      </c>
      <c r="F49" s="2">
        <f t="shared" si="3"/>
        <v>2461089.3333333335</v>
      </c>
      <c r="G49" s="3">
        <f t="shared" si="4"/>
        <v>0.26130960529318242</v>
      </c>
      <c r="I49">
        <f t="shared" si="5"/>
        <v>327.81343523132637</v>
      </c>
      <c r="J49">
        <f t="shared" si="6"/>
        <v>9764.4267217142715</v>
      </c>
      <c r="K49">
        <f t="shared" si="7"/>
        <v>1.6697640676702957E-2</v>
      </c>
      <c r="L49">
        <f t="shared" si="8"/>
        <v>1.3595058939382143</v>
      </c>
      <c r="M49">
        <f t="shared" si="9"/>
        <v>329.17294112526457</v>
      </c>
      <c r="N49">
        <f t="shared" si="10"/>
        <v>9765.7862276082105</v>
      </c>
      <c r="O49">
        <f t="shared" si="11"/>
        <v>0.98821553404396689</v>
      </c>
      <c r="P49">
        <f t="shared" si="12"/>
        <v>329.16891482178715</v>
      </c>
      <c r="Q49">
        <f t="shared" si="13"/>
        <v>23.435892995247396</v>
      </c>
      <c r="R49">
        <f t="shared" si="14"/>
        <v>23.4382929302508</v>
      </c>
      <c r="S49">
        <f t="shared" si="15"/>
        <v>-28.70546944760283</v>
      </c>
      <c r="T49" s="19">
        <f t="shared" si="16"/>
        <v>-11.762544677805453</v>
      </c>
      <c r="U49">
        <f t="shared" si="17"/>
        <v>4.3030759775064938E-2</v>
      </c>
      <c r="V49">
        <f t="shared" si="18"/>
        <v>-13.964272760443091</v>
      </c>
      <c r="W49">
        <f t="shared" si="19"/>
        <v>81.858709046826874</v>
      </c>
      <c r="X49" s="6">
        <f t="shared" si="20"/>
        <v>0.51511927275030756</v>
      </c>
      <c r="Y49" s="6">
        <f t="shared" si="21"/>
        <v>0.28773396984245508</v>
      </c>
      <c r="Z49" s="6">
        <f t="shared" si="22"/>
        <v>0.74250457565815997</v>
      </c>
      <c r="AA49" s="19">
        <f t="shared" si="23"/>
        <v>654.86967237461499</v>
      </c>
      <c r="AB49">
        <f t="shared" si="24"/>
        <v>698.22824723955682</v>
      </c>
      <c r="AC49">
        <f t="shared" si="25"/>
        <v>-5.4429381901107945</v>
      </c>
      <c r="AD49">
        <f t="shared" si="0"/>
        <v>49.626084517145429</v>
      </c>
      <c r="AE49">
        <f t="shared" si="26"/>
        <v>40.373915482854571</v>
      </c>
      <c r="AF49">
        <f t="shared" si="27"/>
        <v>1.8949054209051196E-2</v>
      </c>
      <c r="AG49">
        <f t="shared" si="28"/>
        <v>40.392864537063623</v>
      </c>
      <c r="AH49">
        <f t="shared" si="1"/>
        <v>172.99860649802054</v>
      </c>
      <c r="AK49">
        <f t="shared" si="29"/>
        <v>-0.20385610428020995</v>
      </c>
      <c r="AL49">
        <f t="shared" si="35"/>
        <v>0.97900086248567531</v>
      </c>
      <c r="AM49">
        <f t="shared" si="30"/>
        <v>655</v>
      </c>
      <c r="AN49">
        <f t="shared" si="31"/>
        <v>-327.5</v>
      </c>
      <c r="AO49">
        <f t="shared" si="32"/>
        <v>327.5</v>
      </c>
      <c r="AP49" s="16" cm="1">
        <f t="array" ref="AP49">SUMPRODUCT(1362*POWER(0.7,POWER(1/($AI$2*AK49+$AJ$2*AL49*COS(RADIANS(0.25*(_xlfn.SEQUENCE(AO49-AN49,1,AN49+1))))+0.50572*POWER(96.07995-DEGREES(ACOS($AI$2*AK49+$AJ$2*AL49*COS(RADIANS(0.25*(_xlfn.SEQUENCE(AO49-AN49,1,AN49+1)))))),-1.6364)),0.678))*IF(AL49*COS(RADIANS(0.25*(_xlfn.SEQUENCE(AO49-AN49,1,AN49+1))))&gt;0,AL49*COS(RADIANS(0.25*(_xlfn.SEQUENCE(AO49-AN49,1,AN49+1)))),0)/60)</f>
        <v>5417.0182380287133</v>
      </c>
      <c r="AQ49" s="17" cm="1">
        <f t="array" ref="AQ49">SUMPRODUCT(1362*POWER(0.7,POWER(1/($AI$2*AK49+$AJ$2*AL49*COS(RADIANS(0.25*(_xlfn.SEQUENCE(AO49-AN49,1,AN49+1))))+0.50572*POWER(96.07995-DEGREES(ACOS($AI$2*AK49+$AJ$2*AL49*COS(RADIANS(0.25*(_xlfn.SEQUENCE(AO49-AN49,1,AN49+1)))))),-1.6364)),0.678))/60)</f>
        <v>7074.1594487053699</v>
      </c>
      <c r="AR49" s="15">
        <f t="shared" si="33"/>
        <v>1.3059139064814558</v>
      </c>
      <c r="AT49">
        <v>0.12552690813815995</v>
      </c>
      <c r="AU49">
        <v>82.788814929796146</v>
      </c>
      <c r="AV49">
        <v>7.5266949554514637</v>
      </c>
      <c r="AW49">
        <v>335.34300332707153</v>
      </c>
    </row>
    <row r="50" spans="4:49" ht="17" x14ac:dyDescent="0.2">
      <c r="D50" s="1">
        <f t="shared" si="34"/>
        <v>46071</v>
      </c>
      <c r="E50" s="6">
        <f t="shared" si="2"/>
        <v>0.5</v>
      </c>
      <c r="F50" s="2">
        <f t="shared" si="3"/>
        <v>2461090.3333333335</v>
      </c>
      <c r="G50" s="3">
        <f t="shared" si="4"/>
        <v>0.26133698380105375</v>
      </c>
      <c r="I50">
        <f t="shared" si="5"/>
        <v>328.79908259582953</v>
      </c>
      <c r="J50">
        <f t="shared" si="6"/>
        <v>9765.4123219937974</v>
      </c>
      <c r="K50">
        <f t="shared" si="7"/>
        <v>1.6697639523979634E-2</v>
      </c>
      <c r="L50">
        <f t="shared" si="8"/>
        <v>1.3828027932552911</v>
      </c>
      <c r="M50">
        <f t="shared" si="9"/>
        <v>330.18188538908481</v>
      </c>
      <c r="N50">
        <f t="shared" si="10"/>
        <v>9766.7951247870533</v>
      </c>
      <c r="O50">
        <f t="shared" si="11"/>
        <v>0.98842318873414603</v>
      </c>
      <c r="P50">
        <f t="shared" si="12"/>
        <v>330.17786322643337</v>
      </c>
      <c r="Q50">
        <f t="shared" si="13"/>
        <v>23.435892639213197</v>
      </c>
      <c r="R50">
        <f t="shared" si="14"/>
        <v>23.438291749697942</v>
      </c>
      <c r="S50">
        <f t="shared" si="15"/>
        <v>-27.740858563314511</v>
      </c>
      <c r="T50" s="19">
        <f t="shared" si="16"/>
        <v>-11.408939188185867</v>
      </c>
      <c r="U50">
        <f t="shared" si="17"/>
        <v>4.3030755316968934E-2</v>
      </c>
      <c r="V50">
        <f t="shared" si="18"/>
        <v>-13.878880622538219</v>
      </c>
      <c r="W50">
        <f t="shared" si="19"/>
        <v>82.143884966002773</v>
      </c>
      <c r="X50" s="6">
        <f t="shared" si="20"/>
        <v>0.5150599726545404</v>
      </c>
      <c r="Y50" s="6">
        <f t="shared" si="21"/>
        <v>0.28688251441564377</v>
      </c>
      <c r="Z50" s="6">
        <f t="shared" si="22"/>
        <v>0.74323743089343697</v>
      </c>
      <c r="AA50" s="19">
        <f t="shared" si="23"/>
        <v>657.15107972802218</v>
      </c>
      <c r="AB50">
        <f t="shared" si="24"/>
        <v>698.31363937746187</v>
      </c>
      <c r="AC50">
        <f t="shared" si="25"/>
        <v>-5.4215901556345329</v>
      </c>
      <c r="AD50">
        <f t="shared" si="0"/>
        <v>49.272141674306603</v>
      </c>
      <c r="AE50">
        <f t="shared" si="26"/>
        <v>40.727858325693397</v>
      </c>
      <c r="AF50">
        <f t="shared" si="27"/>
        <v>1.8714330854639711E-2</v>
      </c>
      <c r="AG50">
        <f t="shared" si="28"/>
        <v>40.74657265654804</v>
      </c>
      <c r="AH50">
        <f t="shared" si="1"/>
        <v>172.98005653067798</v>
      </c>
      <c r="AK50">
        <f t="shared" si="29"/>
        <v>-0.19781027818201505</v>
      </c>
      <c r="AL50">
        <f t="shared" si="35"/>
        <v>0.98024032453554666</v>
      </c>
      <c r="AM50">
        <f t="shared" si="30"/>
        <v>657</v>
      </c>
      <c r="AN50">
        <f t="shared" si="31"/>
        <v>-328.5</v>
      </c>
      <c r="AO50">
        <f t="shared" si="32"/>
        <v>328.5</v>
      </c>
      <c r="AP50" s="16" cm="1">
        <f t="array" ref="AP50">SUMPRODUCT(1362*POWER(0.7,POWER(1/($AI$2*AK50+$AJ$2*AL50*COS(RADIANS(0.25*(_xlfn.SEQUENCE(AO50-AN50,1,AN50+1))))+0.50572*POWER(96.07995-DEGREES(ACOS($AI$2*AK50+$AJ$2*AL50*COS(RADIANS(0.25*(_xlfn.SEQUENCE(AO50-AN50,1,AN50+1)))))),-1.6364)),0.678))*IF(AL50*COS(RADIANS(0.25*(_xlfn.SEQUENCE(AO50-AN50,1,AN50+1))))&gt;0,AL50*COS(RADIANS(0.25*(_xlfn.SEQUENCE(AO50-AN50,1,AN50+1)))),0)/60)</f>
        <v>5447.6851427336715</v>
      </c>
      <c r="AQ50" s="17" cm="1">
        <f t="array" ref="AQ50">SUMPRODUCT(1362*POWER(0.7,POWER(1/($AI$2*AK50+$AJ$2*AL50*COS(RADIANS(0.25*(_xlfn.SEQUENCE(AO50-AN50,1,AN50+1))))+0.50572*POWER(96.07995-DEGREES(ACOS($AI$2*AK50+$AJ$2*AL50*COS(RADIANS(0.25*(_xlfn.SEQUENCE(AO50-AN50,1,AN50+1)))))),-1.6364)),0.678))/60)</f>
        <v>7119.5470936531683</v>
      </c>
      <c r="AR50" s="15">
        <f t="shared" si="33"/>
        <v>1.3068940122483932</v>
      </c>
      <c r="AT50">
        <v>0.12828384138207996</v>
      </c>
      <c r="AU50">
        <v>82.629566687739526</v>
      </c>
      <c r="AV50">
        <v>7.3813907025470549</v>
      </c>
      <c r="AW50">
        <v>341.57123501398644</v>
      </c>
    </row>
    <row r="51" spans="4:49" ht="17" x14ac:dyDescent="0.2">
      <c r="D51" s="1">
        <f t="shared" si="34"/>
        <v>46072</v>
      </c>
      <c r="E51" s="6">
        <f t="shared" si="2"/>
        <v>0.5</v>
      </c>
      <c r="F51" s="2">
        <f t="shared" si="3"/>
        <v>2461091.3333333335</v>
      </c>
      <c r="G51" s="3">
        <f t="shared" si="4"/>
        <v>0.26136436230892507</v>
      </c>
      <c r="I51">
        <f t="shared" si="5"/>
        <v>329.78472996033452</v>
      </c>
      <c r="J51">
        <f t="shared" si="6"/>
        <v>9766.3979222733215</v>
      </c>
      <c r="K51">
        <f t="shared" si="7"/>
        <v>1.6697638371256124E-2</v>
      </c>
      <c r="L51">
        <f t="shared" si="8"/>
        <v>1.405672323495806</v>
      </c>
      <c r="M51">
        <f t="shared" si="9"/>
        <v>331.19040228383034</v>
      </c>
      <c r="N51">
        <f t="shared" si="10"/>
        <v>9767.8035945968168</v>
      </c>
      <c r="O51">
        <f t="shared" si="11"/>
        <v>0.98863430565147048</v>
      </c>
      <c r="P51">
        <f t="shared" si="12"/>
        <v>331.18638426058033</v>
      </c>
      <c r="Q51">
        <f t="shared" si="13"/>
        <v>23.435892283178998</v>
      </c>
      <c r="R51">
        <f t="shared" si="14"/>
        <v>23.438290567095816</v>
      </c>
      <c r="S51">
        <f t="shared" si="15"/>
        <v>-26.779064981274043</v>
      </c>
      <c r="T51" s="19">
        <f t="shared" si="16"/>
        <v>-11.05234448560951</v>
      </c>
      <c r="U51">
        <f t="shared" si="17"/>
        <v>4.3030750851134586E-2</v>
      </c>
      <c r="V51">
        <f t="shared" si="18"/>
        <v>-13.782097611992972</v>
      </c>
      <c r="W51">
        <f t="shared" si="19"/>
        <v>82.43059746223993</v>
      </c>
      <c r="X51" s="6">
        <f t="shared" si="20"/>
        <v>0.51499276223055057</v>
      </c>
      <c r="Y51" s="6">
        <f t="shared" si="21"/>
        <v>0.28601888039099521</v>
      </c>
      <c r="Z51" s="6">
        <f t="shared" si="22"/>
        <v>0.74396664407010593</v>
      </c>
      <c r="AA51" s="19">
        <f t="shared" si="23"/>
        <v>659.44477969791944</v>
      </c>
      <c r="AB51">
        <f t="shared" si="24"/>
        <v>698.41042238800696</v>
      </c>
      <c r="AC51">
        <f t="shared" si="25"/>
        <v>-5.397394402998259</v>
      </c>
      <c r="AD51">
        <f t="shared" si="0"/>
        <v>48.914947240173163</v>
      </c>
      <c r="AE51">
        <f t="shared" si="26"/>
        <v>41.085052759826837</v>
      </c>
      <c r="AF51">
        <f t="shared" si="27"/>
        <v>1.8480812824564728E-2</v>
      </c>
      <c r="AG51">
        <f t="shared" si="28"/>
        <v>41.103533572651401</v>
      </c>
      <c r="AH51">
        <f t="shared" si="1"/>
        <v>172.9646747682807</v>
      </c>
      <c r="AK51">
        <f t="shared" si="29"/>
        <v>-0.19170571413877363</v>
      </c>
      <c r="AL51">
        <f t="shared" si="35"/>
        <v>0.98145245384916269</v>
      </c>
      <c r="AM51">
        <f t="shared" si="30"/>
        <v>659</v>
      </c>
      <c r="AN51">
        <f t="shared" si="31"/>
        <v>-329.5</v>
      </c>
      <c r="AO51">
        <f t="shared" si="32"/>
        <v>329.5</v>
      </c>
      <c r="AP51" s="16" cm="1">
        <f t="array" ref="AP51">SUMPRODUCT(1362*POWER(0.7,POWER(1/($AI$2*AK51+$AJ$2*AL51*COS(RADIANS(0.25*(_xlfn.SEQUENCE(AO51-AN51,1,AN51+1))))+0.50572*POWER(96.07995-DEGREES(ACOS($AI$2*AK51+$AJ$2*AL51*COS(RADIANS(0.25*(_xlfn.SEQUENCE(AO51-AN51,1,AN51+1)))))),-1.6364)),0.678))*IF(AL51*COS(RADIANS(0.25*(_xlfn.SEQUENCE(AO51-AN51,1,AN51+1))))&gt;0,AL51*COS(RADIANS(0.25*(_xlfn.SEQUENCE(AO51-AN51,1,AN51+1)))),0)/60)</f>
        <v>5478.1525187389461</v>
      </c>
      <c r="AQ51" s="17" cm="1">
        <f t="array" ref="AQ51">SUMPRODUCT(1362*POWER(0.7,POWER(1/($AI$2*AK51+$AJ$2*AL51*COS(RADIANS(0.25*(_xlfn.SEQUENCE(AO51-AN51,1,AN51+1))))+0.50572*POWER(96.07995-DEGREES(ACOS($AI$2*AK51+$AJ$2*AL51*COS(RADIANS(0.25*(_xlfn.SEQUENCE(AO51-AN51,1,AN51+1)))))),-1.6364)),0.678))/60)</f>
        <v>7165.0800194503263</v>
      </c>
      <c r="AR51" s="15">
        <f t="shared" si="33"/>
        <v>1.3079373009314654</v>
      </c>
      <c r="AT51">
        <v>0.1310338032321243</v>
      </c>
      <c r="AU51">
        <v>82.470664076947273</v>
      </c>
      <c r="AV51">
        <v>7.2417125263138047</v>
      </c>
      <c r="AW51">
        <v>347.70567405156328</v>
      </c>
    </row>
    <row r="52" spans="4:49" ht="17" x14ac:dyDescent="0.2">
      <c r="D52" s="1">
        <f t="shared" si="34"/>
        <v>46073</v>
      </c>
      <c r="E52" s="6">
        <f t="shared" si="2"/>
        <v>0.5</v>
      </c>
      <c r="F52" s="2">
        <f t="shared" si="3"/>
        <v>2461092.3333333335</v>
      </c>
      <c r="G52" s="3">
        <f t="shared" si="4"/>
        <v>0.26139174081679639</v>
      </c>
      <c r="I52">
        <f t="shared" si="5"/>
        <v>330.77037732483586</v>
      </c>
      <c r="J52">
        <f t="shared" si="6"/>
        <v>9767.3835225528474</v>
      </c>
      <c r="K52">
        <f t="shared" si="7"/>
        <v>1.6697637218532423E-2</v>
      </c>
      <c r="L52">
        <f t="shared" si="8"/>
        <v>1.4281077629903127</v>
      </c>
      <c r="M52">
        <f t="shared" si="9"/>
        <v>332.19848508782616</v>
      </c>
      <c r="N52">
        <f t="shared" si="10"/>
        <v>9768.8116303158386</v>
      </c>
      <c r="O52">
        <f t="shared" si="11"/>
        <v>0.98884881792880353</v>
      </c>
      <c r="P52">
        <f t="shared" si="12"/>
        <v>332.19447120254938</v>
      </c>
      <c r="Q52">
        <f t="shared" si="13"/>
        <v>23.435891927144798</v>
      </c>
      <c r="R52">
        <f t="shared" si="14"/>
        <v>23.438289382445131</v>
      </c>
      <c r="S52">
        <f t="shared" si="15"/>
        <v>-25.820029313915136</v>
      </c>
      <c r="T52" s="19">
        <f t="shared" si="16"/>
        <v>-10.6928750029589</v>
      </c>
      <c r="U52">
        <f t="shared" si="17"/>
        <v>4.3030746377564565E-2</v>
      </c>
      <c r="V52">
        <f t="shared" si="18"/>
        <v>-13.674170429567848</v>
      </c>
      <c r="W52">
        <f t="shared" si="19"/>
        <v>82.718766895041639</v>
      </c>
      <c r="X52" s="6">
        <f t="shared" si="20"/>
        <v>0.51491781279831095</v>
      </c>
      <c r="Y52" s="6">
        <f t="shared" si="21"/>
        <v>0.28514346031208415</v>
      </c>
      <c r="Z52" s="6">
        <f t="shared" si="22"/>
        <v>0.74469216528453774</v>
      </c>
      <c r="AA52" s="19">
        <f t="shared" si="23"/>
        <v>661.75013516033312</v>
      </c>
      <c r="AB52">
        <f t="shared" si="24"/>
        <v>698.51834957043206</v>
      </c>
      <c r="AC52">
        <f t="shared" si="25"/>
        <v>-5.3704126073919838</v>
      </c>
      <c r="AD52">
        <f t="shared" si="0"/>
        <v>48.554619507030282</v>
      </c>
      <c r="AE52">
        <f t="shared" si="26"/>
        <v>41.445380492969718</v>
      </c>
      <c r="AF52">
        <f t="shared" si="27"/>
        <v>1.8248577706969332E-2</v>
      </c>
      <c r="AG52">
        <f t="shared" si="28"/>
        <v>41.463629070676689</v>
      </c>
      <c r="AH52">
        <f t="shared" si="1"/>
        <v>172.95245649609603</v>
      </c>
      <c r="AK52">
        <f t="shared" si="29"/>
        <v>-0.1855444214724801</v>
      </c>
      <c r="AL52">
        <f t="shared" si="35"/>
        <v>0.98263587745433079</v>
      </c>
      <c r="AM52">
        <f t="shared" si="30"/>
        <v>662</v>
      </c>
      <c r="AN52">
        <f t="shared" si="31"/>
        <v>-331</v>
      </c>
      <c r="AO52">
        <f t="shared" si="32"/>
        <v>331</v>
      </c>
      <c r="AP52" s="16" cm="1">
        <f t="array" ref="AP52">SUMPRODUCT(1362*POWER(0.7,POWER(1/($AI$2*AK52+$AJ$2*AL52*COS(RADIANS(0.25*(_xlfn.SEQUENCE(AO52-AN52,1,AN52+1))))+0.50572*POWER(96.07995-DEGREES(ACOS($AI$2*AK52+$AJ$2*AL52*COS(RADIANS(0.25*(_xlfn.SEQUENCE(AO52-AN52,1,AN52+1)))))),-1.6364)),0.678))*IF(AL52*COS(RADIANS(0.25*(_xlfn.SEQUENCE(AO52-AN52,1,AN52+1))))&gt;0,AL52*COS(RADIANS(0.25*(_xlfn.SEQUENCE(AO52-AN52,1,AN52+1)))),0)/60)</f>
        <v>5508.4141505238576</v>
      </c>
      <c r="AQ52" s="17" cm="1">
        <f t="array" ref="AQ52">SUMPRODUCT(1362*POWER(0.7,POWER(1/($AI$2*AK52+$AJ$2*AL52*COS(RADIANS(0.25*(_xlfn.SEQUENCE(AO52-AN52,1,AN52+1))))+0.50572*POWER(96.07995-DEGREES(ACOS($AI$2*AK52+$AJ$2*AL52*COS(RADIANS(0.25*(_xlfn.SEQUENCE(AO52-AN52,1,AN52+1)))))),-1.6364)),0.678))/60)</f>
        <v>7210.8667444873063</v>
      </c>
      <c r="AR52" s="15">
        <f t="shared" si="33"/>
        <v>1.3090640150580442</v>
      </c>
      <c r="AT52">
        <v>0.13377674133298342</v>
      </c>
      <c r="AU52">
        <v>82.312109277707663</v>
      </c>
      <c r="AV52">
        <v>7.1073531342563543</v>
      </c>
      <c r="AW52">
        <v>353.74746096275226</v>
      </c>
    </row>
    <row r="53" spans="4:49" ht="17" x14ac:dyDescent="0.2">
      <c r="D53" s="1">
        <f t="shared" si="34"/>
        <v>46074</v>
      </c>
      <c r="E53" s="6">
        <f t="shared" si="2"/>
        <v>0.5</v>
      </c>
      <c r="F53" s="2">
        <f t="shared" si="3"/>
        <v>2461093.3333333335</v>
      </c>
      <c r="G53" s="3">
        <f t="shared" si="4"/>
        <v>0.26141911932466771</v>
      </c>
      <c r="I53">
        <f t="shared" si="5"/>
        <v>331.75602468934085</v>
      </c>
      <c r="J53">
        <f t="shared" si="6"/>
        <v>9768.3691228323733</v>
      </c>
      <c r="K53">
        <f t="shared" si="7"/>
        <v>1.6697636065808531E-2</v>
      </c>
      <c r="L53">
        <f t="shared" si="8"/>
        <v>1.4501025406579506</v>
      </c>
      <c r="M53">
        <f t="shared" si="9"/>
        <v>333.2061272299988</v>
      </c>
      <c r="N53">
        <f t="shared" si="10"/>
        <v>9769.8192253730303</v>
      </c>
      <c r="O53">
        <f t="shared" si="11"/>
        <v>0.98906665771033253</v>
      </c>
      <c r="P53">
        <f t="shared" si="12"/>
        <v>333.20211748126354</v>
      </c>
      <c r="Q53">
        <f t="shared" si="13"/>
        <v>23.435891571110599</v>
      </c>
      <c r="R53">
        <f t="shared" si="14"/>
        <v>23.438288195746591</v>
      </c>
      <c r="S53">
        <f t="shared" si="15"/>
        <v>-24.863690079780106</v>
      </c>
      <c r="T53" s="19">
        <f t="shared" si="16"/>
        <v>-10.330644832426044</v>
      </c>
      <c r="U53">
        <f t="shared" si="17"/>
        <v>4.3030741896261528E-2</v>
      </c>
      <c r="V53">
        <f t="shared" si="18"/>
        <v>-13.555354847964262</v>
      </c>
      <c r="W53">
        <f t="shared" si="19"/>
        <v>83.008316005790533</v>
      </c>
      <c r="X53" s="6">
        <f t="shared" si="20"/>
        <v>0.51483530197775296</v>
      </c>
      <c r="Y53" s="6">
        <f t="shared" si="21"/>
        <v>0.28425664640611259</v>
      </c>
      <c r="Z53" s="6">
        <f t="shared" si="22"/>
        <v>0.74541395754939344</v>
      </c>
      <c r="AA53" s="19">
        <f t="shared" si="23"/>
        <v>664.06652804632427</v>
      </c>
      <c r="AB53">
        <f t="shared" si="24"/>
        <v>698.63716515203578</v>
      </c>
      <c r="AC53">
        <f t="shared" si="25"/>
        <v>-5.3407087119910557</v>
      </c>
      <c r="AD53">
        <f t="shared" si="0"/>
        <v>48.191277016766612</v>
      </c>
      <c r="AE53">
        <f t="shared" si="26"/>
        <v>41.808722983233388</v>
      </c>
      <c r="AF53">
        <f t="shared" si="27"/>
        <v>1.8017698008350694E-2</v>
      </c>
      <c r="AG53">
        <f t="shared" si="28"/>
        <v>41.826740681241738</v>
      </c>
      <c r="AH53">
        <f t="shared" si="1"/>
        <v>172.94339446834761</v>
      </c>
      <c r="AK53">
        <f t="shared" si="29"/>
        <v>-0.17932842360159848</v>
      </c>
      <c r="AL53">
        <f t="shared" si="35"/>
        <v>0.98378926426779312</v>
      </c>
      <c r="AM53">
        <f t="shared" si="30"/>
        <v>664</v>
      </c>
      <c r="AN53">
        <f t="shared" si="31"/>
        <v>-332</v>
      </c>
      <c r="AO53">
        <f t="shared" si="32"/>
        <v>332</v>
      </c>
      <c r="AP53" s="16" cm="1">
        <f t="array" ref="AP53">SUMPRODUCT(1362*POWER(0.7,POWER(1/($AI$2*AK53+$AJ$2*AL53*COS(RADIANS(0.25*(_xlfn.SEQUENCE(AO53-AN53,1,AN53+1))))+0.50572*POWER(96.07995-DEGREES(ACOS($AI$2*AK53+$AJ$2*AL53*COS(RADIANS(0.25*(_xlfn.SEQUENCE(AO53-AN53,1,AN53+1)))))),-1.6364)),0.678))*IF(AL53*COS(RADIANS(0.25*(_xlfn.SEQUENCE(AO53-AN53,1,AN53+1))))&gt;0,AL53*COS(RADIANS(0.25*(_xlfn.SEQUENCE(AO53-AN53,1,AN53+1)))),0)/60)</f>
        <v>5538.4172348070806</v>
      </c>
      <c r="AQ53" s="17" cm="1">
        <f t="array" ref="AQ53">SUMPRODUCT(1362*POWER(0.7,POWER(1/($AI$2*AK53+$AJ$2*AL53*COS(RADIANS(0.25*(_xlfn.SEQUENCE(AO53-AN53,1,AN53+1))))+0.50572*POWER(96.07995-DEGREES(ACOS($AI$2*AK53+$AJ$2*AL53*COS(RADIANS(0.25*(_xlfn.SEQUENCE(AO53-AN53,1,AN53+1)))))),-1.6364)),0.678))/60)</f>
        <v>7256.6444700722832</v>
      </c>
      <c r="AR53" s="15">
        <f t="shared" si="33"/>
        <v>1.3102379547114518</v>
      </c>
      <c r="AT53">
        <v>0.13651260346306945</v>
      </c>
      <c r="AU53">
        <v>82.15390448140711</v>
      </c>
      <c r="AV53">
        <v>6.9780266444670485</v>
      </c>
      <c r="AW53">
        <v>359.69779233348231</v>
      </c>
    </row>
    <row r="54" spans="4:49" ht="17" x14ac:dyDescent="0.2">
      <c r="D54" s="1">
        <f t="shared" si="34"/>
        <v>46075</v>
      </c>
      <c r="E54" s="6">
        <f t="shared" si="2"/>
        <v>0.5</v>
      </c>
      <c r="F54" s="2">
        <f t="shared" si="3"/>
        <v>2461094.3333333335</v>
      </c>
      <c r="G54" s="3">
        <f t="shared" si="4"/>
        <v>0.26144649783253904</v>
      </c>
      <c r="I54">
        <f t="shared" si="5"/>
        <v>332.74167205384583</v>
      </c>
      <c r="J54">
        <f t="shared" si="6"/>
        <v>9769.3547231118955</v>
      </c>
      <c r="K54">
        <f t="shared" si="7"/>
        <v>1.6697634913084448E-2</v>
      </c>
      <c r="L54">
        <f t="shared" si="8"/>
        <v>1.4716502378306</v>
      </c>
      <c r="M54">
        <f t="shared" si="9"/>
        <v>334.21332229167643</v>
      </c>
      <c r="N54">
        <f t="shared" si="10"/>
        <v>9770.8263733497261</v>
      </c>
      <c r="O54">
        <f t="shared" si="11"/>
        <v>0.98928775617703257</v>
      </c>
      <c r="P54">
        <f t="shared" si="12"/>
        <v>334.20931667804746</v>
      </c>
      <c r="Q54">
        <f t="shared" si="13"/>
        <v>23.435891215076403</v>
      </c>
      <c r="R54">
        <f t="shared" si="14"/>
        <v>23.438287007000909</v>
      </c>
      <c r="S54">
        <f t="shared" si="15"/>
        <v>-23.909983807928079</v>
      </c>
      <c r="T54" s="19">
        <f t="shared" si="16"/>
        <v>-9.9657676986833472</v>
      </c>
      <c r="U54">
        <f t="shared" si="17"/>
        <v>4.303073740722816E-2</v>
      </c>
      <c r="V54">
        <f t="shared" si="18"/>
        <v>-13.425915202058844</v>
      </c>
      <c r="W54">
        <f t="shared" si="19"/>
        <v>83.299169865560273</v>
      </c>
      <c r="X54" s="6">
        <f t="shared" si="20"/>
        <v>0.51474541333476309</v>
      </c>
      <c r="Y54" s="6">
        <f t="shared" si="21"/>
        <v>0.28335883037487347</v>
      </c>
      <c r="Z54" s="6">
        <f t="shared" si="22"/>
        <v>0.74613199629465277</v>
      </c>
      <c r="AA54" s="19">
        <f t="shared" si="23"/>
        <v>666.39335892448219</v>
      </c>
      <c r="AB54">
        <f t="shared" si="24"/>
        <v>698.76660479794123</v>
      </c>
      <c r="AC54">
        <f t="shared" si="25"/>
        <v>-5.3083488005146933</v>
      </c>
      <c r="AD54">
        <f t="shared" si="0"/>
        <v>47.825038510444422</v>
      </c>
      <c r="AE54">
        <f t="shared" si="26"/>
        <v>42.174961489555578</v>
      </c>
      <c r="AF54">
        <f t="shared" si="27"/>
        <v>1.7788241339392118E-2</v>
      </c>
      <c r="AG54">
        <f t="shared" si="28"/>
        <v>42.192749730894967</v>
      </c>
      <c r="AH54">
        <f t="shared" si="1"/>
        <v>172.93747892575607</v>
      </c>
      <c r="AK54">
        <f t="shared" si="29"/>
        <v>-0.17305975719681099</v>
      </c>
      <c r="AL54">
        <f t="shared" si="35"/>
        <v>0.98491132618067745</v>
      </c>
      <c r="AM54">
        <f t="shared" si="30"/>
        <v>666</v>
      </c>
      <c r="AN54">
        <f t="shared" si="31"/>
        <v>-333</v>
      </c>
      <c r="AO54">
        <f t="shared" si="32"/>
        <v>333</v>
      </c>
      <c r="AP54" s="16" cm="1">
        <f t="array" ref="AP54">SUMPRODUCT(1362*POWER(0.7,POWER(1/($AI$2*AK54+$AJ$2*AL54*COS(RADIANS(0.25*(_xlfn.SEQUENCE(AO54-AN54,1,AN54+1))))+0.50572*POWER(96.07995-DEGREES(ACOS($AI$2*AK54+$AJ$2*AL54*COS(RADIANS(0.25*(_xlfn.SEQUENCE(AO54-AN54,1,AN54+1)))))),-1.6364)),0.678))*IF(AL54*COS(RADIANS(0.25*(_xlfn.SEQUENCE(AO54-AN54,1,AN54+1))))&gt;0,AL54*COS(RADIANS(0.25*(_xlfn.SEQUENCE(AO54-AN54,1,AN54+1)))),0)/60)</f>
        <v>5568.1565056813952</v>
      </c>
      <c r="AQ54" s="17" cm="1">
        <f t="array" ref="AQ54">SUMPRODUCT(1362*POWER(0.7,POWER(1/($AI$2*AK54+$AJ$2*AL54*COS(RADIANS(0.25*(_xlfn.SEQUENCE(AO54-AN54,1,AN54+1))))+0.50572*POWER(96.07995-DEGREES(ACOS($AI$2*AK54+$AJ$2*AL54*COS(RADIANS(0.25*(_xlfn.SEQUENCE(AO54-AN54,1,AN54+1)))))),-1.6364)),0.678))/60)</f>
        <v>7302.5178430181886</v>
      </c>
      <c r="AR54" s="15">
        <f t="shared" si="33"/>
        <v>1.3114785540900584</v>
      </c>
      <c r="AT54">
        <v>0.13924133753551135</v>
      </c>
      <c r="AU54">
        <v>81.996051890554384</v>
      </c>
      <c r="AV54">
        <v>6.8534667966613583</v>
      </c>
      <c r="AW54">
        <v>365.55791065596782</v>
      </c>
    </row>
    <row r="55" spans="4:49" ht="17" x14ac:dyDescent="0.2">
      <c r="D55" s="1">
        <f t="shared" si="34"/>
        <v>46076</v>
      </c>
      <c r="E55" s="6">
        <f t="shared" si="2"/>
        <v>0.5</v>
      </c>
      <c r="F55" s="2">
        <f t="shared" si="3"/>
        <v>2461095.3333333335</v>
      </c>
      <c r="G55" s="3">
        <f t="shared" si="4"/>
        <v>0.26147387634041036</v>
      </c>
      <c r="I55">
        <f t="shared" si="5"/>
        <v>333.72731941835082</v>
      </c>
      <c r="J55">
        <f t="shared" si="6"/>
        <v>9770.3403233914214</v>
      </c>
      <c r="K55">
        <f t="shared" si="7"/>
        <v>1.6697633760360178E-2</v>
      </c>
      <c r="L55">
        <f t="shared" si="8"/>
        <v>1.4927445900043885</v>
      </c>
      <c r="M55">
        <f t="shared" si="9"/>
        <v>335.22006400835522</v>
      </c>
      <c r="N55">
        <f t="shared" si="10"/>
        <v>9771.8330679814262</v>
      </c>
      <c r="O55">
        <f t="shared" si="11"/>
        <v>0.9895120435723731</v>
      </c>
      <c r="P55">
        <f t="shared" si="12"/>
        <v>335.21606252839382</v>
      </c>
      <c r="Q55">
        <f t="shared" si="13"/>
        <v>23.435890859042203</v>
      </c>
      <c r="R55">
        <f t="shared" si="14"/>
        <v>23.438285816208793</v>
      </c>
      <c r="S55">
        <f t="shared" si="15"/>
        <v>-22.958845140429396</v>
      </c>
      <c r="T55" s="19">
        <f t="shared" si="16"/>
        <v>-9.5983569346333937</v>
      </c>
      <c r="U55">
        <f t="shared" si="17"/>
        <v>4.3030732910467148E-2</v>
      </c>
      <c r="V55">
        <f t="shared" si="18"/>
        <v>-13.286123883790543</v>
      </c>
      <c r="W55">
        <f t="shared" si="19"/>
        <v>83.59125581876016</v>
      </c>
      <c r="X55" s="6">
        <f t="shared" si="20"/>
        <v>0.51464833603041016</v>
      </c>
      <c r="Y55" s="6">
        <f t="shared" si="21"/>
        <v>0.28245040320052078</v>
      </c>
      <c r="Z55" s="6">
        <f t="shared" si="22"/>
        <v>0.74684626886029948</v>
      </c>
      <c r="AA55" s="19">
        <f t="shared" si="23"/>
        <v>668.73004655008128</v>
      </c>
      <c r="AB55">
        <f t="shared" si="24"/>
        <v>698.90639611620941</v>
      </c>
      <c r="AC55">
        <f t="shared" si="25"/>
        <v>-5.2734009709476481</v>
      </c>
      <c r="AD55">
        <f t="shared" si="0"/>
        <v>47.456022879109085</v>
      </c>
      <c r="AE55">
        <f t="shared" si="26"/>
        <v>42.543977120890915</v>
      </c>
      <c r="AF55">
        <f t="shared" si="27"/>
        <v>1.7560270602185176E-2</v>
      </c>
      <c r="AG55">
        <f t="shared" si="28"/>
        <v>42.561537391493097</v>
      </c>
      <c r="AH55">
        <f t="shared" si="1"/>
        <v>172.9346976137889</v>
      </c>
      <c r="AK55">
        <f t="shared" si="29"/>
        <v>-0.16674047133731218</v>
      </c>
      <c r="AL55">
        <f t="shared" si="35"/>
        <v>0.9860008190758317</v>
      </c>
      <c r="AM55">
        <f t="shared" si="30"/>
        <v>669</v>
      </c>
      <c r="AN55">
        <f t="shared" si="31"/>
        <v>-334.5</v>
      </c>
      <c r="AO55">
        <f t="shared" si="32"/>
        <v>334.5</v>
      </c>
      <c r="AP55" s="16" cm="1">
        <f t="array" ref="AP55">SUMPRODUCT(1362*POWER(0.7,POWER(1/($AI$2*AK55+$AJ$2*AL55*COS(RADIANS(0.25*(_xlfn.SEQUENCE(AO55-AN55,1,AN55+1))))+0.50572*POWER(96.07995-DEGREES(ACOS($AI$2*AK55+$AJ$2*AL55*COS(RADIANS(0.25*(_xlfn.SEQUENCE(AO55-AN55,1,AN55+1)))))),-1.6364)),0.678))*IF(AL55*COS(RADIANS(0.25*(_xlfn.SEQUENCE(AO55-AN55,1,AN55+1))))&gt;0,AL55*COS(RADIANS(0.25*(_xlfn.SEQUENCE(AO55-AN55,1,AN55+1)))),0)/60)</f>
        <v>5597.6254844939021</v>
      </c>
      <c r="AQ55" s="17" cm="1">
        <f t="array" ref="AQ55">SUMPRODUCT(1362*POWER(0.7,POWER(1/($AI$2*AK55+$AJ$2*AL55*COS(RADIANS(0.25*(_xlfn.SEQUENCE(AO55-AN55,1,AN55+1))))+0.50572*POWER(96.07995-DEGREES(ACOS($AI$2*AK55+$AJ$2*AL55*COS(RADIANS(0.25*(_xlfn.SEQUENCE(AO55-AN55,1,AN55+1)))))),-1.6364)),0.678))/60)</f>
        <v>7348.5963601265457</v>
      </c>
      <c r="AR55" s="15">
        <f t="shared" si="33"/>
        <v>1.3128060068475542</v>
      </c>
      <c r="AT55">
        <v>0.14196289159914574</v>
      </c>
      <c r="AU55">
        <v>81.838553718803738</v>
      </c>
      <c r="AV55">
        <v>6.7334253357365279</v>
      </c>
      <c r="AW55">
        <v>371.32909535380765</v>
      </c>
    </row>
    <row r="56" spans="4:49" ht="17" x14ac:dyDescent="0.2">
      <c r="D56" s="1">
        <f t="shared" si="34"/>
        <v>46077</v>
      </c>
      <c r="E56" s="6">
        <f t="shared" si="2"/>
        <v>0.5</v>
      </c>
      <c r="F56" s="2">
        <f t="shared" si="3"/>
        <v>2461096.3333333335</v>
      </c>
      <c r="G56" s="3">
        <f t="shared" si="4"/>
        <v>0.26150125484828168</v>
      </c>
      <c r="I56">
        <f t="shared" si="5"/>
        <v>334.7129667828558</v>
      </c>
      <c r="J56">
        <f t="shared" si="6"/>
        <v>9771.3259236709437</v>
      </c>
      <c r="K56">
        <f t="shared" si="7"/>
        <v>1.6697632607635716E-2</v>
      </c>
      <c r="L56">
        <f t="shared" si="8"/>
        <v>1.5133794885174159</v>
      </c>
      <c r="M56">
        <f t="shared" si="9"/>
        <v>336.22634627137325</v>
      </c>
      <c r="N56">
        <f t="shared" si="10"/>
        <v>9772.8393031594605</v>
      </c>
      <c r="O56">
        <f t="shared" si="11"/>
        <v>0.98973944922824797</v>
      </c>
      <c r="P56">
        <f t="shared" si="12"/>
        <v>336.22234892363707</v>
      </c>
      <c r="Q56">
        <f t="shared" si="13"/>
        <v>23.435890503008007</v>
      </c>
      <c r="R56">
        <f t="shared" si="14"/>
        <v>23.438284623370965</v>
      </c>
      <c r="S56">
        <f t="shared" si="15"/>
        <v>-22.010206932910837</v>
      </c>
      <c r="T56" s="19">
        <f t="shared" si="16"/>
        <v>-9.2285254596682211</v>
      </c>
      <c r="U56">
        <f t="shared" si="17"/>
        <v>4.3030728405981197E-2</v>
      </c>
      <c r="V56">
        <f t="shared" si="18"/>
        <v>-13.136260842977769</v>
      </c>
      <c r="W56">
        <f t="shared" si="19"/>
        <v>83.88450342297395</v>
      </c>
      <c r="X56" s="6">
        <f t="shared" si="20"/>
        <v>0.51454426447429003</v>
      </c>
      <c r="Y56" s="6">
        <f t="shared" si="21"/>
        <v>0.28153175496602906</v>
      </c>
      <c r="Z56" s="6">
        <f t="shared" si="22"/>
        <v>0.74755677398255094</v>
      </c>
      <c r="AA56" s="19">
        <f t="shared" si="23"/>
        <v>671.0760273837916</v>
      </c>
      <c r="AB56">
        <f t="shared" si="24"/>
        <v>699.05625915702217</v>
      </c>
      <c r="AC56">
        <f t="shared" si="25"/>
        <v>-5.2359352107444579</v>
      </c>
      <c r="AD56">
        <f t="shared" si="0"/>
        <v>47.084349115905937</v>
      </c>
      <c r="AE56">
        <f t="shared" si="26"/>
        <v>42.915650884094063</v>
      </c>
      <c r="AF56">
        <f t="shared" si="27"/>
        <v>1.7333844177994565E-2</v>
      </c>
      <c r="AG56">
        <f t="shared" si="28"/>
        <v>42.932984728272061</v>
      </c>
      <c r="AH56">
        <f t="shared" si="1"/>
        <v>172.93503580132619</v>
      </c>
      <c r="AK56">
        <f t="shared" si="29"/>
        <v>-0.16037262666856208</v>
      </c>
      <c r="AL56">
        <f t="shared" si="35"/>
        <v>0.9870565437782306</v>
      </c>
      <c r="AM56">
        <f t="shared" si="30"/>
        <v>671</v>
      </c>
      <c r="AN56">
        <f t="shared" si="31"/>
        <v>-335.5</v>
      </c>
      <c r="AO56">
        <f t="shared" si="32"/>
        <v>335.5</v>
      </c>
      <c r="AP56" s="16" cm="1">
        <f t="array" ref="AP56">SUMPRODUCT(1362*POWER(0.7,POWER(1/($AI$2*AK56+$AJ$2*AL56*COS(RADIANS(0.25*(_xlfn.SEQUENCE(AO56-AN56,1,AN56+1))))+0.50572*POWER(96.07995-DEGREES(ACOS($AI$2*AK56+$AJ$2*AL56*COS(RADIANS(0.25*(_xlfn.SEQUENCE(AO56-AN56,1,AN56+1)))))),-1.6364)),0.678))*IF(AL56*COS(RADIANS(0.25*(_xlfn.SEQUENCE(AO56-AN56,1,AN56+1))))&gt;0,AL56*COS(RADIANS(0.25*(_xlfn.SEQUENCE(AO56-AN56,1,AN56+1)))),0)/60)</f>
        <v>5626.7766887633225</v>
      </c>
      <c r="AQ56" s="17" cm="1">
        <f t="array" ref="AQ56">SUMPRODUCT(1362*POWER(0.7,POWER(1/($AI$2*AK56+$AJ$2*AL56*COS(RADIANS(0.25*(_xlfn.SEQUENCE(AO56-AN56,1,AN56+1))))+0.50572*POWER(96.07995-DEGREES(ACOS($AI$2*AK56+$AJ$2*AL56*COS(RADIANS(0.25*(_xlfn.SEQUENCE(AO56-AN56,1,AN56+1)))))),-1.6364)),0.678))/60)</f>
        <v>7394.6195643929268</v>
      </c>
      <c r="AR56" s="15">
        <f t="shared" si="33"/>
        <v>1.3141839410758895</v>
      </c>
      <c r="AT56">
        <v>0.14467721383950624</v>
      </c>
      <c r="AU56">
        <v>81.681412190977014</v>
      </c>
      <c r="AV56">
        <v>6.6176705491585883</v>
      </c>
      <c r="AW56">
        <v>377.01265486052836</v>
      </c>
    </row>
    <row r="57" spans="4:49" ht="17" x14ac:dyDescent="0.2">
      <c r="D57" s="1">
        <f t="shared" si="34"/>
        <v>46078</v>
      </c>
      <c r="E57" s="6">
        <f t="shared" si="2"/>
        <v>0.5</v>
      </c>
      <c r="F57" s="2">
        <f t="shared" si="3"/>
        <v>2461097.3333333335</v>
      </c>
      <c r="G57" s="3">
        <f t="shared" si="4"/>
        <v>0.26152863335615301</v>
      </c>
      <c r="I57">
        <f t="shared" si="5"/>
        <v>335.6986141473626</v>
      </c>
      <c r="J57">
        <f t="shared" si="6"/>
        <v>9772.3115239504696</v>
      </c>
      <c r="K57">
        <f t="shared" si="7"/>
        <v>1.6697631454911065E-2</v>
      </c>
      <c r="L57">
        <f t="shared" si="8"/>
        <v>1.5335489821553119</v>
      </c>
      <c r="M57">
        <f t="shared" si="9"/>
        <v>337.23216312951791</v>
      </c>
      <c r="N57">
        <f t="shared" si="10"/>
        <v>9773.845072932625</v>
      </c>
      <c r="O57">
        <f t="shared" si="11"/>
        <v>0.98996990159113862</v>
      </c>
      <c r="P57">
        <f t="shared" si="12"/>
        <v>337.22816991256116</v>
      </c>
      <c r="Q57">
        <f t="shared" si="13"/>
        <v>23.435890146973808</v>
      </c>
      <c r="R57">
        <f t="shared" si="14"/>
        <v>23.438283428488123</v>
      </c>
      <c r="S57">
        <f t="shared" si="15"/>
        <v>-21.064000353051384</v>
      </c>
      <c r="T57" s="19">
        <f t="shared" si="16"/>
        <v>-8.8563857603359271</v>
      </c>
      <c r="U57">
        <f t="shared" si="17"/>
        <v>4.3030723893772993E-2</v>
      </c>
      <c r="V57">
        <f t="shared" si="18"/>
        <v>-12.976613095258378</v>
      </c>
      <c r="W57">
        <f t="shared" si="19"/>
        <v>84.178844385360364</v>
      </c>
      <c r="X57" s="6">
        <f t="shared" si="20"/>
        <v>0.5144333979828184</v>
      </c>
      <c r="Y57" s="6">
        <f t="shared" si="21"/>
        <v>0.28060327469015073</v>
      </c>
      <c r="Z57" s="6">
        <f t="shared" si="22"/>
        <v>0.74826352127548601</v>
      </c>
      <c r="AA57" s="19">
        <f t="shared" si="23"/>
        <v>673.43075508288291</v>
      </c>
      <c r="AB57">
        <f t="shared" si="24"/>
        <v>699.21590690474159</v>
      </c>
      <c r="AC57">
        <f t="shared" si="25"/>
        <v>-5.1960232738146033</v>
      </c>
      <c r="AD57">
        <f t="shared" si="0"/>
        <v>46.710136269539909</v>
      </c>
      <c r="AE57">
        <f t="shared" si="26"/>
        <v>43.289863730460091</v>
      </c>
      <c r="AF57">
        <f t="shared" si="27"/>
        <v>1.710901611477765E-2</v>
      </c>
      <c r="AG57">
        <f t="shared" si="28"/>
        <v>43.306972746574871</v>
      </c>
      <c r="AH57">
        <f t="shared" si="1"/>
        <v>172.93847629942672</v>
      </c>
      <c r="AK57">
        <f t="shared" si="29"/>
        <v>-0.15395829456187263</v>
      </c>
      <c r="AL57">
        <f t="shared" si="35"/>
        <v>0.98807734693980287</v>
      </c>
      <c r="AM57">
        <f t="shared" si="30"/>
        <v>673</v>
      </c>
      <c r="AN57">
        <f t="shared" si="31"/>
        <v>-336.5</v>
      </c>
      <c r="AO57">
        <f t="shared" si="32"/>
        <v>336.5</v>
      </c>
      <c r="AP57" s="16" cm="1">
        <f t="array" ref="AP57">SUMPRODUCT(1362*POWER(0.7,POWER(1/($AI$2*AK57+$AJ$2*AL57*COS(RADIANS(0.25*(_xlfn.SEQUENCE(AO57-AN57,1,AN57+1))))+0.50572*POWER(96.07995-DEGREES(ACOS($AI$2*AK57+$AJ$2*AL57*COS(RADIANS(0.25*(_xlfn.SEQUENCE(AO57-AN57,1,AN57+1)))))),-1.6364)),0.678))*IF(AL57*COS(RADIANS(0.25*(_xlfn.SEQUENCE(AO57-AN57,1,AN57+1))))&gt;0,AL57*COS(RADIANS(0.25*(_xlfn.SEQUENCE(AO57-AN57,1,AN57+1)))),0)/60)</f>
        <v>5655.6046887396406</v>
      </c>
      <c r="AQ57" s="17" cm="1">
        <f t="array" ref="AQ57">SUMPRODUCT(1362*POWER(0.7,POWER(1/($AI$2*AK57+$AJ$2*AL57*COS(RADIANS(0.25*(_xlfn.SEQUENCE(AO57-AN57,1,AN57+1))))+0.50572*POWER(96.07995-DEGREES(ACOS($AI$2*AK57+$AJ$2*AL57*COS(RADIANS(0.25*(_xlfn.SEQUENCE(AO57-AN57,1,AN57+1)))))),-1.6364)),0.678))/60)</f>
        <v>7440.6925793611717</v>
      </c>
      <c r="AR57" s="15">
        <f t="shared" si="33"/>
        <v>1.3156316590117512</v>
      </c>
      <c r="AT57">
        <v>0.14738425257981</v>
      </c>
      <c r="AU57">
        <v>81.524629543084217</v>
      </c>
      <c r="AV57">
        <v>6.5059859417137043</v>
      </c>
      <c r="AW57">
        <v>382.60991963690861</v>
      </c>
    </row>
    <row r="58" spans="4:49" ht="17" x14ac:dyDescent="0.2">
      <c r="D58" s="1">
        <f t="shared" si="34"/>
        <v>46079</v>
      </c>
      <c r="E58" s="6">
        <f t="shared" si="2"/>
        <v>0.5</v>
      </c>
      <c r="F58" s="2">
        <f t="shared" si="3"/>
        <v>2461098.3333333335</v>
      </c>
      <c r="G58" s="3">
        <f t="shared" si="4"/>
        <v>0.26155601186402433</v>
      </c>
      <c r="I58">
        <f t="shared" si="5"/>
        <v>336.68426151186941</v>
      </c>
      <c r="J58">
        <f t="shared" si="6"/>
        <v>9773.2971242299936</v>
      </c>
      <c r="K58">
        <f t="shared" si="7"/>
        <v>1.6697630302186225E-2</v>
      </c>
      <c r="L58">
        <f t="shared" si="8"/>
        <v>1.5532472786823899</v>
      </c>
      <c r="M58">
        <f t="shared" si="9"/>
        <v>338.23750879055177</v>
      </c>
      <c r="N58">
        <f t="shared" si="10"/>
        <v>9774.8503715086754</v>
      </c>
      <c r="O58">
        <f t="shared" si="11"/>
        <v>0.99020332824845869</v>
      </c>
      <c r="P58">
        <f t="shared" si="12"/>
        <v>338.23351970292504</v>
      </c>
      <c r="Q58">
        <f t="shared" si="13"/>
        <v>23.435889790939612</v>
      </c>
      <c r="R58">
        <f t="shared" si="14"/>
        <v>23.438282231561001</v>
      </c>
      <c r="S58">
        <f t="shared" si="15"/>
        <v>-20.120154976985805</v>
      </c>
      <c r="T58" s="19">
        <f t="shared" si="16"/>
        <v>-8.4820498733269236</v>
      </c>
      <c r="U58">
        <f t="shared" si="17"/>
        <v>4.3030719373845255E-2</v>
      </c>
      <c r="V58">
        <f t="shared" si="18"/>
        <v>-12.807474238254766</v>
      </c>
      <c r="W58">
        <f t="shared" si="19"/>
        <v>84.474212495949672</v>
      </c>
      <c r="X58" s="6">
        <f t="shared" si="20"/>
        <v>0.51431594044323248</v>
      </c>
      <c r="Y58" s="6">
        <f t="shared" si="21"/>
        <v>0.27966535017670563</v>
      </c>
      <c r="Z58" s="6">
        <f t="shared" si="22"/>
        <v>0.74896653070975927</v>
      </c>
      <c r="AA58" s="19">
        <f t="shared" si="23"/>
        <v>675.79369996759738</v>
      </c>
      <c r="AB58">
        <f t="shared" si="24"/>
        <v>699.38504576174523</v>
      </c>
      <c r="AC58">
        <f t="shared" si="25"/>
        <v>-5.153738559563692</v>
      </c>
      <c r="AD58">
        <f t="shared" si="0"/>
        <v>46.333503399125803</v>
      </c>
      <c r="AE58">
        <f t="shared" si="26"/>
        <v>43.666496600874197</v>
      </c>
      <c r="AF58">
        <f t="shared" si="27"/>
        <v>1.6885836313756952E-2</v>
      </c>
      <c r="AG58">
        <f t="shared" si="28"/>
        <v>43.683382437187952</v>
      </c>
      <c r="AH58">
        <f t="shared" si="1"/>
        <v>172.94499947989368</v>
      </c>
      <c r="AK58">
        <f t="shared" si="29"/>
        <v>-0.1474995562764598</v>
      </c>
      <c r="AL58">
        <f t="shared" si="35"/>
        <v>0.98906212186002118</v>
      </c>
      <c r="AM58">
        <f t="shared" si="30"/>
        <v>676</v>
      </c>
      <c r="AN58">
        <f t="shared" si="31"/>
        <v>-338</v>
      </c>
      <c r="AO58">
        <f t="shared" si="32"/>
        <v>338</v>
      </c>
      <c r="AP58" s="16" cm="1">
        <f t="array" ref="AP58">SUMPRODUCT(1362*POWER(0.7,POWER(1/($AI$2*AK58+$AJ$2*AL58*COS(RADIANS(0.25*(_xlfn.SEQUENCE(AO58-AN58,1,AN58+1))))+0.50572*POWER(96.07995-DEGREES(ACOS($AI$2*AK58+$AJ$2*AL58*COS(RADIANS(0.25*(_xlfn.SEQUENCE(AO58-AN58,1,AN58+1)))))),-1.6364)),0.678))*IF(AL58*COS(RADIANS(0.25*(_xlfn.SEQUENCE(AO58-AN58,1,AN58+1))))&gt;0,AL58*COS(RADIANS(0.25*(_xlfn.SEQUENCE(AO58-AN58,1,AN58+1)))),0)/60)</f>
        <v>5684.1029775358693</v>
      </c>
      <c r="AQ58" s="17" cm="1">
        <f t="array" ref="AQ58">SUMPRODUCT(1362*POWER(0.7,POWER(1/($AI$2*AK58+$AJ$2*AL58*COS(RADIANS(0.25*(_xlfn.SEQUENCE(AO58-AN58,1,AN58+1))))+0.50572*POWER(96.07995-DEGREES(ACOS($AI$2*AK58+$AJ$2*AL58*COS(RADIANS(0.25*(_xlfn.SEQUENCE(AO58-AN58,1,AN58+1)))))),-1.6364)),0.678))/60)</f>
        <v>7486.9271837288779</v>
      </c>
      <c r="AR58" s="15">
        <f t="shared" si="33"/>
        <v>1.3171695187997026</v>
      </c>
      <c r="AT58">
        <v>0.15008395628194141</v>
      </c>
      <c r="AU58">
        <v>81.368208022343211</v>
      </c>
      <c r="AV58">
        <v>6.39816903310225</v>
      </c>
      <c r="AW58">
        <v>388.12223602469135</v>
      </c>
    </row>
    <row r="59" spans="4:49" ht="17" x14ac:dyDescent="0.2">
      <c r="D59" s="1">
        <f t="shared" si="34"/>
        <v>46080</v>
      </c>
      <c r="E59" s="6">
        <f t="shared" si="2"/>
        <v>0.5</v>
      </c>
      <c r="F59" s="2">
        <f t="shared" si="3"/>
        <v>2461099.3333333335</v>
      </c>
      <c r="G59" s="3">
        <f t="shared" si="4"/>
        <v>0.26158339037189565</v>
      </c>
      <c r="I59">
        <f t="shared" si="5"/>
        <v>337.66990887637621</v>
      </c>
      <c r="J59">
        <f t="shared" si="6"/>
        <v>9774.2827245095159</v>
      </c>
      <c r="K59">
        <f t="shared" si="7"/>
        <v>1.6697629149461192E-2</v>
      </c>
      <c r="L59">
        <f t="shared" si="8"/>
        <v>1.5724687463002363</v>
      </c>
      <c r="M59">
        <f t="shared" si="9"/>
        <v>339.24237762267643</v>
      </c>
      <c r="N59">
        <f t="shared" si="10"/>
        <v>9775.8551932558166</v>
      </c>
      <c r="O59">
        <f t="shared" si="11"/>
        <v>0.99043965595510086</v>
      </c>
      <c r="P59">
        <f t="shared" si="12"/>
        <v>339.23839266292691</v>
      </c>
      <c r="Q59">
        <f t="shared" si="13"/>
        <v>23.435889434905416</v>
      </c>
      <c r="R59">
        <f t="shared" si="14"/>
        <v>23.438281032590307</v>
      </c>
      <c r="S59">
        <f t="shared" si="15"/>
        <v>-19.178598883554933</v>
      </c>
      <c r="T59" s="19">
        <f t="shared" si="16"/>
        <v>-8.1056293706777147</v>
      </c>
      <c r="U59">
        <f t="shared" si="17"/>
        <v>4.3030714846200704E-2</v>
      </c>
      <c r="V59">
        <f t="shared" si="18"/>
        <v>-12.629143976987342</v>
      </c>
      <c r="W59">
        <f t="shared" si="19"/>
        <v>84.770543558161862</v>
      </c>
      <c r="X59" s="6">
        <f t="shared" si="20"/>
        <v>0.51419209998401894</v>
      </c>
      <c r="Y59" s="6">
        <f t="shared" si="21"/>
        <v>0.27871836787801374</v>
      </c>
      <c r="Z59" s="6">
        <f t="shared" si="22"/>
        <v>0.74966583209002413</v>
      </c>
      <c r="AA59" s="19">
        <f t="shared" si="23"/>
        <v>678.16434846529489</v>
      </c>
      <c r="AB59">
        <f t="shared" si="24"/>
        <v>699.56337602301255</v>
      </c>
      <c r="AC59">
        <f t="shared" si="25"/>
        <v>-5.1091559942468621</v>
      </c>
      <c r="AD59">
        <f t="shared" si="0"/>
        <v>45.954569530460816</v>
      </c>
      <c r="AE59">
        <f t="shared" si="26"/>
        <v>44.045430469539184</v>
      </c>
      <c r="AF59">
        <f t="shared" si="27"/>
        <v>1.6664350714407708E-2</v>
      </c>
      <c r="AG59">
        <f t="shared" si="28"/>
        <v>44.062094820253591</v>
      </c>
      <c r="AH59">
        <f t="shared" si="1"/>
        <v>172.95458329332598</v>
      </c>
      <c r="AK59">
        <f t="shared" si="29"/>
        <v>-0.14099850212435289</v>
      </c>
      <c r="AL59">
        <f t="shared" si="35"/>
        <v>0.99000980924367055</v>
      </c>
      <c r="AM59">
        <f t="shared" si="30"/>
        <v>678</v>
      </c>
      <c r="AN59">
        <f t="shared" si="31"/>
        <v>-339</v>
      </c>
      <c r="AO59">
        <f t="shared" si="32"/>
        <v>339</v>
      </c>
      <c r="AP59" s="16" cm="1">
        <f t="array" ref="AP59">SUMPRODUCT(1362*POWER(0.7,POWER(1/($AI$2*AK59+$AJ$2*AL59*COS(RADIANS(0.25*(_xlfn.SEQUENCE(AO59-AN59,1,AN59+1))))+0.50572*POWER(96.07995-DEGREES(ACOS($AI$2*AK59+$AJ$2*AL59*COS(RADIANS(0.25*(_xlfn.SEQUENCE(AO59-AN59,1,AN59+1)))))),-1.6364)),0.678))*IF(AL59*COS(RADIANS(0.25*(_xlfn.SEQUENCE(AO59-AN59,1,AN59+1))))&gt;0,AL59*COS(RADIANS(0.25*(_xlfn.SEQUENCE(AO59-AN59,1,AN59+1)))),0)/60)</f>
        <v>5712.2292485079279</v>
      </c>
      <c r="AQ59" s="17" cm="1">
        <f t="array" ref="AQ59">SUMPRODUCT(1362*POWER(0.7,POWER(1/($AI$2*AK59+$AJ$2*AL59*COS(RADIANS(0.25*(_xlfn.SEQUENCE(AO59-AN59,1,AN59+1))))+0.50572*POWER(96.07995-DEGREES(ACOS($AI$2*AK59+$AJ$2*AL59*COS(RADIANS(0.25*(_xlfn.SEQUENCE(AO59-AN59,1,AN59+1)))))),-1.6364)),0.678))/60)</f>
        <v>7533.0625535236313</v>
      </c>
      <c r="AR59" s="15">
        <f t="shared" si="33"/>
        <v>1.3187605444041512</v>
      </c>
      <c r="AT59">
        <v>0.15277627354743364</v>
      </c>
      <c r="AU59">
        <v>81.212149887197953</v>
      </c>
      <c r="AV59">
        <v>6.2940302655477058</v>
      </c>
      <c r="AW59">
        <v>393.55096084528833</v>
      </c>
    </row>
    <row r="60" spans="4:49" ht="17" x14ac:dyDescent="0.2">
      <c r="D60" s="1">
        <f t="shared" si="34"/>
        <v>46081</v>
      </c>
      <c r="E60" s="6">
        <f t="shared" si="2"/>
        <v>0.5</v>
      </c>
      <c r="F60" s="2">
        <f t="shared" si="3"/>
        <v>2461100.3333333335</v>
      </c>
      <c r="G60" s="3">
        <f t="shared" si="4"/>
        <v>0.26161076887976698</v>
      </c>
      <c r="I60">
        <f t="shared" si="5"/>
        <v>338.65555624088483</v>
      </c>
      <c r="J60">
        <f t="shared" si="6"/>
        <v>9775.26832478904</v>
      </c>
      <c r="K60">
        <f t="shared" si="7"/>
        <v>1.6697627996735971E-2</v>
      </c>
      <c r="L60">
        <f t="shared" si="8"/>
        <v>1.5912079150326781</v>
      </c>
      <c r="M60">
        <f t="shared" si="9"/>
        <v>340.2467641559175</v>
      </c>
      <c r="N60">
        <f t="shared" si="10"/>
        <v>9776.859532704073</v>
      </c>
      <c r="O60">
        <f t="shared" si="11"/>
        <v>0.99067881066015284</v>
      </c>
      <c r="P60">
        <f t="shared" si="12"/>
        <v>340.24278332258876</v>
      </c>
      <c r="Q60">
        <f t="shared" si="13"/>
        <v>23.435889078871217</v>
      </c>
      <c r="R60">
        <f t="shared" si="14"/>
        <v>23.438279831576761</v>
      </c>
      <c r="S60">
        <f t="shared" si="15"/>
        <v>-18.239258746391222</v>
      </c>
      <c r="T60" s="19">
        <f t="shared" si="16"/>
        <v>-7.7272353471033384</v>
      </c>
      <c r="U60">
        <f t="shared" si="17"/>
        <v>4.3030710310842012E-2</v>
      </c>
      <c r="V60">
        <f t="shared" si="18"/>
        <v>-12.441927659467646</v>
      </c>
      <c r="W60">
        <f t="shared" si="19"/>
        <v>85.067775316841761</v>
      </c>
      <c r="X60" s="6">
        <f t="shared" si="20"/>
        <v>0.51406208865240799</v>
      </c>
      <c r="Y60" s="6">
        <f t="shared" si="21"/>
        <v>0.27776271277229198</v>
      </c>
      <c r="Z60" s="6">
        <f t="shared" si="22"/>
        <v>0.75036146453252395</v>
      </c>
      <c r="AA60" s="19">
        <f t="shared" si="23"/>
        <v>680.54220253473409</v>
      </c>
      <c r="AB60">
        <f t="shared" si="24"/>
        <v>699.75059234053242</v>
      </c>
      <c r="AC60">
        <f t="shared" si="25"/>
        <v>-5.0623519148668947</v>
      </c>
      <c r="AD60">
        <f t="shared" si="0"/>
        <v>45.573453613761536</v>
      </c>
      <c r="AE60">
        <f t="shared" si="26"/>
        <v>44.426546386238464</v>
      </c>
      <c r="AF60">
        <f t="shared" si="27"/>
        <v>1.6444601477300411E-2</v>
      </c>
      <c r="AG60">
        <f t="shared" si="28"/>
        <v>44.442990987715767</v>
      </c>
      <c r="AH60">
        <f t="shared" si="1"/>
        <v>172.9672032863449</v>
      </c>
      <c r="AK60">
        <f t="shared" si="29"/>
        <v>-0.13445723063877835</v>
      </c>
      <c r="AL60">
        <f t="shared" si="35"/>
        <v>0.99091939789720052</v>
      </c>
      <c r="AM60">
        <f t="shared" si="30"/>
        <v>681</v>
      </c>
      <c r="AN60">
        <f t="shared" si="31"/>
        <v>-340.5</v>
      </c>
      <c r="AO60">
        <f t="shared" si="32"/>
        <v>340.5</v>
      </c>
      <c r="AP60" s="16" cm="1">
        <f t="array" ref="AP60">SUMPRODUCT(1362*POWER(0.7,POWER(1/($AI$2*AK60+$AJ$2*AL60*COS(RADIANS(0.25*(_xlfn.SEQUENCE(AO60-AN60,1,AN60+1))))+0.50572*POWER(96.07995-DEGREES(ACOS($AI$2*AK60+$AJ$2*AL60*COS(RADIANS(0.25*(_xlfn.SEQUENCE(AO60-AN60,1,AN60+1)))))),-1.6364)),0.678))*IF(AL60*COS(RADIANS(0.25*(_xlfn.SEQUENCE(AO60-AN60,1,AN60+1))))&gt;0,AL60*COS(RADIANS(0.25*(_xlfn.SEQUENCE(AO60-AN60,1,AN60+1)))),0)/60)</f>
        <v>5739.9886128453791</v>
      </c>
      <c r="AQ60" s="17" cm="1">
        <f t="array" ref="AQ60">SUMPRODUCT(1362*POWER(0.7,POWER(1/($AI$2*AK60+$AJ$2*AL60*COS(RADIANS(0.25*(_xlfn.SEQUENCE(AO60-AN60,1,AN60+1))))+0.50572*POWER(96.07995-DEGREES(ACOS($AI$2*AK60+$AJ$2*AL60*COS(RADIANS(0.25*(_xlfn.SEQUENCE(AO60-AN60,1,AN60+1)))))),-1.6364)),0.678))/60)</f>
        <v>7579.3280016679728</v>
      </c>
      <c r="AR60" s="15">
        <f t="shared" si="33"/>
        <v>1.320443037936762</v>
      </c>
      <c r="AT60">
        <v>0.15546115311844685</v>
      </c>
      <c r="AU60">
        <v>81.056457407335557</v>
      </c>
      <c r="AV60">
        <v>6.1933920100719035</v>
      </c>
      <c r="AW60">
        <v>398.89745666190322</v>
      </c>
    </row>
    <row r="61" spans="4:49" ht="17" x14ac:dyDescent="0.2">
      <c r="D61" s="1">
        <f t="shared" si="34"/>
        <v>46082</v>
      </c>
      <c r="E61" s="6">
        <f t="shared" si="2"/>
        <v>0.5</v>
      </c>
      <c r="F61" s="2">
        <f t="shared" si="3"/>
        <v>2461101.3333333335</v>
      </c>
      <c r="G61" s="3">
        <f t="shared" si="4"/>
        <v>0.2616381473876383</v>
      </c>
      <c r="I61">
        <f t="shared" si="5"/>
        <v>339.64120360539164</v>
      </c>
      <c r="J61">
        <f t="shared" si="6"/>
        <v>9776.2539250685641</v>
      </c>
      <c r="K61">
        <f t="shared" si="7"/>
        <v>1.6697626844010559E-2</v>
      </c>
      <c r="L61">
        <f t="shared" si="8"/>
        <v>1.60945947803698</v>
      </c>
      <c r="M61">
        <f t="shared" si="9"/>
        <v>341.25066308342861</v>
      </c>
      <c r="N61">
        <f t="shared" si="10"/>
        <v>9777.8633845466011</v>
      </c>
      <c r="O61">
        <f t="shared" si="11"/>
        <v>0.99092071753376842</v>
      </c>
      <c r="P61">
        <f t="shared" si="12"/>
        <v>341.24668637506068</v>
      </c>
      <c r="Q61">
        <f t="shared" si="13"/>
        <v>23.435888722837021</v>
      </c>
      <c r="R61">
        <f t="shared" si="14"/>
        <v>23.43827862852109</v>
      </c>
      <c r="S61">
        <f t="shared" si="15"/>
        <v>-17.30205992382783</v>
      </c>
      <c r="T61" s="19">
        <f t="shared" si="16"/>
        <v>-7.3469784093638895</v>
      </c>
      <c r="U61">
        <f t="shared" si="17"/>
        <v>4.303070576777196E-2</v>
      </c>
      <c r="V61">
        <f t="shared" si="18"/>
        <v>-12.246135823310137</v>
      </c>
      <c r="W61">
        <f t="shared" si="19"/>
        <v>85.36584738409087</v>
      </c>
      <c r="X61" s="6">
        <f t="shared" si="20"/>
        <v>0.51392612209952093</v>
      </c>
      <c r="Y61" s="6">
        <f t="shared" si="21"/>
        <v>0.27679876825482402</v>
      </c>
      <c r="Z61" s="6">
        <f t="shared" si="22"/>
        <v>0.75105347594421767</v>
      </c>
      <c r="AA61" s="19">
        <f t="shared" si="23"/>
        <v>682.92677907272696</v>
      </c>
      <c r="AB61">
        <f t="shared" si="24"/>
        <v>699.94638417668989</v>
      </c>
      <c r="AC61">
        <f t="shared" si="25"/>
        <v>-5.0134039558275276</v>
      </c>
      <c r="AD61">
        <f t="shared" si="0"/>
        <v>45.190274482898417</v>
      </c>
      <c r="AE61">
        <f t="shared" si="26"/>
        <v>44.809725517101583</v>
      </c>
      <c r="AF61">
        <f t="shared" si="27"/>
        <v>1.6226627164299397E-2</v>
      </c>
      <c r="AG61">
        <f t="shared" si="28"/>
        <v>44.825952144265884</v>
      </c>
      <c r="AH61">
        <f t="shared" si="1"/>
        <v>172.98283261768518</v>
      </c>
      <c r="AK61">
        <f t="shared" si="29"/>
        <v>-0.12787784774653144</v>
      </c>
      <c r="AL61">
        <f t="shared" si="35"/>
        <v>0.99178992536510213</v>
      </c>
      <c r="AM61">
        <f t="shared" si="30"/>
        <v>683</v>
      </c>
      <c r="AN61">
        <f t="shared" si="31"/>
        <v>-341.5</v>
      </c>
      <c r="AO61">
        <f t="shared" si="32"/>
        <v>341.5</v>
      </c>
      <c r="AP61" s="16" cm="1">
        <f t="array" ref="AP61">SUMPRODUCT(1362*POWER(0.7,POWER(1/($AI$2*AK61+$AJ$2*AL61*COS(RADIANS(0.25*(_xlfn.SEQUENCE(AO61-AN61,1,AN61+1))))+0.50572*POWER(96.07995-DEGREES(ACOS($AI$2*AK61+$AJ$2*AL61*COS(RADIANS(0.25*(_xlfn.SEQUENCE(AO61-AN61,1,AN61+1)))))),-1.6364)),0.678))*IF(AL61*COS(RADIANS(0.25*(_xlfn.SEQUENCE(AO61-AN61,1,AN61+1))))&gt;0,AL61*COS(RADIANS(0.25*(_xlfn.SEQUENCE(AO61-AN61,1,AN61+1)))),0)/60)</f>
        <v>5767.3432783691187</v>
      </c>
      <c r="AQ61" s="17" cm="1">
        <f t="array" ref="AQ61">SUMPRODUCT(1362*POWER(0.7,POWER(1/($AI$2*AK61+$AJ$2*AL61*COS(RADIANS(0.25*(_xlfn.SEQUENCE(AO61-AN61,1,AN61+1))))+0.50572*POWER(96.07995-DEGREES(ACOS($AI$2*AK61+$AJ$2*AL61*COS(RADIANS(0.25*(_xlfn.SEQUENCE(AO61-AN61,1,AN61+1)))))),-1.6364)),0.678))/60)</f>
        <v>7625.4714559613512</v>
      </c>
      <c r="AR61" s="15">
        <f t="shared" si="33"/>
        <v>1.322180957142137</v>
      </c>
      <c r="AT61">
        <v>0.15813854387874424</v>
      </c>
      <c r="AU61">
        <v>80.90113286370196</v>
      </c>
      <c r="AV61">
        <v>6.0960876613818691</v>
      </c>
      <c r="AW61">
        <v>404.16308763229966</v>
      </c>
    </row>
    <row r="62" spans="4:49" ht="17" x14ac:dyDescent="0.2">
      <c r="D62" s="1">
        <f t="shared" si="34"/>
        <v>46083</v>
      </c>
      <c r="E62" s="6">
        <f t="shared" si="2"/>
        <v>0.5</v>
      </c>
      <c r="F62" s="2">
        <f t="shared" si="3"/>
        <v>2461102.3333333335</v>
      </c>
      <c r="G62" s="3">
        <f t="shared" si="4"/>
        <v>0.26166552589550962</v>
      </c>
      <c r="I62">
        <f t="shared" si="5"/>
        <v>340.62685096990026</v>
      </c>
      <c r="J62">
        <f t="shared" si="6"/>
        <v>9777.2395253480845</v>
      </c>
      <c r="K62">
        <f t="shared" si="7"/>
        <v>1.669762569128496E-2</v>
      </c>
      <c r="L62">
        <f t="shared" si="8"/>
        <v>1.6272182928423533</v>
      </c>
      <c r="M62">
        <f t="shared" si="9"/>
        <v>342.25406926274263</v>
      </c>
      <c r="N62">
        <f t="shared" si="10"/>
        <v>9778.8667436409269</v>
      </c>
      <c r="O62">
        <f t="shared" si="11"/>
        <v>0.99116530099419098</v>
      </c>
      <c r="P62">
        <f t="shared" si="12"/>
        <v>342.25009667787208</v>
      </c>
      <c r="Q62">
        <f t="shared" si="13"/>
        <v>23.435888366802825</v>
      </c>
      <c r="R62">
        <f t="shared" si="14"/>
        <v>23.438277423424015</v>
      </c>
      <c r="S62">
        <f t="shared" si="15"/>
        <v>-16.366926546603359</v>
      </c>
      <c r="T62" s="19">
        <f t="shared" si="16"/>
        <v>-6.9649686675588089</v>
      </c>
      <c r="U62">
        <f t="shared" si="17"/>
        <v>4.3030701216993282E-2</v>
      </c>
      <c r="V62">
        <f t="shared" si="18"/>
        <v>-12.042083754104299</v>
      </c>
      <c r="W62">
        <f t="shared" si="19"/>
        <v>85.664701163166299</v>
      </c>
      <c r="X62" s="6">
        <f t="shared" si="20"/>
        <v>0.51378441927368357</v>
      </c>
      <c r="Y62" s="6">
        <f t="shared" si="21"/>
        <v>0.27582691604266607</v>
      </c>
      <c r="Z62" s="6">
        <f t="shared" si="22"/>
        <v>0.75174192250470107</v>
      </c>
      <c r="AA62" s="19">
        <f t="shared" si="23"/>
        <v>685.31760930533039</v>
      </c>
      <c r="AB62">
        <f t="shared" si="24"/>
        <v>700.15043624589566</v>
      </c>
      <c r="AC62">
        <f t="shared" si="25"/>
        <v>-4.9623909385260845</v>
      </c>
      <c r="AD62">
        <f t="shared" si="0"/>
        <v>44.805150816144291</v>
      </c>
      <c r="AE62">
        <f t="shared" si="26"/>
        <v>45.194849183855709</v>
      </c>
      <c r="AF62">
        <f t="shared" si="27"/>
        <v>1.6010462915672801E-2</v>
      </c>
      <c r="AG62">
        <f t="shared" si="28"/>
        <v>45.210859646771382</v>
      </c>
      <c r="AH62">
        <f t="shared" si="1"/>
        <v>173.00144207284768</v>
      </c>
      <c r="AK62">
        <f t="shared" si="29"/>
        <v>-0.12126246594463189</v>
      </c>
      <c r="AL62">
        <f t="shared" si="35"/>
        <v>0.99262047850778645</v>
      </c>
      <c r="AM62">
        <f t="shared" si="30"/>
        <v>685</v>
      </c>
      <c r="AN62">
        <f t="shared" si="31"/>
        <v>-342.5</v>
      </c>
      <c r="AO62">
        <f t="shared" si="32"/>
        <v>342.5</v>
      </c>
      <c r="AP62" s="16" cm="1">
        <f t="array" ref="AP62">SUMPRODUCT(1362*POWER(0.7,POWER(1/($AI$2*AK62+$AJ$2*AL62*COS(RADIANS(0.25*(_xlfn.SEQUENCE(AO62-AN62,1,AN62+1))))+0.50572*POWER(96.07995-DEGREES(ACOS($AI$2*AK62+$AJ$2*AL62*COS(RADIANS(0.25*(_xlfn.SEQUENCE(AO62-AN62,1,AN62+1)))))),-1.6364)),0.678))*IF(AL62*COS(RADIANS(0.25*(_xlfn.SEQUENCE(AO62-AN62,1,AN62+1))))&gt;0,AL62*COS(RADIANS(0.25*(_xlfn.SEQUENCE(AO62-AN62,1,AN62+1)))),0)/60)</f>
        <v>5794.2874865743906</v>
      </c>
      <c r="AQ62" s="17" cm="1">
        <f t="array" ref="AQ62">SUMPRODUCT(1362*POWER(0.7,POWER(1/($AI$2*AK62+$AJ$2*AL62*COS(RADIANS(0.25*(_xlfn.SEQUENCE(AO62-AN62,1,AN62+1))))+0.50572*POWER(96.07995-DEGREES(ACOS($AI$2*AK62+$AJ$2*AL62*COS(RADIANS(0.25*(_xlfn.SEQUENCE(AO62-AN62,1,AN62+1)))))),-1.6364)),0.678))/60)</f>
        <v>7671.5966029769179</v>
      </c>
      <c r="AR62" s="15">
        <f t="shared" si="33"/>
        <v>1.3239930916013973</v>
      </c>
      <c r="AT62">
        <v>0.160808394854665</v>
      </c>
      <c r="AU62">
        <v>80.746178548516369</v>
      </c>
      <c r="AV62">
        <v>6.0019608124469563</v>
      </c>
      <c r="AW62">
        <v>409.3492158872815</v>
      </c>
    </row>
    <row r="63" spans="4:49" ht="17" x14ac:dyDescent="0.2">
      <c r="D63" s="1">
        <f t="shared" si="34"/>
        <v>46084</v>
      </c>
      <c r="E63" s="6">
        <f t="shared" si="2"/>
        <v>0.5</v>
      </c>
      <c r="F63" s="2">
        <f t="shared" si="3"/>
        <v>2461103.3333333335</v>
      </c>
      <c r="G63" s="3">
        <f t="shared" si="4"/>
        <v>0.26169290440338094</v>
      </c>
      <c r="I63">
        <f t="shared" si="5"/>
        <v>341.61249833440888</v>
      </c>
      <c r="J63">
        <f t="shared" si="6"/>
        <v>9778.2251256276086</v>
      </c>
      <c r="K63">
        <f t="shared" si="7"/>
        <v>1.6697624538559167E-2</v>
      </c>
      <c r="L63">
        <f t="shared" si="8"/>
        <v>1.6444793825153585</v>
      </c>
      <c r="M63">
        <f t="shared" si="9"/>
        <v>343.25697771692427</v>
      </c>
      <c r="N63">
        <f t="shared" si="10"/>
        <v>9779.8696050101244</v>
      </c>
      <c r="O63">
        <f t="shared" si="11"/>
        <v>0.99141248473490562</v>
      </c>
      <c r="P63">
        <f t="shared" si="12"/>
        <v>343.25300925408413</v>
      </c>
      <c r="Q63">
        <f t="shared" si="13"/>
        <v>23.435888010768632</v>
      </c>
      <c r="R63">
        <f t="shared" si="14"/>
        <v>23.438276216286265</v>
      </c>
      <c r="S63">
        <f t="shared" si="15"/>
        <v>-15.433781603417467</v>
      </c>
      <c r="T63" s="19">
        <f t="shared" si="16"/>
        <v>-6.581315728271588</v>
      </c>
      <c r="U63">
        <f t="shared" si="17"/>
        <v>4.3030696658508692E-2</v>
      </c>
      <c r="V63">
        <f t="shared" si="18"/>
        <v>-11.830091056206532</v>
      </c>
      <c r="W63">
        <f t="shared" si="19"/>
        <v>85.964279770676072</v>
      </c>
      <c r="X63" s="6">
        <f t="shared" si="20"/>
        <v>0.51363720212236563</v>
      </c>
      <c r="Y63" s="6">
        <f t="shared" si="21"/>
        <v>0.2748475360927099</v>
      </c>
      <c r="Z63" s="6">
        <f t="shared" si="22"/>
        <v>0.75242686815202131</v>
      </c>
      <c r="AA63" s="19">
        <f t="shared" si="23"/>
        <v>687.71423816540857</v>
      </c>
      <c r="AB63">
        <f t="shared" si="24"/>
        <v>700.36242894379347</v>
      </c>
      <c r="AC63">
        <f t="shared" si="25"/>
        <v>-4.9093927640516313</v>
      </c>
      <c r="AD63">
        <f t="shared" si="0"/>
        <v>44.418201098478946</v>
      </c>
      <c r="AE63">
        <f t="shared" si="26"/>
        <v>45.581798901521054</v>
      </c>
      <c r="AF63">
        <f t="shared" si="27"/>
        <v>1.57961406237433E-2</v>
      </c>
      <c r="AG63">
        <f t="shared" si="28"/>
        <v>45.597595042144796</v>
      </c>
      <c r="AH63">
        <f t="shared" si="1"/>
        <v>173.02300007701285</v>
      </c>
      <c r="AK63">
        <f t="shared" si="29"/>
        <v>-0.1146132034820448</v>
      </c>
      <c r="AL63">
        <f t="shared" si="35"/>
        <v>0.9934101940223804</v>
      </c>
      <c r="AM63">
        <f t="shared" si="30"/>
        <v>688</v>
      </c>
      <c r="AN63">
        <f t="shared" si="31"/>
        <v>-344</v>
      </c>
      <c r="AO63">
        <f t="shared" si="32"/>
        <v>344</v>
      </c>
      <c r="AP63" s="16" cm="1">
        <f t="array" ref="AP63">SUMPRODUCT(1362*POWER(0.7,POWER(1/($AI$2*AK63+$AJ$2*AL63*COS(RADIANS(0.25*(_xlfn.SEQUENCE(AO63-AN63,1,AN63+1))))+0.50572*POWER(96.07995-DEGREES(ACOS($AI$2*AK63+$AJ$2*AL63*COS(RADIANS(0.25*(_xlfn.SEQUENCE(AO63-AN63,1,AN63+1)))))),-1.6364)),0.678))*IF(AL63*COS(RADIANS(0.25*(_xlfn.SEQUENCE(AO63-AN63,1,AN63+1))))&gt;0,AL63*COS(RADIANS(0.25*(_xlfn.SEQUENCE(AO63-AN63,1,AN63+1)))),0)/60)</f>
        <v>5820.8144695594974</v>
      </c>
      <c r="AQ63" s="17" cm="1">
        <f t="array" ref="AQ63">SUMPRODUCT(1362*POWER(0.7,POWER(1/($AI$2*AK63+$AJ$2*AL63*COS(RADIANS(0.25*(_xlfn.SEQUENCE(AO63-AN63,1,AN63+1))))+0.50572*POWER(96.07995-DEGREES(ACOS($AI$2*AK63+$AJ$2*AL63*COS(RADIANS(0.25*(_xlfn.SEQUENCE(AO63-AN63,1,AN63+1)))))),-1.6364)),0.678))/60)</f>
        <v>7717.8159440766431</v>
      </c>
      <c r="AR63" s="15">
        <f t="shared" si="33"/>
        <v>1.3258996630862734</v>
      </c>
      <c r="AT63">
        <v>0.16347065521609513</v>
      </c>
      <c r="AU63">
        <v>80.591596765284265</v>
      </c>
      <c r="AV63">
        <v>5.9108645008391765</v>
      </c>
      <c r="AW63">
        <v>414.45719837696566</v>
      </c>
    </row>
    <row r="64" spans="4:49" ht="17" x14ac:dyDescent="0.2">
      <c r="D64" s="1">
        <f t="shared" si="34"/>
        <v>46085</v>
      </c>
      <c r="E64" s="6">
        <f t="shared" si="2"/>
        <v>0.5</v>
      </c>
      <c r="F64" s="2">
        <f t="shared" si="3"/>
        <v>2461104.3333333335</v>
      </c>
      <c r="G64" s="3">
        <f t="shared" si="4"/>
        <v>0.26172028291125227</v>
      </c>
      <c r="I64">
        <f t="shared" si="5"/>
        <v>342.59814569891751</v>
      </c>
      <c r="J64">
        <f t="shared" si="6"/>
        <v>9779.2107259071308</v>
      </c>
      <c r="K64">
        <f t="shared" si="7"/>
        <v>1.6697623385833187E-2</v>
      </c>
      <c r="L64">
        <f t="shared" si="8"/>
        <v>1.6612379367519063</v>
      </c>
      <c r="M64">
        <f t="shared" si="9"/>
        <v>344.25938363566939</v>
      </c>
      <c r="N64">
        <f t="shared" si="10"/>
        <v>9780.8719638438833</v>
      </c>
      <c r="O64">
        <f t="shared" si="11"/>
        <v>0.99166219175190251</v>
      </c>
      <c r="P64">
        <f t="shared" si="12"/>
        <v>344.25541929338914</v>
      </c>
      <c r="Q64">
        <f t="shared" si="13"/>
        <v>23.435887654734437</v>
      </c>
      <c r="R64">
        <f t="shared" si="14"/>
        <v>23.438275007108562</v>
      </c>
      <c r="S64">
        <f t="shared" si="15"/>
        <v>-14.502547024315703</v>
      </c>
      <c r="T64" s="19">
        <f t="shared" si="16"/>
        <v>-6.1961286894526175</v>
      </c>
      <c r="U64">
        <f t="shared" si="17"/>
        <v>4.3030692092320945E-2</v>
      </c>
      <c r="V64">
        <f t="shared" si="18"/>
        <v>-11.610481236491385</v>
      </c>
      <c r="W64">
        <f t="shared" si="19"/>
        <v>86.264527957310023</v>
      </c>
      <c r="X64" s="6">
        <f t="shared" si="20"/>
        <v>0.51348469530311891</v>
      </c>
      <c r="Y64" s="6">
        <f t="shared" si="21"/>
        <v>0.27386100653281331</v>
      </c>
      <c r="Z64" s="6">
        <f t="shared" si="22"/>
        <v>0.75310838407342451</v>
      </c>
      <c r="AA64" s="19">
        <f t="shared" si="23"/>
        <v>690.11622365848018</v>
      </c>
      <c r="AB64">
        <f t="shared" si="24"/>
        <v>700.58203876350854</v>
      </c>
      <c r="AC64">
        <f t="shared" si="25"/>
        <v>-4.8544903091228662</v>
      </c>
      <c r="AD64">
        <f t="shared" si="0"/>
        <v>44.029543585450782</v>
      </c>
      <c r="AE64">
        <f t="shared" si="26"/>
        <v>45.970456414549218</v>
      </c>
      <c r="AF64">
        <f t="shared" si="27"/>
        <v>1.5583689102741565E-2</v>
      </c>
      <c r="AG64">
        <f t="shared" si="28"/>
        <v>45.986040103651959</v>
      </c>
      <c r="AH64">
        <f t="shared" si="1"/>
        <v>173.04747270591702</v>
      </c>
      <c r="AK64">
        <f t="shared" si="29"/>
        <v>-0.10793218354662178</v>
      </c>
      <c r="AL64">
        <f t="shared" si="35"/>
        <v>0.99415825890793585</v>
      </c>
      <c r="AM64">
        <f t="shared" si="30"/>
        <v>690</v>
      </c>
      <c r="AN64">
        <f t="shared" si="31"/>
        <v>-345</v>
      </c>
      <c r="AO64">
        <f t="shared" si="32"/>
        <v>345</v>
      </c>
      <c r="AP64" s="16" cm="1">
        <f t="array" ref="AP64">SUMPRODUCT(1362*POWER(0.7,POWER(1/($AI$2*AK64+$AJ$2*AL64*COS(RADIANS(0.25*(_xlfn.SEQUENCE(AO64-AN64,1,AN64+1))))+0.50572*POWER(96.07995-DEGREES(ACOS($AI$2*AK64+$AJ$2*AL64*COS(RADIANS(0.25*(_xlfn.SEQUENCE(AO64-AN64,1,AN64+1)))))),-1.6364)),0.678))*IF(AL64*COS(RADIANS(0.25*(_xlfn.SEQUENCE(AO64-AN64,1,AN64+1))))&gt;0,AL64*COS(RADIANS(0.25*(_xlfn.SEQUENCE(AO64-AN64,1,AN64+1)))),0)/60)</f>
        <v>5846.8914988841889</v>
      </c>
      <c r="AQ64" s="17" cm="1">
        <f t="array" ref="AQ64">SUMPRODUCT(1362*POWER(0.7,POWER(1/($AI$2*AK64+$AJ$2*AL64*COS(RADIANS(0.25*(_xlfn.SEQUENCE(AO64-AN64,1,AN64+1))))+0.50572*POWER(96.07995-DEGREES(ACOS($AI$2*AK64+$AJ$2*AL64*COS(RADIANS(0.25*(_xlfn.SEQUENCE(AO64-AN64,1,AN64+1)))))),-1.6364)),0.678))/60)</f>
        <v>7763.8735491949647</v>
      </c>
      <c r="AR64" s="15">
        <f t="shared" si="33"/>
        <v>1.3278634554235544</v>
      </c>
      <c r="AT64">
        <v>0.16612527427743481</v>
      </c>
      <c r="AU64">
        <v>80.437389828808975</v>
      </c>
      <c r="AV64">
        <v>5.8226605197831542</v>
      </c>
      <c r="AW64">
        <v>419.48838413317668</v>
      </c>
    </row>
    <row r="65" spans="4:49" ht="17" x14ac:dyDescent="0.2">
      <c r="D65" s="1">
        <f t="shared" si="34"/>
        <v>46086</v>
      </c>
      <c r="E65" s="6">
        <f t="shared" si="2"/>
        <v>0.5</v>
      </c>
      <c r="F65" s="2">
        <f t="shared" si="3"/>
        <v>2461105.3333333335</v>
      </c>
      <c r="G65" s="3">
        <f t="shared" si="4"/>
        <v>0.26174766141912359</v>
      </c>
      <c r="I65">
        <f t="shared" si="5"/>
        <v>343.58379306342795</v>
      </c>
      <c r="J65">
        <f t="shared" si="6"/>
        <v>9780.1963261866513</v>
      </c>
      <c r="K65">
        <f t="shared" si="7"/>
        <v>1.6697622233107019E-2</v>
      </c>
      <c r="L65">
        <f t="shared" si="8"/>
        <v>1.6774893128973021</v>
      </c>
      <c r="M65">
        <f t="shared" si="9"/>
        <v>345.26128237632525</v>
      </c>
      <c r="N65">
        <f t="shared" si="10"/>
        <v>9781.8738154995481</v>
      </c>
      <c r="O65">
        <f t="shared" si="11"/>
        <v>0.99191434437105486</v>
      </c>
      <c r="P65">
        <f t="shared" si="12"/>
        <v>345.25732215313087</v>
      </c>
      <c r="Q65">
        <f t="shared" si="13"/>
        <v>23.435887298700241</v>
      </c>
      <c r="R65">
        <f t="shared" si="14"/>
        <v>23.438273795891632</v>
      </c>
      <c r="S65">
        <f t="shared" si="15"/>
        <v>-13.573143761960988</v>
      </c>
      <c r="T65" s="19">
        <f t="shared" si="16"/>
        <v>-5.8095161369562947</v>
      </c>
      <c r="U65">
        <f t="shared" si="17"/>
        <v>4.3030687518432781E-2</v>
      </c>
      <c r="V65">
        <f t="shared" si="18"/>
        <v>-11.383581301529958</v>
      </c>
      <c r="W65">
        <f t="shared" si="19"/>
        <v>86.565392027306615</v>
      </c>
      <c r="X65" s="6">
        <f t="shared" si="20"/>
        <v>0.51332712590384033</v>
      </c>
      <c r="Y65" s="6">
        <f t="shared" si="21"/>
        <v>0.2728677036057664</v>
      </c>
      <c r="Z65" s="6">
        <f t="shared" si="22"/>
        <v>0.75378654820191426</v>
      </c>
      <c r="AA65" s="19">
        <f t="shared" si="23"/>
        <v>692.52313621845292</v>
      </c>
      <c r="AB65">
        <f t="shared" si="24"/>
        <v>700.80893869847</v>
      </c>
      <c r="AC65">
        <f t="shared" si="25"/>
        <v>-4.7977653253824997</v>
      </c>
      <c r="AD65">
        <f t="shared" si="0"/>
        <v>43.63929626861993</v>
      </c>
      <c r="AE65">
        <f t="shared" si="26"/>
        <v>46.36070373138007</v>
      </c>
      <c r="AF65">
        <f t="shared" si="27"/>
        <v>1.5373134254589669E-2</v>
      </c>
      <c r="AG65">
        <f t="shared" si="28"/>
        <v>46.376076865634658</v>
      </c>
      <c r="AH65">
        <f t="shared" si="1"/>
        <v>173.07482369441686</v>
      </c>
      <c r="AK65">
        <f t="shared" si="29"/>
        <v>-0.10122153345788322</v>
      </c>
      <c r="AL65">
        <f t="shared" si="35"/>
        <v>0.99486391087647497</v>
      </c>
      <c r="AM65">
        <f t="shared" si="30"/>
        <v>693</v>
      </c>
      <c r="AN65">
        <f t="shared" si="31"/>
        <v>-346.5</v>
      </c>
      <c r="AO65">
        <f t="shared" si="32"/>
        <v>346.5</v>
      </c>
      <c r="AP65" s="16" cm="1">
        <f t="array" ref="AP65">SUMPRODUCT(1362*POWER(0.7,POWER(1/($AI$2*AK65+$AJ$2*AL65*COS(RADIANS(0.25*(_xlfn.SEQUENCE(AO65-AN65,1,AN65+1))))+0.50572*POWER(96.07995-DEGREES(ACOS($AI$2*AK65+$AJ$2*AL65*COS(RADIANS(0.25*(_xlfn.SEQUENCE(AO65-AN65,1,AN65+1)))))),-1.6364)),0.678))*IF(AL65*COS(RADIANS(0.25*(_xlfn.SEQUENCE(AO65-AN65,1,AN65+1))))&gt;0,AL65*COS(RADIANS(0.25*(_xlfn.SEQUENCE(AO65-AN65,1,AN65+1)))),0)/60)</f>
        <v>5872.5204566030588</v>
      </c>
      <c r="AQ65" s="17" cm="1">
        <f t="array" ref="AQ65">SUMPRODUCT(1362*POWER(0.7,POWER(1/($AI$2*AK65+$AJ$2*AL65*COS(RADIANS(0.25*(_xlfn.SEQUENCE(AO65-AN65,1,AN65+1))))+0.50572*POWER(96.07995-DEGREES(ACOS($AI$2*AK65+$AJ$2*AL65*COS(RADIANS(0.25*(_xlfn.SEQUENCE(AO65-AN65,1,AN65+1)))))),-1.6364)),0.678))/60)</f>
        <v>7809.9986136141633</v>
      </c>
      <c r="AR65" s="15">
        <f t="shared" si="33"/>
        <v>1.3299227599680143</v>
      </c>
      <c r="AT65">
        <v>0.16877220149856367</v>
      </c>
      <c r="AU65">
        <v>80.283560065201968</v>
      </c>
      <c r="AV65">
        <v>5.7372187876305523</v>
      </c>
      <c r="AW65">
        <v>424.4441119018756</v>
      </c>
    </row>
    <row r="66" spans="4:49" ht="17" x14ac:dyDescent="0.2">
      <c r="D66" s="1">
        <f t="shared" si="34"/>
        <v>46087</v>
      </c>
      <c r="E66" s="6">
        <f t="shared" si="2"/>
        <v>0.5</v>
      </c>
      <c r="F66" s="2">
        <f t="shared" si="3"/>
        <v>2461106.3333333335</v>
      </c>
      <c r="G66" s="3">
        <f t="shared" si="4"/>
        <v>0.26177503992699491</v>
      </c>
      <c r="I66">
        <f t="shared" si="5"/>
        <v>344.56944042793839</v>
      </c>
      <c r="J66">
        <f t="shared" si="6"/>
        <v>9781.1819264661754</v>
      </c>
      <c r="K66">
        <f t="shared" si="7"/>
        <v>1.6697621080380656E-2</v>
      </c>
      <c r="L66">
        <f t="shared" si="8"/>
        <v>1.6932290368938352</v>
      </c>
      <c r="M66">
        <f t="shared" si="9"/>
        <v>346.26266946483224</v>
      </c>
      <c r="N66">
        <f t="shared" si="10"/>
        <v>9782.8751555030685</v>
      </c>
      <c r="O66">
        <f t="shared" si="11"/>
        <v>0.99216886427558115</v>
      </c>
      <c r="P66">
        <f t="shared" si="12"/>
        <v>346.25871335924626</v>
      </c>
      <c r="Q66">
        <f t="shared" si="13"/>
        <v>23.435886942666048</v>
      </c>
      <c r="R66">
        <f t="shared" si="14"/>
        <v>23.438272582636213</v>
      </c>
      <c r="S66">
        <f t="shared" si="15"/>
        <v>-12.645491870831929</v>
      </c>
      <c r="T66" s="19">
        <f t="shared" si="16"/>
        <v>-5.4215861426388967</v>
      </c>
      <c r="U66">
        <f t="shared" si="17"/>
        <v>4.303068293684699E-2</v>
      </c>
      <c r="V66">
        <f t="shared" si="18"/>
        <v>-11.149721368551774</v>
      </c>
      <c r="W66">
        <f t="shared" si="19"/>
        <v>86.866819756847576</v>
      </c>
      <c r="X66" s="6">
        <f t="shared" si="20"/>
        <v>0.51316472317260542</v>
      </c>
      <c r="Y66" s="6">
        <f t="shared" si="21"/>
        <v>0.27186800162580654</v>
      </c>
      <c r="Z66" s="6">
        <f t="shared" si="22"/>
        <v>0.75446144471940424</v>
      </c>
      <c r="AA66" s="19">
        <f t="shared" si="23"/>
        <v>694.93455805478061</v>
      </c>
      <c r="AB66">
        <f t="shared" si="24"/>
        <v>701.04279863144825</v>
      </c>
      <c r="AC66">
        <f t="shared" si="25"/>
        <v>-4.7393003421379376</v>
      </c>
      <c r="AD66">
        <f t="shared" ref="AD66:AD129" si="36">DEGREES(ACOS(SIN(RADIANS($B$2))*SIN(RADIANS(T66))+COS(RADIANS($B$2))*COS(RADIANS(T66))*COS(RADIANS(AC66))))</f>
        <v>43.247576842592274</v>
      </c>
      <c r="AE66">
        <f t="shared" si="26"/>
        <v>46.752423157407726</v>
      </c>
      <c r="AF66">
        <f t="shared" si="27"/>
        <v>1.516449923038176E-2</v>
      </c>
      <c r="AG66">
        <f t="shared" si="28"/>
        <v>46.767587656638106</v>
      </c>
      <c r="AH66">
        <f t="shared" ref="AH66:AH129" si="37">IF(AC66&gt;0,MOD(DEGREES(ACOS(((SIN(RADIANS($B$2))*COS(RADIANS(AD66)))-SIN(RADIANS(T66)))/(COS(RADIANS($B$2))*SIN(RADIANS(AD66)))))+180,360),MOD(540-DEGREES(ACOS(((SIN(RADIANS($B$2))*COS(RADIANS(AD66)))-SIN(RADIANS(T66)))/(COS(RADIANS($B$2))*SIN(RADIANS(AD66))))),360))</f>
        <v>173.10501444245597</v>
      </c>
      <c r="AK66">
        <f t="shared" si="29"/>
        <v>-9.4483383866068041E-2</v>
      </c>
      <c r="AL66">
        <f t="shared" si="35"/>
        <v>0.99552643871130675</v>
      </c>
      <c r="AM66">
        <f t="shared" si="30"/>
        <v>695</v>
      </c>
      <c r="AN66">
        <f t="shared" si="31"/>
        <v>-347.5</v>
      </c>
      <c r="AO66">
        <f t="shared" si="32"/>
        <v>347.5</v>
      </c>
      <c r="AP66" s="16" cm="1">
        <f t="array" ref="AP66">SUMPRODUCT(1362*POWER(0.7,POWER(1/($AI$2*AK66+$AJ$2*AL66*COS(RADIANS(0.25*(_xlfn.SEQUENCE(AO66-AN66,1,AN66+1))))+0.50572*POWER(96.07995-DEGREES(ACOS($AI$2*AK66+$AJ$2*AL66*COS(RADIANS(0.25*(_xlfn.SEQUENCE(AO66-AN66,1,AN66+1)))))),-1.6364)),0.678))*IF(AL66*COS(RADIANS(0.25*(_xlfn.SEQUENCE(AO66-AN66,1,AN66+1))))&gt;0,AL66*COS(RADIANS(0.25*(_xlfn.SEQUENCE(AO66-AN66,1,AN66+1)))),0)/60)</f>
        <v>5897.672876181603</v>
      </c>
      <c r="AQ66" s="17" cm="1">
        <f t="array" ref="AQ66">SUMPRODUCT(1362*POWER(0.7,POWER(1/($AI$2*AK66+$AJ$2*AL66*COS(RADIANS(0.25*(_xlfn.SEQUENCE(AO66-AN66,1,AN66+1))))+0.50572*POWER(96.07995-DEGREES(ACOS($AI$2*AK66+$AJ$2*AL66*COS(RADIANS(0.25*(_xlfn.SEQUENCE(AO66-AN66,1,AN66+1)))))),-1.6364)),0.678))/60)</f>
        <v>7855.9419410068731</v>
      </c>
      <c r="AR66" s="15">
        <f t="shared" si="33"/>
        <v>1.3320409771681223</v>
      </c>
      <c r="AT66">
        <v>0.17141138648580304</v>
      </c>
      <c r="AU66">
        <v>80.130109811891487</v>
      </c>
      <c r="AV66">
        <v>5.6544167701510197</v>
      </c>
      <c r="AW66">
        <v>429.32570810450738</v>
      </c>
    </row>
    <row r="67" spans="4:49" ht="17" x14ac:dyDescent="0.2">
      <c r="D67" s="1">
        <f t="shared" si="34"/>
        <v>46088</v>
      </c>
      <c r="E67" s="6">
        <f t="shared" ref="E67:E130" si="38">$B$5</f>
        <v>0.5</v>
      </c>
      <c r="F67" s="2">
        <f t="shared" ref="F67:F130" si="39">D67+2415018.5+E67-$B$4/24</f>
        <v>2461107.3333333335</v>
      </c>
      <c r="G67" s="3">
        <f t="shared" ref="G67:G130" si="40">(F67-2451545)/36525</f>
        <v>0.26180241843486624</v>
      </c>
      <c r="I67">
        <f t="shared" ref="I67:I130" si="41">MOD(280.46646+G67*(36000.76983 + G67*0.0003032),360)</f>
        <v>345.55508779244883</v>
      </c>
      <c r="J67">
        <f t="shared" ref="J67:J130" si="42">357.52911+G67*(35999.05029 - 0.0001537*G67)</f>
        <v>9782.1675267456976</v>
      </c>
      <c r="K67">
        <f t="shared" ref="K67:K130" si="43">0.016708634-G67*(0.000042037+0.0000001267*G67)</f>
        <v>1.6697619927654107E-2</v>
      </c>
      <c r="L67">
        <f t="shared" ref="L67:L130" si="44">SIN(RADIANS(J67))*(1.914602-G67*(0.004817+0.000014*G67))+SIN(RADIANS(2*J67))*(0.019993-0.000101*G67)+SIN(RADIANS(3*J67))*0.000289</f>
        <v>1.7084528041559606</v>
      </c>
      <c r="M67">
        <f t="shared" ref="M67:M130" si="45">I67+L67</f>
        <v>347.2635405966048</v>
      </c>
      <c r="N67">
        <f t="shared" ref="N67:N130" si="46">J67+L67</f>
        <v>9783.8759795498536</v>
      </c>
      <c r="O67">
        <f t="shared" ref="O67:O130" si="47">(1.000001018*(1-K67*K67))/(1+K67*COS(RADIANS(N67)))</f>
        <v>0.99242567253358216</v>
      </c>
      <c r="P67">
        <f t="shared" ref="P67:P130" si="48">M67-0.00569-0.00478*SIN(RADIANS(125.04-1934.136*G67))</f>
        <v>347.2595886071461</v>
      </c>
      <c r="Q67">
        <f t="shared" ref="Q67:Q130" si="49">23+(26+((21.448-G67*(46.815+G67*(0.00059-G67*0.001813))))/60)/60</f>
        <v>23.435886586631852</v>
      </c>
      <c r="R67">
        <f t="shared" ref="R67:R130" si="50">Q67+0.00256*COS(RADIANS(125.04-1934.136*G67))</f>
        <v>23.438271367343027</v>
      </c>
      <c r="S67">
        <f t="shared" ref="S67:S130" si="51">DEGREES(ATAN2(COS(RADIANS(P67)),COS(RADIANS(R67))*SIN(RADIANS(P67))))</f>
        <v>-11.719510584382945</v>
      </c>
      <c r="T67" s="19">
        <f t="shared" ref="T67:T130" si="52">DEGREES(ASIN(SIN(RADIANS(R67))*SIN(RADIANS(P67))))</f>
        <v>-5.0324462639188257</v>
      </c>
      <c r="U67">
        <f t="shared" ref="U67:U130" si="53">TAN(RADIANS(R67/2))*TAN(RADIANS(R67/2))</f>
        <v>4.3030678347566284E-2</v>
      </c>
      <c r="V67">
        <f t="shared" ref="V67:V130" si="54">4*DEGREES(U67*SIN(2*RADIANS(I67))-2*K67*SIN(RADIANS(J67))+4*K67*U67*SIN(RADIANS(J67))*COS(2*RADIANS(I67))-0.5*U67*U67*SIN(4*RADIANS(I67))-1.25*K67*K67*SIN(2*RADIANS(J67)))</f>
        <v>-10.909234290447193</v>
      </c>
      <c r="W67">
        <f t="shared" ref="W67:W130" si="55">DEGREES(ACOS(COS(RADIANS(90.833))/(COS(RADIANS($B$2))*COS(RADIANS(T67)))-TAN(RADIANS($B$2))*TAN(RADIANS(T67))))</f>
        <v>87.168760311561002</v>
      </c>
      <c r="X67" s="6">
        <f t="shared" ref="X67:X130" si="56">(720-4*$B$3-V67+$B$4*60)/1440</f>
        <v>0.51299771825725493</v>
      </c>
      <c r="Y67" s="6">
        <f t="shared" ref="Y67:Y130" si="57">(X67*1440-W67*4)/1440</f>
        <v>0.2708622729473632</v>
      </c>
      <c r="Z67" s="6">
        <f t="shared" ref="Z67:Z130" si="58">(X67*1440+W67*4)/1440</f>
        <v>0.75513316356714655</v>
      </c>
      <c r="AA67" s="19">
        <f t="shared" ref="AA67:AA130" si="59">8*W67</f>
        <v>697.35008249248801</v>
      </c>
      <c r="AB67">
        <f t="shared" ref="AB67:AB130" si="60">MOD(E67*1440+V67+4*$B$3-60*$B$4,1440)</f>
        <v>701.28328570955273</v>
      </c>
      <c r="AC67">
        <f t="shared" ref="AC67:AC130" si="61">IF(AB67/4&lt;0,AB67/4+180,AB67/4-180)</f>
        <v>-4.6791785726118178</v>
      </c>
      <c r="AD67">
        <f t="shared" si="36"/>
        <v>42.854502673642124</v>
      </c>
      <c r="AE67">
        <f t="shared" ref="AE67:AE130" si="62">90-AD67</f>
        <v>47.145497326357876</v>
      </c>
      <c r="AF67">
        <f t="shared" ref="AF67:AF130" si="63">IF(AE67&gt;85,0,IF(AE67&gt;5,58.1/TAN(RADIANS(AE67))-0.07/POWER(TAN(RADIANS(AE67)),3)+0.000086/POWER(TAN(RADIANS(AE67)),5),IF(AE67&gt;-0.575,1735+AE67*(-518.2+AE67*(103.4+AE67*(-12.79+AE67*0.711))),-20.772/TAN(RADIANS(AE67)))))/3600</f>
        <v>1.4957804587367637E-2</v>
      </c>
      <c r="AG67">
        <f t="shared" ref="AG67:AG130" si="64">AE67+AF67</f>
        <v>47.160455130945245</v>
      </c>
      <c r="AH67">
        <f t="shared" si="37"/>
        <v>173.13800401818162</v>
      </c>
      <c r="AK67">
        <f t="shared" ref="AK67:AK130" si="65">SIN(RADIANS(T67))</f>
        <v>-8.7719867957760919E-2</v>
      </c>
      <c r="AL67">
        <f t="shared" ref="AL67:AL130" si="66">COS(RADIANS(T67))</f>
        <v>0.99614518257404272</v>
      </c>
      <c r="AM67">
        <f t="shared" ref="AM67:AM130" si="67">ROUND(AA67,0)</f>
        <v>697</v>
      </c>
      <c r="AN67">
        <f t="shared" ref="AN67:AN130" si="68">-AM67/2</f>
        <v>-348.5</v>
      </c>
      <c r="AO67">
        <f t="shared" ref="AO67:AO130" si="69">AM67/2</f>
        <v>348.5</v>
      </c>
      <c r="AP67" s="16" cm="1">
        <f t="array" ref="AP67">SUMPRODUCT(1362*POWER(0.7,POWER(1/($AI$2*AK67+$AJ$2*AL67*COS(RADIANS(0.25*(_xlfn.SEQUENCE(AO67-AN67,1,AN67+1))))+0.50572*POWER(96.07995-DEGREES(ACOS($AI$2*AK67+$AJ$2*AL67*COS(RADIANS(0.25*(_xlfn.SEQUENCE(AO67-AN67,1,AN67+1)))))),-1.6364)),0.678))*IF(AL67*COS(RADIANS(0.25*(_xlfn.SEQUENCE(AO67-AN67,1,AN67+1))))&gt;0,AL67*COS(RADIANS(0.25*(_xlfn.SEQUENCE(AO67-AN67,1,AN67+1)))),0)/60)</f>
        <v>5922.3431503964057</v>
      </c>
      <c r="AQ67" s="17" cm="1">
        <f t="array" ref="AQ67">SUMPRODUCT(1362*POWER(0.7,POWER(1/($AI$2*AK67+$AJ$2*AL67*COS(RADIANS(0.25*(_xlfn.SEQUENCE(AO67-AN67,1,AN67+1))))+0.50572*POWER(96.07995-DEGREES(ACOS($AI$2*AK67+$AJ$2*AL67*COS(RADIANS(0.25*(_xlfn.SEQUENCE(AO67-AN67,1,AN67+1)))))),-1.6364)),0.678))/60)</f>
        <v>7901.8082910194762</v>
      </c>
      <c r="AR67" s="15">
        <f t="shared" ref="AR67:AR130" si="70">AQ67/AP67</f>
        <v>1.3342368198456345</v>
      </c>
      <c r="AT67">
        <v>0.17404277899287487</v>
      </c>
      <c r="AU67">
        <v>79.977041417629977</v>
      </c>
      <c r="AV67">
        <v>5.5741389506290764</v>
      </c>
      <c r="AW67">
        <v>434.13448509158803</v>
      </c>
    </row>
    <row r="68" spans="4:49" ht="17" x14ac:dyDescent="0.2">
      <c r="D68" s="1">
        <f t="shared" ref="D68:D131" si="71">D67+1</f>
        <v>46089</v>
      </c>
      <c r="E68" s="6">
        <f t="shared" si="38"/>
        <v>0.5</v>
      </c>
      <c r="F68" s="2">
        <f t="shared" si="39"/>
        <v>2461108.3333333335</v>
      </c>
      <c r="G68" s="3">
        <f t="shared" si="40"/>
        <v>0.26182979694273756</v>
      </c>
      <c r="I68">
        <f t="shared" si="41"/>
        <v>346.54073515695927</v>
      </c>
      <c r="J68">
        <f t="shared" si="42"/>
        <v>9783.1531270252162</v>
      </c>
      <c r="K68">
        <f t="shared" si="43"/>
        <v>1.6697618774927366E-2</v>
      </c>
      <c r="L68">
        <f t="shared" si="44"/>
        <v>1.7231564803746651</v>
      </c>
      <c r="M68">
        <f t="shared" si="45"/>
        <v>348.26389163733393</v>
      </c>
      <c r="N68">
        <f t="shared" si="46"/>
        <v>9784.8762835055913</v>
      </c>
      <c r="O68">
        <f t="shared" si="47"/>
        <v>0.99268468962564704</v>
      </c>
      <c r="P68">
        <f t="shared" si="48"/>
        <v>348.25994376251793</v>
      </c>
      <c r="Q68">
        <f t="shared" si="49"/>
        <v>23.43588623059766</v>
      </c>
      <c r="R68">
        <f t="shared" si="50"/>
        <v>23.438270150012823</v>
      </c>
      <c r="S68">
        <f t="shared" si="51"/>
        <v>-10.795118390238803</v>
      </c>
      <c r="T68" s="19">
        <f t="shared" si="52"/>
        <v>-4.6422035447143699</v>
      </c>
      <c r="U68">
        <f t="shared" si="53"/>
        <v>4.3030673750593523E-2</v>
      </c>
      <c r="V68">
        <f t="shared" si="54"/>
        <v>-10.662455294987698</v>
      </c>
      <c r="W68">
        <f t="shared" si="55"/>
        <v>87.471164163289416</v>
      </c>
      <c r="X68" s="6">
        <f t="shared" si="56"/>
        <v>0.51282634395485249</v>
      </c>
      <c r="Y68" s="6">
        <f t="shared" si="57"/>
        <v>0.26985088794571527</v>
      </c>
      <c r="Z68" s="6">
        <f t="shared" si="58"/>
        <v>0.75580179996398977</v>
      </c>
      <c r="AA68" s="19">
        <f t="shared" si="59"/>
        <v>699.76931330631533</v>
      </c>
      <c r="AB68">
        <f t="shared" si="60"/>
        <v>701.53006470501236</v>
      </c>
      <c r="AC68">
        <f t="shared" si="61"/>
        <v>-4.6174838237469089</v>
      </c>
      <c r="AD68">
        <f t="shared" si="36"/>
        <v>42.460190769929667</v>
      </c>
      <c r="AE68">
        <f t="shared" si="62"/>
        <v>47.539809230070333</v>
      </c>
      <c r="AF68">
        <f t="shared" si="63"/>
        <v>1.4753068441291005E-2</v>
      </c>
      <c r="AG68">
        <f t="shared" si="64"/>
        <v>47.554562298511627</v>
      </c>
      <c r="AH68">
        <f t="shared" si="37"/>
        <v>173.17374915795847</v>
      </c>
      <c r="AK68">
        <f t="shared" si="65"/>
        <v>-8.0933120668607805E-2</v>
      </c>
      <c r="AL68">
        <f t="shared" si="66"/>
        <v>0.99671953426169013</v>
      </c>
      <c r="AM68">
        <f t="shared" si="67"/>
        <v>700</v>
      </c>
      <c r="AN68">
        <f t="shared" si="68"/>
        <v>-350</v>
      </c>
      <c r="AO68">
        <f t="shared" si="69"/>
        <v>350</v>
      </c>
      <c r="AP68" s="16" cm="1">
        <f t="array" ref="AP68">SUMPRODUCT(1362*POWER(0.7,POWER(1/($AI$2*AK68+$AJ$2*AL68*COS(RADIANS(0.25*(_xlfn.SEQUENCE(AO68-AN68,1,AN68+1))))+0.50572*POWER(96.07995-DEGREES(ACOS($AI$2*AK68+$AJ$2*AL68*COS(RADIANS(0.25*(_xlfn.SEQUENCE(AO68-AN68,1,AN68+1)))))),-1.6364)),0.678))*IF(AL68*COS(RADIANS(0.25*(_xlfn.SEQUENCE(AO68-AN68,1,AN68+1))))&gt;0,AL68*COS(RADIANS(0.25*(_xlfn.SEQUENCE(AO68-AN68,1,AN68+1)))),0)/60)</f>
        <v>5946.5245288916449</v>
      </c>
      <c r="AQ68" s="17" cm="1">
        <f t="array" ref="AQ68">SUMPRODUCT(1362*POWER(0.7,POWER(1/($AI$2*AK68+$AJ$2*AL68*COS(RADIANS(0.25*(_xlfn.SEQUENCE(AO68-AN68,1,AN68+1))))+0.50572*POWER(96.07995-DEGREES(ACOS($AI$2*AK68+$AJ$2*AL68*COS(RADIANS(0.25*(_xlfn.SEQUENCE(AO68-AN68,1,AN68+1)))))),-1.6364)),0.678))/60)</f>
        <v>7947.7128404761297</v>
      </c>
      <c r="AR68" s="15">
        <f t="shared" si="70"/>
        <v>1.3365307419252301</v>
      </c>
      <c r="AT68">
        <v>0.17666632892185904</v>
      </c>
      <c r="AU68">
        <v>79.824357242499673</v>
      </c>
      <c r="AV68">
        <v>5.4962763432842019</v>
      </c>
      <c r="AW68">
        <v>438.87173965581667</v>
      </c>
    </row>
    <row r="69" spans="4:49" ht="17" x14ac:dyDescent="0.2">
      <c r="D69" s="1">
        <f t="shared" si="71"/>
        <v>46090</v>
      </c>
      <c r="E69" s="6">
        <f t="shared" si="38"/>
        <v>0.5</v>
      </c>
      <c r="F69" s="2">
        <f t="shared" si="39"/>
        <v>2461109.3333333335</v>
      </c>
      <c r="G69" s="3">
        <f t="shared" si="40"/>
        <v>0.26185717545060888</v>
      </c>
      <c r="I69">
        <f t="shared" si="41"/>
        <v>347.52638252147153</v>
      </c>
      <c r="J69">
        <f t="shared" si="42"/>
        <v>9784.1387273047385</v>
      </c>
      <c r="K69">
        <f t="shared" si="43"/>
        <v>1.6697617622200435E-2</v>
      </c>
      <c r="L69">
        <f t="shared" si="44"/>
        <v>1.7373361022506109</v>
      </c>
      <c r="M69">
        <f t="shared" si="45"/>
        <v>349.26371862372213</v>
      </c>
      <c r="N69">
        <f t="shared" si="46"/>
        <v>9785.8760634069895</v>
      </c>
      <c r="O69">
        <f t="shared" si="47"/>
        <v>0.99294583547250892</v>
      </c>
      <c r="P69">
        <f t="shared" si="48"/>
        <v>349.25977486206079</v>
      </c>
      <c r="Q69">
        <f t="shared" si="49"/>
        <v>23.435885874563468</v>
      </c>
      <c r="R69">
        <f t="shared" si="50"/>
        <v>23.438268930646327</v>
      </c>
      <c r="S69">
        <f t="shared" si="51"/>
        <v>-9.8722331034802941</v>
      </c>
      <c r="T69" s="19">
        <f t="shared" si="52"/>
        <v>-4.2509645176658966</v>
      </c>
      <c r="U69">
        <f t="shared" si="53"/>
        <v>4.3030669145931413E-2</v>
      </c>
      <c r="V69">
        <f t="shared" si="54"/>
        <v>-10.409721638331217</v>
      </c>
      <c r="W69">
        <f t="shared" si="55"/>
        <v>87.773983006271905</v>
      </c>
      <c r="X69" s="6">
        <f t="shared" si="56"/>
        <v>0.51265083447106319</v>
      </c>
      <c r="Y69" s="6">
        <f t="shared" si="57"/>
        <v>0.26883421500919674</v>
      </c>
      <c r="Z69" s="6">
        <f t="shared" si="58"/>
        <v>0.75646745393292947</v>
      </c>
      <c r="AA69" s="19">
        <f t="shared" si="59"/>
        <v>702.19186405017524</v>
      </c>
      <c r="AB69">
        <f t="shared" si="60"/>
        <v>701.78279836166871</v>
      </c>
      <c r="AC69">
        <f t="shared" si="61"/>
        <v>-4.5543004095828223</v>
      </c>
      <c r="AD69">
        <f t="shared" si="36"/>
        <v>42.064757753304569</v>
      </c>
      <c r="AE69">
        <f t="shared" si="62"/>
        <v>47.935242246695431</v>
      </c>
      <c r="AF69">
        <f t="shared" si="63"/>
        <v>1.4550306613963679E-2</v>
      </c>
      <c r="AG69">
        <f t="shared" si="64"/>
        <v>47.949792553309393</v>
      </c>
      <c r="AH69">
        <f t="shared" si="37"/>
        <v>173.21220426304376</v>
      </c>
      <c r="AK69">
        <f t="shared" si="65"/>
        <v>-7.4125277903452733E-2</v>
      </c>
      <c r="AL69">
        <f t="shared" si="66"/>
        <v>0.99724893741519516</v>
      </c>
      <c r="AM69">
        <f t="shared" si="67"/>
        <v>702</v>
      </c>
      <c r="AN69">
        <f t="shared" si="68"/>
        <v>-351</v>
      </c>
      <c r="AO69">
        <f t="shared" si="69"/>
        <v>351</v>
      </c>
      <c r="AP69" s="16" cm="1">
        <f t="array" ref="AP69">SUMPRODUCT(1362*POWER(0.7,POWER(1/($AI$2*AK69+$AJ$2*AL69*COS(RADIANS(0.25*(_xlfn.SEQUENCE(AO69-AN69,1,AN69+1))))+0.50572*POWER(96.07995-DEGREES(ACOS($AI$2*AK69+$AJ$2*AL69*COS(RADIANS(0.25*(_xlfn.SEQUENCE(AO69-AN69,1,AN69+1)))))),-1.6364)),0.678))*IF(AL69*COS(RADIANS(0.25*(_xlfn.SEQUENCE(AO69-AN69,1,AN69+1))))&gt;0,AL69*COS(RADIANS(0.25*(_xlfn.SEQUENCE(AO69-AN69,1,AN69+1)))),0)/60)</f>
        <v>5970.1937261086332</v>
      </c>
      <c r="AQ69" s="17" cm="1">
        <f t="array" ref="AQ69">SUMPRODUCT(1362*POWER(0.7,POWER(1/($AI$2*AK69+$AJ$2*AL69*COS(RADIANS(0.25*(_xlfn.SEQUENCE(AO69-AN69,1,AN69+1))))+0.50572*POWER(96.07995-DEGREES(ACOS($AI$2*AK69+$AJ$2*AL69*COS(RADIANS(0.25*(_xlfn.SEQUENCE(AO69-AN69,1,AN69+1)))))),-1.6364)),0.678))/60)</f>
        <v>7993.3999847585328</v>
      </c>
      <c r="AR69" s="15">
        <f t="shared" si="70"/>
        <v>1.3388845239312901</v>
      </c>
      <c r="AT69">
        <v>0.17928198632414669</v>
      </c>
      <c r="AU69">
        <v>79.67205965791689</v>
      </c>
      <c r="AV69">
        <v>5.4207260459985296</v>
      </c>
      <c r="AW69">
        <v>443.53875177551299</v>
      </c>
    </row>
    <row r="70" spans="4:49" ht="17" x14ac:dyDescent="0.2">
      <c r="D70" s="1">
        <f t="shared" si="71"/>
        <v>46091</v>
      </c>
      <c r="E70" s="6">
        <f t="shared" si="38"/>
        <v>0.5</v>
      </c>
      <c r="F70" s="2">
        <f t="shared" si="39"/>
        <v>2461110.3333333335</v>
      </c>
      <c r="G70" s="3">
        <f t="shared" si="40"/>
        <v>0.2618845539584802</v>
      </c>
      <c r="I70">
        <f t="shared" si="41"/>
        <v>348.51202988598379</v>
      </c>
      <c r="J70">
        <f t="shared" si="42"/>
        <v>9785.1243275842608</v>
      </c>
      <c r="K70">
        <f t="shared" si="43"/>
        <v>1.6697616469473313E-2</v>
      </c>
      <c r="L70">
        <f t="shared" si="44"/>
        <v>1.7509878781561869</v>
      </c>
      <c r="M70">
        <f t="shared" si="45"/>
        <v>350.26301776413999</v>
      </c>
      <c r="N70">
        <f t="shared" si="46"/>
        <v>9786.8753154624173</v>
      </c>
      <c r="O70">
        <f t="shared" si="47"/>
        <v>0.99320902946273493</v>
      </c>
      <c r="P70">
        <f t="shared" si="48"/>
        <v>350.25907811414169</v>
      </c>
      <c r="Q70">
        <f t="shared" si="49"/>
        <v>23.435885518529275</v>
      </c>
      <c r="R70">
        <f t="shared" si="50"/>
        <v>23.438267709244275</v>
      </c>
      <c r="S70">
        <f t="shared" si="51"/>
        <v>-8.9507719381008837</v>
      </c>
      <c r="T70" s="19">
        <f t="shared" si="52"/>
        <v>-3.858835207557759</v>
      </c>
      <c r="U70">
        <f t="shared" si="53"/>
        <v>4.3030664533582771E-2</v>
      </c>
      <c r="V70">
        <f t="shared" si="54"/>
        <v>-10.151372272796506</v>
      </c>
      <c r="W70">
        <f t="shared" si="55"/>
        <v>88.077169672871051</v>
      </c>
      <c r="X70" s="6">
        <f t="shared" si="56"/>
        <v>0.512471425189442</v>
      </c>
      <c r="Y70" s="6">
        <f t="shared" si="57"/>
        <v>0.26781262054257793</v>
      </c>
      <c r="Z70" s="6">
        <f t="shared" si="58"/>
        <v>0.75713022983630607</v>
      </c>
      <c r="AA70" s="19">
        <f t="shared" si="59"/>
        <v>704.61735738296841</v>
      </c>
      <c r="AB70">
        <f t="shared" si="60"/>
        <v>702.04114772720345</v>
      </c>
      <c r="AC70">
        <f t="shared" si="61"/>
        <v>-4.4897130681991371</v>
      </c>
      <c r="AD70">
        <f t="shared" si="36"/>
        <v>41.668319832689107</v>
      </c>
      <c r="AE70">
        <f t="shared" si="62"/>
        <v>48.331680167310893</v>
      </c>
      <c r="AF70">
        <f t="shared" si="63"/>
        <v>1.4349532775993309E-2</v>
      </c>
      <c r="AG70">
        <f t="shared" si="64"/>
        <v>48.346029700086888</v>
      </c>
      <c r="AH70">
        <f t="shared" si="37"/>
        <v>173.25332139271711</v>
      </c>
      <c r="AK70">
        <f t="shared" si="65"/>
        <v>-6.7298475764336382E-2</v>
      </c>
      <c r="AL70">
        <f t="shared" si="66"/>
        <v>0.99773288768076451</v>
      </c>
      <c r="AM70">
        <f t="shared" si="67"/>
        <v>705</v>
      </c>
      <c r="AN70">
        <f t="shared" si="68"/>
        <v>-352.5</v>
      </c>
      <c r="AO70">
        <f t="shared" si="69"/>
        <v>352.5</v>
      </c>
      <c r="AP70" s="16" cm="1">
        <f t="array" ref="AP70">SUMPRODUCT(1362*POWER(0.7,POWER(1/($AI$2*AK70+$AJ$2*AL70*COS(RADIANS(0.25*(_xlfn.SEQUENCE(AO70-AN70,1,AN70+1))))+0.50572*POWER(96.07995-DEGREES(ACOS($AI$2*AK70+$AJ$2*AL70*COS(RADIANS(0.25*(_xlfn.SEQUENCE(AO70-AN70,1,AN70+1)))))),-1.6364)),0.678))*IF(AL70*COS(RADIANS(0.25*(_xlfn.SEQUENCE(AO70-AN70,1,AN70+1))))&gt;0,AL70*COS(RADIANS(0.25*(_xlfn.SEQUENCE(AO70-AN70,1,AN70+1)))),0)/60)</f>
        <v>5993.349714068052</v>
      </c>
      <c r="AQ70" s="17" cm="1">
        <f t="array" ref="AQ70">SUMPRODUCT(1362*POWER(0.7,POWER(1/($AI$2*AK70+$AJ$2*AL70*COS(RADIANS(0.25*(_xlfn.SEQUENCE(AO70-AN70,1,AN70+1))))+0.50572*POWER(96.07995-DEGREES(ACOS($AI$2*AK70+$AJ$2*AL70*COS(RADIANS(0.25*(_xlfn.SEQUENCE(AO70-AN70,1,AN70+1)))))),-1.6364)),0.678))/60)</f>
        <v>8039.1025739312427</v>
      </c>
      <c r="AR70" s="15">
        <f t="shared" si="70"/>
        <v>1.3413371415756437</v>
      </c>
      <c r="AT70">
        <v>0.18188970140139113</v>
      </c>
      <c r="AU70">
        <v>79.520151046634666</v>
      </c>
      <c r="AV70">
        <v>5.3473908287502168</v>
      </c>
      <c r="AW70">
        <v>448.13678356234146</v>
      </c>
    </row>
    <row r="71" spans="4:49" ht="17" x14ac:dyDescent="0.2">
      <c r="D71" s="1">
        <f t="shared" si="71"/>
        <v>46092</v>
      </c>
      <c r="E71" s="6">
        <f t="shared" si="38"/>
        <v>0.5</v>
      </c>
      <c r="F71" s="2">
        <f t="shared" si="39"/>
        <v>2461111.3333333335</v>
      </c>
      <c r="G71" s="3">
        <f t="shared" si="40"/>
        <v>0.26191193246635153</v>
      </c>
      <c r="I71">
        <f t="shared" si="41"/>
        <v>349.49767725049605</v>
      </c>
      <c r="J71">
        <f t="shared" si="42"/>
        <v>9786.1099278637794</v>
      </c>
      <c r="K71">
        <f t="shared" si="43"/>
        <v>1.6697615316746003E-2</v>
      </c>
      <c r="L71">
        <f t="shared" si="44"/>
        <v>1.7641081887282171</v>
      </c>
      <c r="M71">
        <f t="shared" si="45"/>
        <v>351.2617854392243</v>
      </c>
      <c r="N71">
        <f t="shared" si="46"/>
        <v>9787.874036052508</v>
      </c>
      <c r="O71">
        <f t="shared" si="47"/>
        <v>0.9934741904804415</v>
      </c>
      <c r="P71">
        <f t="shared" si="48"/>
        <v>351.25784989939393</v>
      </c>
      <c r="Q71">
        <f t="shared" si="49"/>
        <v>23.435885162495083</v>
      </c>
      <c r="R71">
        <f t="shared" si="50"/>
        <v>23.438266485807411</v>
      </c>
      <c r="S71">
        <f t="shared" si="51"/>
        <v>-8.0306515766930495</v>
      </c>
      <c r="T71" s="19">
        <f t="shared" si="52"/>
        <v>-3.4659211358452402</v>
      </c>
      <c r="U71">
        <f t="shared" si="53"/>
        <v>4.303065991355038E-2</v>
      </c>
      <c r="V71">
        <f t="shared" si="54"/>
        <v>-9.8877475287969592</v>
      </c>
      <c r="W71">
        <f t="shared" si="55"/>
        <v>88.380678048971873</v>
      </c>
      <c r="X71" s="6">
        <f t="shared" si="56"/>
        <v>0.51228835245055349</v>
      </c>
      <c r="Y71" s="6">
        <f t="shared" si="57"/>
        <v>0.26678646898118713</v>
      </c>
      <c r="Z71" s="6">
        <f t="shared" si="58"/>
        <v>0.7577902359199199</v>
      </c>
      <c r="AA71" s="19">
        <f t="shared" si="59"/>
        <v>707.04542439177499</v>
      </c>
      <c r="AB71">
        <f t="shared" si="60"/>
        <v>702.30477247120302</v>
      </c>
      <c r="AC71">
        <f t="shared" si="61"/>
        <v>-4.4238068821992442</v>
      </c>
      <c r="AD71">
        <f t="shared" si="36"/>
        <v>41.270992779018975</v>
      </c>
      <c r="AE71">
        <f t="shared" si="62"/>
        <v>48.729007220981025</v>
      </c>
      <c r="AF71">
        <f t="shared" si="63"/>
        <v>1.4150758584605377E-2</v>
      </c>
      <c r="AG71">
        <f t="shared" si="64"/>
        <v>48.74315797956563</v>
      </c>
      <c r="AH71">
        <f t="shared" si="37"/>
        <v>173.29705025365558</v>
      </c>
      <c r="AK71">
        <f t="shared" si="65"/>
        <v>-6.0454849786586148E-2</v>
      </c>
      <c r="AL71">
        <f t="shared" si="66"/>
        <v>0.9981709328252758</v>
      </c>
      <c r="AM71">
        <f t="shared" si="67"/>
        <v>707</v>
      </c>
      <c r="AN71">
        <f t="shared" si="68"/>
        <v>-353.5</v>
      </c>
      <c r="AO71">
        <f t="shared" si="69"/>
        <v>353.5</v>
      </c>
      <c r="AP71" s="16" cm="1">
        <f t="array" ref="AP71">SUMPRODUCT(1362*POWER(0.7,POWER(1/($AI$2*AK71+$AJ$2*AL71*COS(RADIANS(0.25*(_xlfn.SEQUENCE(AO71-AN71,1,AN71+1))))+0.50572*POWER(96.07995-DEGREES(ACOS($AI$2*AK71+$AJ$2*AL71*COS(RADIANS(0.25*(_xlfn.SEQUENCE(AO71-AN71,1,AN71+1)))))),-1.6364)),0.678))*IF(AL71*COS(RADIANS(0.25*(_xlfn.SEQUENCE(AO71-AN71,1,AN71+1))))&gt;0,AL71*COS(RADIANS(0.25*(_xlfn.SEQUENCE(AO71-AN71,1,AN71+1)))),0)/60)</f>
        <v>6015.9733432032554</v>
      </c>
      <c r="AQ71" s="17" cm="1">
        <f t="array" ref="AQ71">SUMPRODUCT(1362*POWER(0.7,POWER(1/($AI$2*AK71+$AJ$2*AL71*COS(RADIANS(0.25*(_xlfn.SEQUENCE(AO71-AN71,1,AN71+1))))+0.50572*POWER(96.07995-DEGREES(ACOS($AI$2*AK71+$AJ$2*AL71*COS(RADIANS(0.25*(_xlfn.SEQUENCE(AO71-AN71,1,AN71+1)))))),-1.6364)),0.678))/60)</f>
        <v>8084.5704421223218</v>
      </c>
      <c r="AR71" s="15">
        <f t="shared" si="70"/>
        <v>1.3438507754121172</v>
      </c>
      <c r="AT71">
        <v>0.18448942450645631</v>
      </c>
      <c r="AU71">
        <v>79.36863380274373</v>
      </c>
      <c r="AV71">
        <v>5.276178754517753</v>
      </c>
      <c r="AW71">
        <v>452.66707839008086</v>
      </c>
    </row>
    <row r="72" spans="4:49" ht="17" x14ac:dyDescent="0.2">
      <c r="D72" s="1">
        <f t="shared" si="71"/>
        <v>46093</v>
      </c>
      <c r="E72" s="6">
        <f t="shared" si="38"/>
        <v>0.5</v>
      </c>
      <c r="F72" s="2">
        <f t="shared" si="39"/>
        <v>2461112.3333333335</v>
      </c>
      <c r="G72" s="3">
        <f t="shared" si="40"/>
        <v>0.26193931097422279</v>
      </c>
      <c r="I72">
        <f t="shared" si="41"/>
        <v>350.48332461500831</v>
      </c>
      <c r="J72">
        <f t="shared" si="42"/>
        <v>9787.0955281432998</v>
      </c>
      <c r="K72">
        <f t="shared" si="43"/>
        <v>1.6697614164018503E-2</v>
      </c>
      <c r="L72">
        <f t="shared" si="44"/>
        <v>1.7766935873910561</v>
      </c>
      <c r="M72">
        <f t="shared" si="45"/>
        <v>352.26001820239935</v>
      </c>
      <c r="N72">
        <f t="shared" si="46"/>
        <v>9788.8722217306913</v>
      </c>
      <c r="O72">
        <f t="shared" si="47"/>
        <v>0.99374123693303096</v>
      </c>
      <c r="P72">
        <f t="shared" si="48"/>
        <v>352.2560867712383</v>
      </c>
      <c r="Q72">
        <f t="shared" si="49"/>
        <v>23.435884806460891</v>
      </c>
      <c r="R72">
        <f t="shared" si="50"/>
        <v>23.438265260336472</v>
      </c>
      <c r="S72">
        <f t="shared" si="51"/>
        <v>-7.1117882384641327</v>
      </c>
      <c r="T72" s="19">
        <f t="shared" si="52"/>
        <v>-3.0723273262085504</v>
      </c>
      <c r="U72">
        <f t="shared" si="53"/>
        <v>4.3030655285837029E-2</v>
      </c>
      <c r="V72">
        <f t="shared" si="54"/>
        <v>-9.6191888107417753</v>
      </c>
      <c r="W72">
        <f t="shared" si="55"/>
        <v>88.684462989156103</v>
      </c>
      <c r="X72" s="6">
        <f t="shared" si="56"/>
        <v>0.51210185334079295</v>
      </c>
      <c r="Y72" s="6">
        <f t="shared" si="57"/>
        <v>0.26575612281535932</v>
      </c>
      <c r="Z72" s="6">
        <f t="shared" si="58"/>
        <v>0.75844758386622657</v>
      </c>
      <c r="AA72" s="19">
        <f t="shared" si="59"/>
        <v>709.47570391324882</v>
      </c>
      <c r="AB72">
        <f t="shared" si="60"/>
        <v>702.57333118925817</v>
      </c>
      <c r="AC72">
        <f t="shared" si="61"/>
        <v>-4.3566672026854576</v>
      </c>
      <c r="AD72">
        <f t="shared" si="36"/>
        <v>40.872891901730249</v>
      </c>
      <c r="AE72">
        <f t="shared" si="62"/>
        <v>49.127108098269751</v>
      </c>
      <c r="AF72">
        <f t="shared" si="63"/>
        <v>1.3953993816534416E-2</v>
      </c>
      <c r="AG72">
        <f t="shared" si="64"/>
        <v>49.141062092086287</v>
      </c>
      <c r="AH72">
        <f t="shared" si="37"/>
        <v>173.34333818538357</v>
      </c>
      <c r="AK72">
        <f t="shared" si="65"/>
        <v>-5.3596534183477824E-2</v>
      </c>
      <c r="AL72">
        <f t="shared" si="66"/>
        <v>0.99856267280702982</v>
      </c>
      <c r="AM72">
        <f t="shared" si="67"/>
        <v>709</v>
      </c>
      <c r="AN72">
        <f t="shared" si="68"/>
        <v>-354.5</v>
      </c>
      <c r="AO72">
        <f t="shared" si="69"/>
        <v>354.5</v>
      </c>
      <c r="AP72" s="16" cm="1">
        <f t="array" ref="AP72">SUMPRODUCT(1362*POWER(0.7,POWER(1/($AI$2*AK72+$AJ$2*AL72*COS(RADIANS(0.25*(_xlfn.SEQUENCE(AO72-AN72,1,AN72+1))))+0.50572*POWER(96.07995-DEGREES(ACOS($AI$2*AK72+$AJ$2*AL72*COS(RADIANS(0.25*(_xlfn.SEQUENCE(AO72-AN72,1,AN72+1)))))),-1.6364)),0.678))*IF(AL72*COS(RADIANS(0.25*(_xlfn.SEQUENCE(AO72-AN72,1,AN72+1))))&gt;0,AL72*COS(RADIANS(0.25*(_xlfn.SEQUENCE(AO72-AN72,1,AN72+1)))),0)/60)</f>
        <v>6038.0593188594275</v>
      </c>
      <c r="AQ72" s="17" cm="1">
        <f t="array" ref="AQ72">SUMPRODUCT(1362*POWER(0.7,POWER(1/($AI$2*AK72+$AJ$2*AL72*COS(RADIANS(0.25*(_xlfn.SEQUENCE(AO72-AN72,1,AN72+1))))+0.50572*POWER(96.07995-DEGREES(ACOS($AI$2*AK72+$AJ$2*AL72*COS(RADIANS(0.25*(_xlfn.SEQUENCE(AO72-AN72,1,AN72+1)))))),-1.6364)),0.678))/60)</f>
        <v>8129.9110309946445</v>
      </c>
      <c r="AR72" s="15">
        <f t="shared" si="70"/>
        <v>1.3464443791735325</v>
      </c>
      <c r="AT72">
        <v>0.18708110614436171</v>
      </c>
      <c r="AU72">
        <v>79.217510331671932</v>
      </c>
      <c r="AV72">
        <v>5.207002829746572</v>
      </c>
      <c r="AW72">
        <v>457.13086018370205</v>
      </c>
    </row>
    <row r="73" spans="4:49" ht="17" x14ac:dyDescent="0.2">
      <c r="D73" s="1">
        <f t="shared" si="71"/>
        <v>46094</v>
      </c>
      <c r="E73" s="6">
        <f t="shared" si="38"/>
        <v>0.5</v>
      </c>
      <c r="F73" s="2">
        <f t="shared" si="39"/>
        <v>2461113.3333333335</v>
      </c>
      <c r="G73" s="3">
        <f t="shared" si="40"/>
        <v>0.26196668948209412</v>
      </c>
      <c r="I73">
        <f t="shared" si="41"/>
        <v>351.46897197951876</v>
      </c>
      <c r="J73">
        <f t="shared" si="42"/>
        <v>9788.0811284228184</v>
      </c>
      <c r="K73">
        <f t="shared" si="43"/>
        <v>1.6697613011290812E-2</v>
      </c>
      <c r="L73">
        <f t="shared" si="44"/>
        <v>1.7887408008107049</v>
      </c>
      <c r="M73">
        <f t="shared" si="45"/>
        <v>353.25771278032948</v>
      </c>
      <c r="N73">
        <f t="shared" si="46"/>
        <v>9789.8698692236285</v>
      </c>
      <c r="O73">
        <f t="shared" si="47"/>
        <v>0.99401008677891345</v>
      </c>
      <c r="P73">
        <f t="shared" si="48"/>
        <v>353.25378545633561</v>
      </c>
      <c r="Q73">
        <f t="shared" si="49"/>
        <v>23.435884450426698</v>
      </c>
      <c r="R73">
        <f t="shared" si="50"/>
        <v>23.438264032832201</v>
      </c>
      <c r="S73">
        <f t="shared" si="51"/>
        <v>-6.1940977456586417</v>
      </c>
      <c r="T73" s="19">
        <f t="shared" si="52"/>
        <v>-2.6781583110458933</v>
      </c>
      <c r="U73">
        <f t="shared" si="53"/>
        <v>4.3030650650445548E-2</v>
      </c>
      <c r="V73">
        <f t="shared" si="54"/>
        <v>-9.346038306624024</v>
      </c>
      <c r="W73">
        <f t="shared" si="55"/>
        <v>88.988480231754096</v>
      </c>
      <c r="X73" s="6">
        <f t="shared" si="56"/>
        <v>0.51191216549071106</v>
      </c>
      <c r="Y73" s="6">
        <f t="shared" si="57"/>
        <v>0.26472194262472748</v>
      </c>
      <c r="Z73" s="6">
        <f t="shared" si="58"/>
        <v>0.75910238835669475</v>
      </c>
      <c r="AA73" s="19">
        <f t="shared" si="59"/>
        <v>711.90784185403277</v>
      </c>
      <c r="AB73">
        <f t="shared" si="60"/>
        <v>702.84648169337606</v>
      </c>
      <c r="AC73">
        <f t="shared" si="61"/>
        <v>-4.2883795766559842</v>
      </c>
      <c r="AD73">
        <f t="shared" si="36"/>
        <v>40.474132026765247</v>
      </c>
      <c r="AE73">
        <f t="shared" si="62"/>
        <v>49.525867973234753</v>
      </c>
      <c r="AF73">
        <f t="shared" si="63"/>
        <v>1.3759246495976886E-2</v>
      </c>
      <c r="AG73">
        <f t="shared" si="64"/>
        <v>49.539627219730733</v>
      </c>
      <c r="AH73">
        <f t="shared" si="37"/>
        <v>173.39213014163897</v>
      </c>
      <c r="AK73">
        <f t="shared" si="65"/>
        <v>-4.6725661099735617E-2</v>
      </c>
      <c r="AL73">
        <f t="shared" si="66"/>
        <v>0.99890775980307245</v>
      </c>
      <c r="AM73">
        <f t="shared" si="67"/>
        <v>712</v>
      </c>
      <c r="AN73">
        <f t="shared" si="68"/>
        <v>-356</v>
      </c>
      <c r="AO73">
        <f t="shared" si="69"/>
        <v>356</v>
      </c>
      <c r="AP73" s="16" cm="1">
        <f t="array" ref="AP73">SUMPRODUCT(1362*POWER(0.7,POWER(1/($AI$2*AK73+$AJ$2*AL73*COS(RADIANS(0.25*(_xlfn.SEQUENCE(AO73-AN73,1,AN73+1))))+0.50572*POWER(96.07995-DEGREES(ACOS($AI$2*AK73+$AJ$2*AL73*COS(RADIANS(0.25*(_xlfn.SEQUENCE(AO73-AN73,1,AN73+1)))))),-1.6364)),0.678))*IF(AL73*COS(RADIANS(0.25*(_xlfn.SEQUENCE(AO73-AN73,1,AN73+1))))&gt;0,AL73*COS(RADIANS(0.25*(_xlfn.SEQUENCE(AO73-AN73,1,AN73+1)))),0)/60)</f>
        <v>6059.6009301197355</v>
      </c>
      <c r="AQ73" s="17" cm="1">
        <f t="array" ref="AQ73">SUMPRODUCT(1362*POWER(0.7,POWER(1/($AI$2*AK73+$AJ$2*AL73*COS(RADIANS(0.25*(_xlfn.SEQUENCE(AO73-AN73,1,AN73+1))))+0.50572*POWER(96.07995-DEGREES(ACOS($AI$2*AK73+$AJ$2*AL73*COS(RADIANS(0.25*(_xlfn.SEQUENCE(AO73-AN73,1,AN73+1)))))),-1.6364)),0.678))/60)</f>
        <v>8175.2433376616946</v>
      </c>
      <c r="AR73" s="15">
        <f t="shared" si="70"/>
        <v>1.3491389007196808</v>
      </c>
      <c r="AT73">
        <v>0.18966469697322477</v>
      </c>
      <c r="AU73">
        <v>79.06678305018184</v>
      </c>
      <c r="AV73">
        <v>5.1397806817593681</v>
      </c>
      <c r="AW73">
        <v>461.52933285025523</v>
      </c>
    </row>
    <row r="74" spans="4:49" ht="17" x14ac:dyDescent="0.2">
      <c r="D74" s="1">
        <f t="shared" si="71"/>
        <v>46095</v>
      </c>
      <c r="E74" s="6">
        <f t="shared" si="38"/>
        <v>0.5</v>
      </c>
      <c r="F74" s="2">
        <f t="shared" si="39"/>
        <v>2461114.3333333335</v>
      </c>
      <c r="G74" s="3">
        <f t="shared" si="40"/>
        <v>0.26199406798996544</v>
      </c>
      <c r="I74">
        <f t="shared" si="41"/>
        <v>352.45461934403284</v>
      </c>
      <c r="J74">
        <f t="shared" si="42"/>
        <v>9789.0667287023389</v>
      </c>
      <c r="K74">
        <f t="shared" si="43"/>
        <v>1.6697611858562934E-2</v>
      </c>
      <c r="L74">
        <f t="shared" si="44"/>
        <v>1.8002467292809854</v>
      </c>
      <c r="M74">
        <f t="shared" si="45"/>
        <v>354.25486607331379</v>
      </c>
      <c r="N74">
        <f t="shared" si="46"/>
        <v>9790.8669754316197</v>
      </c>
      <c r="O74">
        <f t="shared" si="47"/>
        <v>0.99428065755523343</v>
      </c>
      <c r="P74">
        <f t="shared" si="48"/>
        <v>354.25094285498147</v>
      </c>
      <c r="Q74">
        <f t="shared" si="49"/>
        <v>23.435884094392506</v>
      </c>
      <c r="R74">
        <f t="shared" si="50"/>
        <v>23.438262803295345</v>
      </c>
      <c r="S74">
        <f t="shared" si="51"/>
        <v>-5.277495588468061</v>
      </c>
      <c r="T74" s="19">
        <f t="shared" si="52"/>
        <v>-2.2835181388190433</v>
      </c>
      <c r="U74">
        <f t="shared" si="53"/>
        <v>4.3030646007378714E-2</v>
      </c>
      <c r="V74">
        <f t="shared" si="54"/>
        <v>-9.068638710934863</v>
      </c>
      <c r="W74">
        <f t="shared" si="55"/>
        <v>89.292686313866454</v>
      </c>
      <c r="X74" s="6">
        <f t="shared" si="56"/>
        <v>0.5117195268825937</v>
      </c>
      <c r="Y74" s="6">
        <f t="shared" si="57"/>
        <v>0.2636842871218536</v>
      </c>
      <c r="Z74" s="6">
        <f t="shared" si="58"/>
        <v>0.75975476664333397</v>
      </c>
      <c r="AA74" s="19">
        <f t="shared" si="59"/>
        <v>714.34149051093164</v>
      </c>
      <c r="AB74">
        <f t="shared" si="60"/>
        <v>703.12388128906514</v>
      </c>
      <c r="AC74">
        <f t="shared" si="61"/>
        <v>-4.2190296777337153</v>
      </c>
      <c r="AD74">
        <f t="shared" si="36"/>
        <v>40.074827476066723</v>
      </c>
      <c r="AE74">
        <f t="shared" si="62"/>
        <v>49.925172523933277</v>
      </c>
      <c r="AF74">
        <f t="shared" si="63"/>
        <v>1.3566523017619875E-2</v>
      </c>
      <c r="AG74">
        <f t="shared" si="64"/>
        <v>49.9387390469509</v>
      </c>
      <c r="AH74">
        <f t="shared" si="37"/>
        <v>173.44336866752099</v>
      </c>
      <c r="AK74">
        <f t="shared" si="65"/>
        <v>-3.9844359874121882E-2</v>
      </c>
      <c r="AL74">
        <f t="shared" si="66"/>
        <v>0.99920589819427186</v>
      </c>
      <c r="AM74">
        <f t="shared" si="67"/>
        <v>714</v>
      </c>
      <c r="AN74">
        <f t="shared" si="68"/>
        <v>-357</v>
      </c>
      <c r="AO74">
        <f t="shared" si="69"/>
        <v>357</v>
      </c>
      <c r="AP74" s="16" cm="1">
        <f t="array" ref="AP74">SUMPRODUCT(1362*POWER(0.7,POWER(1/($AI$2*AK74+$AJ$2*AL74*COS(RADIANS(0.25*(_xlfn.SEQUENCE(AO74-AN74,1,AN74+1))))+0.50572*POWER(96.07995-DEGREES(ACOS($AI$2*AK74+$AJ$2*AL74*COS(RADIANS(0.25*(_xlfn.SEQUENCE(AO74-AN74,1,AN74+1)))))),-1.6364)),0.678))*IF(AL74*COS(RADIANS(0.25*(_xlfn.SEQUENCE(AO74-AN74,1,AN74+1))))&gt;0,AL74*COS(RADIANS(0.25*(_xlfn.SEQUENCE(AO74-AN74,1,AN74+1)))),0)/60)</f>
        <v>6080.5844610916256</v>
      </c>
      <c r="AQ74" s="17" cm="1">
        <f t="array" ref="AQ74">SUMPRODUCT(1362*POWER(0.7,POWER(1/($AI$2*AK74+$AJ$2*AL74*COS(RADIANS(0.25*(_xlfn.SEQUENCE(AO74-AN74,1,AN74+1))))+0.50572*POWER(96.07995-DEGREES(ACOS($AI$2*AK74+$AJ$2*AL74*COS(RADIANS(0.25*(_xlfn.SEQUENCE(AO74-AN74,1,AN74+1)))))),-1.6364)),0.678))/60)</f>
        <v>8220.309006974865</v>
      </c>
      <c r="AR74" s="15">
        <f t="shared" si="70"/>
        <v>1.3518945521725558</v>
      </c>
      <c r="AT74">
        <v>0.1922401478052003</v>
      </c>
      <c r="AU74">
        <v>78.916454386366894</v>
      </c>
      <c r="AV74">
        <v>5.0744342607499169</v>
      </c>
      <c r="AW74">
        <v>465.86367983505187</v>
      </c>
    </row>
    <row r="75" spans="4:49" ht="17" x14ac:dyDescent="0.2">
      <c r="D75" s="1">
        <f t="shared" si="71"/>
        <v>46096</v>
      </c>
      <c r="E75" s="6">
        <f t="shared" si="38"/>
        <v>0.5</v>
      </c>
      <c r="F75" s="2">
        <f t="shared" si="39"/>
        <v>2461115.3333333335</v>
      </c>
      <c r="G75" s="3">
        <f t="shared" si="40"/>
        <v>0.26202144649783676</v>
      </c>
      <c r="I75">
        <f t="shared" si="41"/>
        <v>353.44026670854691</v>
      </c>
      <c r="J75">
        <f t="shared" si="42"/>
        <v>9790.0523289818593</v>
      </c>
      <c r="K75">
        <f t="shared" si="43"/>
        <v>1.6697610705834861E-2</v>
      </c>
      <c r="L75">
        <f t="shared" si="44"/>
        <v>1.8112084470422722</v>
      </c>
      <c r="M75">
        <f t="shared" si="45"/>
        <v>355.25147515558916</v>
      </c>
      <c r="N75">
        <f t="shared" si="46"/>
        <v>9791.8635374289024</v>
      </c>
      <c r="O75">
        <f t="shared" si="47"/>
        <v>0.99455286640555829</v>
      </c>
      <c r="P75">
        <f t="shared" si="48"/>
        <v>355.24755604140921</v>
      </c>
      <c r="Q75">
        <f t="shared" si="49"/>
        <v>23.435883738358314</v>
      </c>
      <c r="R75">
        <f t="shared" si="50"/>
        <v>23.438261571726649</v>
      </c>
      <c r="S75">
        <f t="shared" si="51"/>
        <v>-4.3618969885524983</v>
      </c>
      <c r="T75" s="19">
        <f t="shared" si="52"/>
        <v>-1.8885103821836573</v>
      </c>
      <c r="U75">
        <f t="shared" si="53"/>
        <v>4.3030641356639386E-2</v>
      </c>
      <c r="V75">
        <f t="shared" si="54"/>
        <v>-8.7873329604808994</v>
      </c>
      <c r="W75">
        <f t="shared" si="55"/>
        <v>89.59703848642522</v>
      </c>
      <c r="X75" s="6">
        <f t="shared" si="56"/>
        <v>0.51152417566700059</v>
      </c>
      <c r="Y75" s="6">
        <f t="shared" si="57"/>
        <v>0.2626435132047083</v>
      </c>
      <c r="Z75" s="6">
        <f t="shared" si="58"/>
        <v>0.76040483812929283</v>
      </c>
      <c r="AA75" s="19">
        <f t="shared" si="59"/>
        <v>716.77630789140176</v>
      </c>
      <c r="AB75">
        <f t="shared" si="60"/>
        <v>703.40518703951921</v>
      </c>
      <c r="AC75">
        <f t="shared" si="61"/>
        <v>-4.1487032401201986</v>
      </c>
      <c r="AD75">
        <f t="shared" si="36"/>
        <v>39.675092048543135</v>
      </c>
      <c r="AE75">
        <f t="shared" si="62"/>
        <v>50.324907951456865</v>
      </c>
      <c r="AF75">
        <f t="shared" si="63"/>
        <v>1.3375828264786532E-2</v>
      </c>
      <c r="AG75">
        <f t="shared" si="64"/>
        <v>50.33828377972165</v>
      </c>
      <c r="AH75">
        <f t="shared" si="37"/>
        <v>173.4969938723068</v>
      </c>
      <c r="AK75">
        <f t="shared" si="65"/>
        <v>-3.2954756311655065E-2</v>
      </c>
      <c r="AL75">
        <f t="shared" si="66"/>
        <v>0.99945684450927619</v>
      </c>
      <c r="AM75">
        <f t="shared" si="67"/>
        <v>717</v>
      </c>
      <c r="AN75">
        <f t="shared" si="68"/>
        <v>-358.5</v>
      </c>
      <c r="AO75">
        <f t="shared" si="69"/>
        <v>358.5</v>
      </c>
      <c r="AP75" s="16" cm="1">
        <f t="array" ref="AP75">SUMPRODUCT(1362*POWER(0.7,POWER(1/($AI$2*AK75+$AJ$2*AL75*COS(RADIANS(0.25*(_xlfn.SEQUENCE(AO75-AN75,1,AN75+1))))+0.50572*POWER(96.07995-DEGREES(ACOS($AI$2*AK75+$AJ$2*AL75*COS(RADIANS(0.25*(_xlfn.SEQUENCE(AO75-AN75,1,AN75+1)))))),-1.6364)),0.678))*IF(AL75*COS(RADIANS(0.25*(_xlfn.SEQUENCE(AO75-AN75,1,AN75+1))))&gt;0,AL75*COS(RADIANS(0.25*(_xlfn.SEQUENCE(AO75-AN75,1,AN75+1)))),0)/60)</f>
        <v>6101.0059015210145</v>
      </c>
      <c r="AQ75" s="17" cm="1">
        <f t="array" ref="AQ75">SUMPRODUCT(1362*POWER(0.7,POWER(1/($AI$2*AK75+$AJ$2*AL75*COS(RADIANS(0.25*(_xlfn.SEQUENCE(AO75-AN75,1,AN75+1))))+0.50572*POWER(96.07995-DEGREES(ACOS($AI$2*AK75+$AJ$2*AL75*COS(RADIANS(0.25*(_xlfn.SEQUENCE(AO75-AN75,1,AN75+1)))))),-1.6364)),0.678))/60)</f>
        <v>8265.3468237094949</v>
      </c>
      <c r="AR75" s="15">
        <f t="shared" si="70"/>
        <v>1.3547514880536171</v>
      </c>
      <c r="AT75">
        <v>0.1948074096074168</v>
      </c>
      <c r="AU75">
        <v>78.76652677964546</v>
      </c>
      <c r="AV75">
        <v>5.0108895642305677</v>
      </c>
      <c r="AW75">
        <v>470.13506378841475</v>
      </c>
    </row>
    <row r="76" spans="4:49" ht="17" x14ac:dyDescent="0.2">
      <c r="D76" s="1">
        <f t="shared" si="71"/>
        <v>46097</v>
      </c>
      <c r="E76" s="6">
        <f t="shared" si="38"/>
        <v>0.5</v>
      </c>
      <c r="F76" s="2">
        <f t="shared" si="39"/>
        <v>2461116.3333333335</v>
      </c>
      <c r="G76" s="3">
        <f t="shared" si="40"/>
        <v>0.26204882500570809</v>
      </c>
      <c r="I76">
        <f t="shared" si="41"/>
        <v>354.42591407306281</v>
      </c>
      <c r="J76">
        <f t="shared" si="42"/>
        <v>9791.0379292613779</v>
      </c>
      <c r="K76">
        <f t="shared" si="43"/>
        <v>1.6697609553106601E-2</v>
      </c>
      <c r="L76">
        <f t="shared" si="44"/>
        <v>1.82162320253346</v>
      </c>
      <c r="M76">
        <f t="shared" si="45"/>
        <v>356.2475372755963</v>
      </c>
      <c r="N76">
        <f t="shared" si="46"/>
        <v>9792.8595524639113</v>
      </c>
      <c r="O76">
        <f t="shared" si="47"/>
        <v>0.9948266301075388</v>
      </c>
      <c r="P76">
        <f t="shared" si="48"/>
        <v>356.24362226405611</v>
      </c>
      <c r="Q76">
        <f t="shared" si="49"/>
        <v>23.435883382324125</v>
      </c>
      <c r="R76">
        <f t="shared" si="50"/>
        <v>23.438260338126867</v>
      </c>
      <c r="S76">
        <f t="shared" si="51"/>
        <v>-3.4472169612180674</v>
      </c>
      <c r="T76" s="19">
        <f t="shared" si="52"/>
        <v>-1.4932381468022227</v>
      </c>
      <c r="U76">
        <f t="shared" si="53"/>
        <v>4.3030636698230387E-2</v>
      </c>
      <c r="V76">
        <f t="shared" si="54"/>
        <v>-8.5024639825806219</v>
      </c>
      <c r="W76">
        <f t="shared" si="55"/>
        <v>89.901494629384572</v>
      </c>
      <c r="X76" s="6">
        <f t="shared" si="56"/>
        <v>0.51132634998790316</v>
      </c>
      <c r="Y76" s="6">
        <f t="shared" si="57"/>
        <v>0.26159997601739043</v>
      </c>
      <c r="Z76" s="6">
        <f t="shared" si="58"/>
        <v>0.76105272395841583</v>
      </c>
      <c r="AA76" s="19">
        <f t="shared" si="59"/>
        <v>719.21195703507658</v>
      </c>
      <c r="AB76">
        <f t="shared" si="60"/>
        <v>703.69005601741947</v>
      </c>
      <c r="AC76">
        <f t="shared" si="61"/>
        <v>-4.0774859956451337</v>
      </c>
      <c r="AD76">
        <f t="shared" si="36"/>
        <v>39.2750390024487</v>
      </c>
      <c r="AE76">
        <f t="shared" si="62"/>
        <v>50.7249609975513</v>
      </c>
      <c r="AF76">
        <f t="shared" si="63"/>
        <v>1.3187165722738568E-2</v>
      </c>
      <c r="AG76">
        <f t="shared" si="64"/>
        <v>50.73814816327404</v>
      </c>
      <c r="AH76">
        <f t="shared" si="37"/>
        <v>173.5529433978561</v>
      </c>
      <c r="AK76">
        <f t="shared" si="65"/>
        <v>-2.6058971965356011E-2</v>
      </c>
      <c r="AL76">
        <f t="shared" si="66"/>
        <v>0.99966040732846306</v>
      </c>
      <c r="AM76">
        <f t="shared" si="67"/>
        <v>719</v>
      </c>
      <c r="AN76">
        <f t="shared" si="68"/>
        <v>-359.5</v>
      </c>
      <c r="AO76">
        <f t="shared" si="69"/>
        <v>359.5</v>
      </c>
      <c r="AP76" s="16" cm="1">
        <f t="array" ref="AP76">SUMPRODUCT(1362*POWER(0.7,POWER(1/($AI$2*AK76+$AJ$2*AL76*COS(RADIANS(0.25*(_xlfn.SEQUENCE(AO76-AN76,1,AN76+1))))+0.50572*POWER(96.07995-DEGREES(ACOS($AI$2*AK76+$AJ$2*AL76*COS(RADIANS(0.25*(_xlfn.SEQUENCE(AO76-AN76,1,AN76+1)))))),-1.6364)),0.678))*IF(AL76*COS(RADIANS(0.25*(_xlfn.SEQUENCE(AO76-AN76,1,AN76+1))))&gt;0,AL76*COS(RADIANS(0.25*(_xlfn.SEQUENCE(AO76-AN76,1,AN76+1)))),0)/60)</f>
        <v>6120.8556039105742</v>
      </c>
      <c r="AQ76" s="17" cm="1">
        <f t="array" ref="AQ76">SUMPRODUCT(1362*POWER(0.7,POWER(1/($AI$2*AK76+$AJ$2*AL76*COS(RADIANS(0.25*(_xlfn.SEQUENCE(AO76-AN76,1,AN76+1))))+0.50572*POWER(96.07995-DEGREES(ACOS($AI$2*AK76+$AJ$2*AL76*COS(RADIANS(0.25*(_xlfn.SEQUENCE(AO76-AN76,1,AN76+1)))))),-1.6364)),0.678))/60)</f>
        <v>8310.1031714219662</v>
      </c>
      <c r="AR76" s="15">
        <f t="shared" si="70"/>
        <v>1.3576701868465408</v>
      </c>
      <c r="AT76">
        <v>0.19736643350291042</v>
      </c>
      <c r="AU76">
        <v>78.617002680753487</v>
      </c>
      <c r="AV76">
        <v>4.9490763820092631</v>
      </c>
      <c r="AW76">
        <v>474.34462632984634</v>
      </c>
    </row>
    <row r="77" spans="4:49" ht="17" x14ac:dyDescent="0.2">
      <c r="D77" s="1">
        <f t="shared" si="71"/>
        <v>46098</v>
      </c>
      <c r="E77" s="6">
        <f t="shared" si="38"/>
        <v>0.5</v>
      </c>
      <c r="F77" s="2">
        <f t="shared" si="39"/>
        <v>2461117.3333333335</v>
      </c>
      <c r="G77" s="3">
        <f t="shared" si="40"/>
        <v>0.26207620351357941</v>
      </c>
      <c r="I77">
        <f t="shared" si="41"/>
        <v>355.41156143757871</v>
      </c>
      <c r="J77">
        <f t="shared" si="42"/>
        <v>9792.0235295408984</v>
      </c>
      <c r="K77">
        <f t="shared" si="43"/>
        <v>1.669760840037815E-2</v>
      </c>
      <c r="L77">
        <f t="shared" si="44"/>
        <v>1.831488418578217</v>
      </c>
      <c r="M77">
        <f t="shared" si="45"/>
        <v>357.24304985615692</v>
      </c>
      <c r="N77">
        <f t="shared" si="46"/>
        <v>9793.8550179594768</v>
      </c>
      <c r="O77">
        <f t="shared" si="47"/>
        <v>0.99510186510052734</v>
      </c>
      <c r="P77">
        <f t="shared" si="48"/>
        <v>357.23913894574031</v>
      </c>
      <c r="Q77">
        <f t="shared" si="49"/>
        <v>23.435883026289932</v>
      </c>
      <c r="R77">
        <f t="shared" si="50"/>
        <v>23.438259102496733</v>
      </c>
      <c r="S77">
        <f t="shared" si="51"/>
        <v>-2.5333703763975355</v>
      </c>
      <c r="T77" s="19">
        <f t="shared" si="52"/>
        <v>-1.0978040807825529</v>
      </c>
      <c r="U77">
        <f t="shared" si="53"/>
        <v>4.3030632032154514E-2</v>
      </c>
      <c r="V77">
        <f t="shared" si="54"/>
        <v>-8.2143744550860074</v>
      </c>
      <c r="W77">
        <f t="shared" si="55"/>
        <v>90.206013167089822</v>
      </c>
      <c r="X77" s="6">
        <f t="shared" si="56"/>
        <v>0.51112628781603198</v>
      </c>
      <c r="Y77" s="6">
        <f t="shared" si="57"/>
        <v>0.26055402901856028</v>
      </c>
      <c r="Z77" s="6">
        <f t="shared" si="58"/>
        <v>0.76169854661350378</v>
      </c>
      <c r="AA77" s="19">
        <f t="shared" si="59"/>
        <v>721.64810533671857</v>
      </c>
      <c r="AB77">
        <f t="shared" si="60"/>
        <v>703.97814554491401</v>
      </c>
      <c r="AC77">
        <f t="shared" si="61"/>
        <v>-4.0054636137714965</v>
      </c>
      <c r="AD77">
        <f t="shared" si="36"/>
        <v>38.874781039163068</v>
      </c>
      <c r="AE77">
        <f t="shared" si="62"/>
        <v>51.125218960836932</v>
      </c>
      <c r="AF77">
        <f t="shared" si="63"/>
        <v>1.3000537587211917E-2</v>
      </c>
      <c r="AG77">
        <f t="shared" si="64"/>
        <v>51.138219498424142</v>
      </c>
      <c r="AH77">
        <f t="shared" si="37"/>
        <v>173.61115238254615</v>
      </c>
      <c r="AK77">
        <f t="shared" si="65"/>
        <v>-1.9159123428168362E-2</v>
      </c>
      <c r="AL77">
        <f t="shared" si="66"/>
        <v>0.99981644714890749</v>
      </c>
      <c r="AM77">
        <f t="shared" si="67"/>
        <v>722</v>
      </c>
      <c r="AN77">
        <f t="shared" si="68"/>
        <v>-361</v>
      </c>
      <c r="AO77">
        <f t="shared" si="69"/>
        <v>361</v>
      </c>
      <c r="AP77" s="16" cm="1">
        <f t="array" ref="AP77">SUMPRODUCT(1362*POWER(0.7,POWER(1/($AI$2*AK77+$AJ$2*AL77*COS(RADIANS(0.25*(_xlfn.SEQUENCE(AO77-AN77,1,AN77+1))))+0.50572*POWER(96.07995-DEGREES(ACOS($AI$2*AK77+$AJ$2*AL77*COS(RADIANS(0.25*(_xlfn.SEQUENCE(AO77-AN77,1,AN77+1)))))),-1.6364)),0.678))*IF(AL77*COS(RADIANS(0.25*(_xlfn.SEQUENCE(AO77-AN77,1,AN77+1))))&gt;0,AL77*COS(RADIANS(0.25*(_xlfn.SEQUENCE(AO77-AN77,1,AN77+1)))),0)/60)</f>
        <v>6140.1286547870604</v>
      </c>
      <c r="AQ77" s="17" cm="1">
        <f t="array" ref="AQ77">SUMPRODUCT(1362*POWER(0.7,POWER(1/($AI$2*AK77+$AJ$2*AL77*COS(RADIANS(0.25*(_xlfn.SEQUENCE(AO77-AN77,1,AN77+1))))+0.50572*POWER(96.07995-DEGREES(ACOS($AI$2*AK77+$AJ$2*AL77*COS(RADIANS(0.25*(_xlfn.SEQUENCE(AO77-AN77,1,AN77+1)))))),-1.6364)),0.678))/60)</f>
        <v>8354.8132007821205</v>
      </c>
      <c r="AR77" s="15">
        <f t="shared" si="70"/>
        <v>1.3606902510533576</v>
      </c>
      <c r="AT77">
        <v>0.19991717077155466</v>
      </c>
      <c r="AU77">
        <v>78.46788455173504</v>
      </c>
      <c r="AV77">
        <v>4.8889280599558891</v>
      </c>
      <c r="AW77">
        <v>478.49348789789013</v>
      </c>
    </row>
    <row r="78" spans="4:49" ht="17" x14ac:dyDescent="0.2">
      <c r="D78" s="1">
        <f t="shared" si="71"/>
        <v>46099</v>
      </c>
      <c r="E78" s="6">
        <f t="shared" si="38"/>
        <v>0.5</v>
      </c>
      <c r="F78" s="2">
        <f t="shared" si="39"/>
        <v>2461118.3333333335</v>
      </c>
      <c r="G78" s="3">
        <f t="shared" si="40"/>
        <v>0.26210358202145073</v>
      </c>
      <c r="I78">
        <f t="shared" si="41"/>
        <v>356.39720880209461</v>
      </c>
      <c r="J78">
        <f t="shared" si="42"/>
        <v>9793.009129820417</v>
      </c>
      <c r="K78">
        <f t="shared" si="43"/>
        <v>1.6697607247649512E-2</v>
      </c>
      <c r="L78">
        <f t="shared" si="44"/>
        <v>1.8408016925059691</v>
      </c>
      <c r="M78">
        <f t="shared" si="45"/>
        <v>358.23801049460059</v>
      </c>
      <c r="N78">
        <f t="shared" si="46"/>
        <v>9794.8499315129229</v>
      </c>
      <c r="O78">
        <f t="shared" si="47"/>
        <v>0.99537848751312596</v>
      </c>
      <c r="P78">
        <f t="shared" si="48"/>
        <v>358.23410368378791</v>
      </c>
      <c r="Q78">
        <f t="shared" si="49"/>
        <v>23.435882670255744</v>
      </c>
      <c r="R78">
        <f t="shared" si="50"/>
        <v>23.438257864837016</v>
      </c>
      <c r="S78">
        <f t="shared" si="51"/>
        <v>-1.6202720184966559</v>
      </c>
      <c r="T78" s="19">
        <f t="shared" si="52"/>
        <v>-0.70231038464885365</v>
      </c>
      <c r="U78">
        <f t="shared" si="53"/>
        <v>4.3030627358414647E-2</v>
      </c>
      <c r="V78">
        <f t="shared" si="54"/>
        <v>-7.9234065775814546</v>
      </c>
      <c r="W78">
        <f t="shared" si="55"/>
        <v>90.510552983896176</v>
      </c>
      <c r="X78" s="6">
        <f t="shared" si="56"/>
        <v>0.51092422678998717</v>
      </c>
      <c r="Y78" s="6">
        <f t="shared" si="57"/>
        <v>0.25950602405694223</v>
      </c>
      <c r="Z78" s="6">
        <f t="shared" si="58"/>
        <v>0.76234242952303199</v>
      </c>
      <c r="AA78" s="19">
        <f t="shared" si="59"/>
        <v>724.08442387116941</v>
      </c>
      <c r="AB78">
        <f t="shared" si="60"/>
        <v>704.26911342241851</v>
      </c>
      <c r="AC78">
        <f t="shared" si="61"/>
        <v>-3.9327216443953716</v>
      </c>
      <c r="AD78">
        <f t="shared" si="36"/>
        <v>38.474430288315801</v>
      </c>
      <c r="AE78">
        <f t="shared" si="62"/>
        <v>51.525569711684199</v>
      </c>
      <c r="AF78">
        <f t="shared" si="63"/>
        <v>1.2815944868256447E-2</v>
      </c>
      <c r="AG78">
        <f t="shared" si="64"/>
        <v>51.538385656552457</v>
      </c>
      <c r="AH78">
        <f t="shared" si="37"/>
        <v>173.6715534206968</v>
      </c>
      <c r="AK78">
        <f t="shared" si="65"/>
        <v>-1.2257321635033474E-2</v>
      </c>
      <c r="AL78">
        <f t="shared" si="66"/>
        <v>0.99992487621137582</v>
      </c>
      <c r="AM78">
        <f t="shared" si="67"/>
        <v>724</v>
      </c>
      <c r="AN78">
        <f t="shared" si="68"/>
        <v>-362</v>
      </c>
      <c r="AO78">
        <f t="shared" si="69"/>
        <v>362</v>
      </c>
      <c r="AP78" s="16" cm="1">
        <f t="array" ref="AP78">SUMPRODUCT(1362*POWER(0.7,POWER(1/($AI$2*AK78+$AJ$2*AL78*COS(RADIANS(0.25*(_xlfn.SEQUENCE(AO78-AN78,1,AN78+1))))+0.50572*POWER(96.07995-DEGREES(ACOS($AI$2*AK78+$AJ$2*AL78*COS(RADIANS(0.25*(_xlfn.SEQUENCE(AO78-AN78,1,AN78+1)))))),-1.6364)),0.678))*IF(AL78*COS(RADIANS(0.25*(_xlfn.SEQUENCE(AO78-AN78,1,AN78+1))))&gt;0,AL78*COS(RADIANS(0.25*(_xlfn.SEQUENCE(AO78-AN78,1,AN78+1)))),0)/60)</f>
        <v>6158.8203175931385</v>
      </c>
      <c r="AQ78" s="17" cm="1">
        <f t="array" ref="AQ78">SUMPRODUCT(1362*POWER(0.7,POWER(1/($AI$2*AK78+$AJ$2*AL78*COS(RADIANS(0.25*(_xlfn.SEQUENCE(AO78-AN78,1,AN78+1))))+0.50572*POWER(96.07995-DEGREES(ACOS($AI$2*AK78+$AJ$2*AL78*COS(RADIANS(0.25*(_xlfn.SEQUENCE(AO78-AN78,1,AN78+1)))))),-1.6364)),0.678))/60)</f>
        <v>8399.2277954978581</v>
      </c>
      <c r="AR78" s="15">
        <f t="shared" si="70"/>
        <v>1.3637721775231573</v>
      </c>
      <c r="AT78">
        <v>0.20245957285098889</v>
      </c>
      <c r="AU78">
        <v>78.319174865931188</v>
      </c>
      <c r="AV78">
        <v>4.8303812809822153</v>
      </c>
      <c r="AW78">
        <v>482.58274767522261</v>
      </c>
    </row>
    <row r="79" spans="4:49" ht="17" x14ac:dyDescent="0.2">
      <c r="D79" s="1">
        <f t="shared" si="71"/>
        <v>46100</v>
      </c>
      <c r="E79" s="6">
        <f t="shared" si="38"/>
        <v>0.5</v>
      </c>
      <c r="F79" s="2">
        <f t="shared" si="39"/>
        <v>2461119.3333333335</v>
      </c>
      <c r="G79" s="3">
        <f t="shared" si="40"/>
        <v>0.26213096052932205</v>
      </c>
      <c r="I79">
        <f t="shared" si="41"/>
        <v>357.38285616661051</v>
      </c>
      <c r="J79">
        <f t="shared" si="42"/>
        <v>9793.9947300999356</v>
      </c>
      <c r="K79">
        <f t="shared" si="43"/>
        <v>1.6697606094920683E-2</v>
      </c>
      <c r="L79">
        <f t="shared" si="44"/>
        <v>1.8495607962087202</v>
      </c>
      <c r="M79">
        <f t="shared" si="45"/>
        <v>359.23241696281923</v>
      </c>
      <c r="N79">
        <f t="shared" si="46"/>
        <v>9795.8442908961442</v>
      </c>
      <c r="O79">
        <f t="shared" si="47"/>
        <v>0.99565641319067744</v>
      </c>
      <c r="P79">
        <f t="shared" si="48"/>
        <v>359.2285142500873</v>
      </c>
      <c r="Q79">
        <f t="shared" si="49"/>
        <v>23.435882314221555</v>
      </c>
      <c r="R79">
        <f t="shared" si="50"/>
        <v>23.438256625148458</v>
      </c>
      <c r="S79">
        <f t="shared" si="51"/>
        <v>-0.70783664522832501</v>
      </c>
      <c r="T79" s="19">
        <f t="shared" si="52"/>
        <v>-0.30685882177885393</v>
      </c>
      <c r="U79">
        <f t="shared" si="53"/>
        <v>4.3030622677013609E-2</v>
      </c>
      <c r="V79">
        <f t="shared" si="54"/>
        <v>-7.6299018530776204</v>
      </c>
      <c r="W79">
        <f t="shared" si="55"/>
        <v>90.815073340084183</v>
      </c>
      <c r="X79" s="6">
        <f t="shared" si="56"/>
        <v>0.51072040406463715</v>
      </c>
      <c r="Y79" s="6">
        <f t="shared" si="57"/>
        <v>0.25845631145329218</v>
      </c>
      <c r="Z79" s="6">
        <f t="shared" si="58"/>
        <v>0.76298449667598212</v>
      </c>
      <c r="AA79" s="19">
        <f t="shared" si="59"/>
        <v>726.52058672067346</v>
      </c>
      <c r="AB79">
        <f t="shared" si="60"/>
        <v>704.56261814692243</v>
      </c>
      <c r="AC79">
        <f t="shared" si="61"/>
        <v>-3.859345463269392</v>
      </c>
      <c r="AD79">
        <f t="shared" si="36"/>
        <v>38.074098294223354</v>
      </c>
      <c r="AE79">
        <f t="shared" si="62"/>
        <v>51.925901705776646</v>
      </c>
      <c r="AF79">
        <f t="shared" si="63"/>
        <v>1.263338748947343E-2</v>
      </c>
      <c r="AG79">
        <f t="shared" si="64"/>
        <v>51.938535093266118</v>
      </c>
      <c r="AH79">
        <f t="shared" si="37"/>
        <v>173.73407651750017</v>
      </c>
      <c r="AK79">
        <f t="shared" si="65"/>
        <v>-5.3556711755241675E-3</v>
      </c>
      <c r="AL79">
        <f t="shared" si="66"/>
        <v>0.99998565829028752</v>
      </c>
      <c r="AM79">
        <f t="shared" si="67"/>
        <v>727</v>
      </c>
      <c r="AN79">
        <f t="shared" si="68"/>
        <v>-363.5</v>
      </c>
      <c r="AO79">
        <f t="shared" si="69"/>
        <v>363.5</v>
      </c>
      <c r="AP79" s="16" cm="1">
        <f t="array" ref="AP79">SUMPRODUCT(1362*POWER(0.7,POWER(1/($AI$2*AK79+$AJ$2*AL79*COS(RADIANS(0.25*(_xlfn.SEQUENCE(AO79-AN79,1,AN79+1))))+0.50572*POWER(96.07995-DEGREES(ACOS($AI$2*AK79+$AJ$2*AL79*COS(RADIANS(0.25*(_xlfn.SEQUENCE(AO79-AN79,1,AN79+1)))))),-1.6364)),0.678))*IF(AL79*COS(RADIANS(0.25*(_xlfn.SEQUENCE(AO79-AN79,1,AN79+1))))&gt;0,AL79*COS(RADIANS(0.25*(_xlfn.SEQUENCE(AO79-AN79,1,AN79+1)))),0)/60)</f>
        <v>6176.9265211101629</v>
      </c>
      <c r="AQ79" s="17" cm="1">
        <f t="array" ref="AQ79">SUMPRODUCT(1362*POWER(0.7,POWER(1/($AI$2*AK79+$AJ$2*AL79*COS(RADIANS(0.25*(_xlfn.SEQUENCE(AO79-AN79,1,AN79+1))))+0.50572*POWER(96.07995-DEGREES(ACOS($AI$2*AK79+$AJ$2*AL79*COS(RADIANS(0.25*(_xlfn.SEQUENCE(AO79-AN79,1,AN79+1)))))),-1.6364)),0.678))/60)</f>
        <v>8443.5785837047533</v>
      </c>
      <c r="AR79" s="15">
        <f t="shared" si="70"/>
        <v>1.3669546747639165</v>
      </c>
      <c r="AT79">
        <v>0.20499359133754227</v>
      </c>
      <c r="AU79">
        <v>78.170876107966919</v>
      </c>
      <c r="AV79">
        <v>4.7733758618073292</v>
      </c>
      <c r="AW79">
        <v>486.61348357964192</v>
      </c>
    </row>
    <row r="80" spans="4:49" ht="17" x14ac:dyDescent="0.2">
      <c r="D80" s="1">
        <f t="shared" si="71"/>
        <v>46101</v>
      </c>
      <c r="E80" s="6">
        <f t="shared" si="38"/>
        <v>0.5</v>
      </c>
      <c r="F80" s="2">
        <f t="shared" si="39"/>
        <v>2461120.3333333335</v>
      </c>
      <c r="G80" s="3">
        <f t="shared" si="40"/>
        <v>0.26215833903719338</v>
      </c>
      <c r="I80">
        <f t="shared" si="41"/>
        <v>358.36850353112641</v>
      </c>
      <c r="J80">
        <f t="shared" si="42"/>
        <v>9794.9803303794542</v>
      </c>
      <c r="K80">
        <f t="shared" si="43"/>
        <v>1.6697604942191663E-2</v>
      </c>
      <c r="L80">
        <f t="shared" si="44"/>
        <v>1.8577636761345466</v>
      </c>
      <c r="M80">
        <f t="shared" si="45"/>
        <v>360.22626720726095</v>
      </c>
      <c r="N80">
        <f t="shared" si="46"/>
        <v>9796.838094055589</v>
      </c>
      <c r="O80">
        <f t="shared" si="47"/>
        <v>0.99593555772267051</v>
      </c>
      <c r="P80">
        <f t="shared" si="48"/>
        <v>360.22236859108313</v>
      </c>
      <c r="Q80">
        <f t="shared" si="49"/>
        <v>23.435881958187363</v>
      </c>
      <c r="R80">
        <f t="shared" si="50"/>
        <v>23.438255383431812</v>
      </c>
      <c r="S80">
        <f t="shared" si="51"/>
        <v>0.20402095447609567</v>
      </c>
      <c r="T80" s="19">
        <f t="shared" si="52"/>
        <v>8.8449270772644029E-2</v>
      </c>
      <c r="U80">
        <f t="shared" si="53"/>
        <v>4.3030617987954226E-2</v>
      </c>
      <c r="V80">
        <f t="shared" si="54"/>
        <v>-7.33420087945552</v>
      </c>
      <c r="W80">
        <f t="shared" si="55"/>
        <v>91.119533788125281</v>
      </c>
      <c r="X80" s="6">
        <f t="shared" si="56"/>
        <v>0.51051505616628845</v>
      </c>
      <c r="Y80" s="6">
        <f t="shared" si="57"/>
        <v>0.25740524008816268</v>
      </c>
      <c r="Z80" s="6">
        <f t="shared" si="58"/>
        <v>0.76362487224441433</v>
      </c>
      <c r="AA80" s="19">
        <f t="shared" si="59"/>
        <v>728.95627030500225</v>
      </c>
      <c r="AB80">
        <f t="shared" si="60"/>
        <v>704.85831912054459</v>
      </c>
      <c r="AC80">
        <f t="shared" si="61"/>
        <v>-3.7854202198638518</v>
      </c>
      <c r="AD80">
        <f t="shared" si="36"/>
        <v>37.673896003591494</v>
      </c>
      <c r="AE80">
        <f t="shared" si="62"/>
        <v>52.326103996408506</v>
      </c>
      <c r="AF80">
        <f t="shared" si="63"/>
        <v>1.2452864382747512E-2</v>
      </c>
      <c r="AG80">
        <f t="shared" si="64"/>
        <v>52.33855686079125</v>
      </c>
      <c r="AH80">
        <f t="shared" si="37"/>
        <v>173.7986490394677</v>
      </c>
      <c r="AK80">
        <f t="shared" si="65"/>
        <v>1.5437303828250914E-3</v>
      </c>
      <c r="AL80">
        <f t="shared" si="66"/>
        <v>0.99999880844754263</v>
      </c>
      <c r="AM80">
        <f t="shared" si="67"/>
        <v>729</v>
      </c>
      <c r="AN80">
        <f t="shared" si="68"/>
        <v>-364.5</v>
      </c>
      <c r="AO80">
        <f t="shared" si="69"/>
        <v>364.5</v>
      </c>
      <c r="AP80" s="16" cm="1">
        <f t="array" ref="AP80">SUMPRODUCT(1362*POWER(0.7,POWER(1/($AI$2*AK80+$AJ$2*AL80*COS(RADIANS(0.25*(_xlfn.SEQUENCE(AO80-AN80,1,AN80+1))))+0.50572*POWER(96.07995-DEGREES(ACOS($AI$2*AK80+$AJ$2*AL80*COS(RADIANS(0.25*(_xlfn.SEQUENCE(AO80-AN80,1,AN80+1)))))),-1.6364)),0.678))*IF(AL80*COS(RADIANS(0.25*(_xlfn.SEQUENCE(AO80-AN80,1,AN80+1))))&gt;0,AL80*COS(RADIANS(0.25*(_xlfn.SEQUENCE(AO80-AN80,1,AN80+1)))),0)/60)</f>
        <v>6194.4430867111541</v>
      </c>
      <c r="AQ80" s="17" cm="1">
        <f t="array" ref="AQ80">SUMPRODUCT(1362*POWER(0.7,POWER(1/($AI$2*AK80+$AJ$2*AL80*COS(RADIANS(0.25*(_xlfn.SEQUENCE(AO80-AN80,1,AN80+1))))+0.50572*POWER(96.07995-DEGREES(ACOS($AI$2*AK80+$AJ$2*AL80*COS(RADIANS(0.25*(_xlfn.SEQUENCE(AO80-AN80,1,AN80+1)))))),-1.6364)),0.678))/60)</f>
        <v>8487.6207951480956</v>
      </c>
      <c r="AR80" s="15">
        <f t="shared" si="70"/>
        <v>1.3701991730873211</v>
      </c>
      <c r="AT80">
        <v>0.20751917798715555</v>
      </c>
      <c r="AU80">
        <v>78.022990773736154</v>
      </c>
      <c r="AV80">
        <v>4.7178545642126117</v>
      </c>
      <c r="AW80">
        <v>490.58675231263032</v>
      </c>
    </row>
    <row r="81" spans="4:49" ht="17" x14ac:dyDescent="0.2">
      <c r="D81" s="1">
        <f t="shared" si="71"/>
        <v>46102</v>
      </c>
      <c r="E81" s="6">
        <f t="shared" si="38"/>
        <v>0.5</v>
      </c>
      <c r="F81" s="2">
        <f t="shared" si="39"/>
        <v>2461121.3333333335</v>
      </c>
      <c r="G81" s="3">
        <f t="shared" si="40"/>
        <v>0.2621857175450647</v>
      </c>
      <c r="I81">
        <f t="shared" si="41"/>
        <v>359.35415089564412</v>
      </c>
      <c r="J81">
        <f t="shared" si="42"/>
        <v>9795.9659306589747</v>
      </c>
      <c r="K81">
        <f t="shared" si="43"/>
        <v>1.6697603789462452E-2</v>
      </c>
      <c r="L81">
        <f t="shared" si="44"/>
        <v>1.8654084532184934</v>
      </c>
      <c r="M81">
        <f t="shared" si="45"/>
        <v>361.21955934886262</v>
      </c>
      <c r="N81">
        <f t="shared" si="46"/>
        <v>9797.8313391121937</v>
      </c>
      <c r="O81">
        <f t="shared" si="47"/>
        <v>0.99621583647005707</v>
      </c>
      <c r="P81">
        <f t="shared" si="48"/>
        <v>361.21566482770874</v>
      </c>
      <c r="Q81">
        <f t="shared" si="49"/>
        <v>23.435881602153174</v>
      </c>
      <c r="R81">
        <f t="shared" si="50"/>
        <v>23.438254139687842</v>
      </c>
      <c r="S81">
        <f t="shared" si="51"/>
        <v>1.1153859033742757</v>
      </c>
      <c r="T81" s="19">
        <f t="shared" si="52"/>
        <v>0.48351297113605785</v>
      </c>
      <c r="U81">
        <f t="shared" si="53"/>
        <v>4.3030613291239403E-2</v>
      </c>
      <c r="V81">
        <f t="shared" si="54"/>
        <v>-7.0366431498740392</v>
      </c>
      <c r="W81">
        <f t="shared" si="55"/>
        <v>91.423894089342397</v>
      </c>
      <c r="X81" s="6">
        <f t="shared" si="56"/>
        <v>0.51030841885407907</v>
      </c>
      <c r="Y81" s="6">
        <f t="shared" si="57"/>
        <v>0.25635315749479465</v>
      </c>
      <c r="Z81" s="6">
        <f t="shared" si="58"/>
        <v>0.76426368021336355</v>
      </c>
      <c r="AA81" s="19">
        <f t="shared" si="59"/>
        <v>731.39115271473918</v>
      </c>
      <c r="AB81">
        <f t="shared" si="60"/>
        <v>705.15587685012588</v>
      </c>
      <c r="AC81">
        <f t="shared" si="61"/>
        <v>-3.7110307874685304</v>
      </c>
      <c r="AD81">
        <f t="shared" si="36"/>
        <v>37.273933754439931</v>
      </c>
      <c r="AE81">
        <f t="shared" si="62"/>
        <v>52.726066245560069</v>
      </c>
      <c r="AF81">
        <f t="shared" si="63"/>
        <v>1.2274373578580335E-2</v>
      </c>
      <c r="AG81">
        <f t="shared" si="64"/>
        <v>52.738340619138647</v>
      </c>
      <c r="AH81">
        <f t="shared" si="37"/>
        <v>173.86519566046536</v>
      </c>
      <c r="AK81">
        <f t="shared" si="65"/>
        <v>8.4387931602616494E-3</v>
      </c>
      <c r="AL81">
        <f t="shared" si="66"/>
        <v>0.99996439275106108</v>
      </c>
      <c r="AM81">
        <f t="shared" si="67"/>
        <v>731</v>
      </c>
      <c r="AN81">
        <f t="shared" si="68"/>
        <v>-365.5</v>
      </c>
      <c r="AO81">
        <f t="shared" si="69"/>
        <v>365.5</v>
      </c>
      <c r="AP81" s="16" cm="1">
        <f t="array" ref="AP81">SUMPRODUCT(1362*POWER(0.7,POWER(1/($AI$2*AK81+$AJ$2*AL81*COS(RADIANS(0.25*(_xlfn.SEQUENCE(AO81-AN81,1,AN81+1))))+0.50572*POWER(96.07995-DEGREES(ACOS($AI$2*AK81+$AJ$2*AL81*COS(RADIANS(0.25*(_xlfn.SEQUENCE(AO81-AN81,1,AN81+1)))))),-1.6364)),0.678))*IF(AL81*COS(RADIANS(0.25*(_xlfn.SEQUENCE(AO81-AN81,1,AN81+1))))&gt;0,AL81*COS(RADIANS(0.25*(_xlfn.SEQUENCE(AO81-AN81,1,AN81+1)))),0)/60)</f>
        <v>6211.3674152944113</v>
      </c>
      <c r="AQ81" s="17" cm="1">
        <f t="array" ref="AQ81">SUMPRODUCT(1362*POWER(0.7,POWER(1/($AI$2*AK81+$AJ$2*AL81*COS(RADIANS(0.25*(_xlfn.SEQUENCE(AO81-AN81,1,AN81+1))))+0.50572*POWER(96.07995-DEGREES(ACOS($AI$2*AK81+$AJ$2*AL81*COS(RADIANS(0.25*(_xlfn.SEQUENCE(AO81-AN81,1,AN81+1)))))),-1.6364)),0.678))/60)</f>
        <v>8531.4624781522689</v>
      </c>
      <c r="AR81" s="15">
        <f t="shared" si="70"/>
        <v>1.3735240419275516</v>
      </c>
      <c r="AT81">
        <v>0.2100362847162994</v>
      </c>
      <c r="AU81">
        <v>77.875521370384874</v>
      </c>
      <c r="AV81">
        <v>4.6637629196092139</v>
      </c>
      <c r="AW81">
        <v>494.50358945806943</v>
      </c>
    </row>
    <row r="82" spans="4:49" ht="17" x14ac:dyDescent="0.2">
      <c r="D82" s="1">
        <f t="shared" si="71"/>
        <v>46103</v>
      </c>
      <c r="E82" s="6">
        <f t="shared" si="38"/>
        <v>0.5</v>
      </c>
      <c r="F82" s="2">
        <f t="shared" si="39"/>
        <v>2461122.3333333335</v>
      </c>
      <c r="G82" s="3">
        <f t="shared" si="40"/>
        <v>0.26221309605293602</v>
      </c>
      <c r="I82">
        <f t="shared" si="41"/>
        <v>0.33979826016184234</v>
      </c>
      <c r="J82">
        <f t="shared" si="42"/>
        <v>9796.9515309384915</v>
      </c>
      <c r="K82">
        <f t="shared" si="43"/>
        <v>1.6697602636733051E-2</v>
      </c>
      <c r="L82">
        <f t="shared" si="44"/>
        <v>1.8724934227519845</v>
      </c>
      <c r="M82">
        <f t="shared" si="45"/>
        <v>2.2122916829138268</v>
      </c>
      <c r="N82">
        <f t="shared" si="46"/>
        <v>9798.8240243612436</v>
      </c>
      <c r="O82">
        <f t="shared" si="47"/>
        <v>0.99649716459246762</v>
      </c>
      <c r="P82">
        <f t="shared" si="48"/>
        <v>2.2084012552502781</v>
      </c>
      <c r="Q82">
        <f t="shared" si="49"/>
        <v>23.435881246118985</v>
      </c>
      <c r="R82">
        <f t="shared" si="50"/>
        <v>23.438252893917305</v>
      </c>
      <c r="S82">
        <f t="shared" si="51"/>
        <v>2.026343179532311</v>
      </c>
      <c r="T82" s="19">
        <f t="shared" si="52"/>
        <v>0.87823176124493407</v>
      </c>
      <c r="U82">
        <f t="shared" si="53"/>
        <v>4.303060858687198E-2</v>
      </c>
      <c r="V82">
        <f t="shared" si="54"/>
        <v>-6.7375668613188715</v>
      </c>
      <c r="W82">
        <f t="shared" si="55"/>
        <v>91.728114131006834</v>
      </c>
      <c r="X82" s="6">
        <f t="shared" si="56"/>
        <v>0.51010072698702691</v>
      </c>
      <c r="Y82" s="6">
        <f t="shared" si="57"/>
        <v>0.25530040995645237</v>
      </c>
      <c r="Z82" s="6">
        <f t="shared" si="58"/>
        <v>0.76490104401760151</v>
      </c>
      <c r="AA82" s="19">
        <f t="shared" si="59"/>
        <v>733.82491304805467</v>
      </c>
      <c r="AB82">
        <f t="shared" si="60"/>
        <v>705.45495313868105</v>
      </c>
      <c r="AC82">
        <f t="shared" si="61"/>
        <v>-3.6362617153297379</v>
      </c>
      <c r="AD82">
        <f t="shared" si="36"/>
        <v>36.874321266207438</v>
      </c>
      <c r="AE82">
        <f t="shared" si="62"/>
        <v>53.125678733792562</v>
      </c>
      <c r="AF82">
        <f t="shared" si="63"/>
        <v>1.2097912292140521E-2</v>
      </c>
      <c r="AG82">
        <f t="shared" si="64"/>
        <v>53.137776646084703</v>
      </c>
      <c r="AH82">
        <f t="shared" si="37"/>
        <v>173.93363830343117</v>
      </c>
      <c r="AK82">
        <f t="shared" si="65"/>
        <v>1.532743561939353E-2</v>
      </c>
      <c r="AL82">
        <f t="shared" si="66"/>
        <v>0.99988252795882648</v>
      </c>
      <c r="AM82">
        <f t="shared" si="67"/>
        <v>734</v>
      </c>
      <c r="AN82">
        <f t="shared" si="68"/>
        <v>-367</v>
      </c>
      <c r="AO82">
        <f t="shared" si="69"/>
        <v>367</v>
      </c>
      <c r="AP82" s="16" cm="1">
        <f t="array" ref="AP82">SUMPRODUCT(1362*POWER(0.7,POWER(1/($AI$2*AK82+$AJ$2*AL82*COS(RADIANS(0.25*(_xlfn.SEQUENCE(AO82-AN82,1,AN82+1))))+0.50572*POWER(96.07995-DEGREES(ACOS($AI$2*AK82+$AJ$2*AL82*COS(RADIANS(0.25*(_xlfn.SEQUENCE(AO82-AN82,1,AN82+1)))))),-1.6364)),0.678))*IF(AL82*COS(RADIANS(0.25*(_xlfn.SEQUENCE(AO82-AN82,1,AN82+1))))&gt;0,AL82*COS(RADIANS(0.25*(_xlfn.SEQUENCE(AO82-AN82,1,AN82+1)))),0)/60)</f>
        <v>6227.6968899377807</v>
      </c>
      <c r="AQ82" s="17" cm="1">
        <f t="array" ref="AQ82">SUMPRODUCT(1362*POWER(0.7,POWER(1/($AI$2*AK82+$AJ$2*AL82*COS(RADIANS(0.25*(_xlfn.SEQUENCE(AO82-AN82,1,AN82+1))))+0.50572*POWER(96.07995-DEGREES(ACOS($AI$2*AK82+$AJ$2*AL82*COS(RADIANS(0.25*(_xlfn.SEQUENCE(AO82-AN82,1,AN82+1)))))),-1.6364)),0.678))/60)</f>
        <v>8575.2233961145503</v>
      </c>
      <c r="AR82" s="15">
        <f t="shared" si="70"/>
        <v>1.3769493839640328</v>
      </c>
      <c r="AT82">
        <v>0.21254486360289018</v>
      </c>
      <c r="AU82">
        <v>77.728470416292097</v>
      </c>
      <c r="AV82">
        <v>4.6110490658477934</v>
      </c>
      <c r="AW82">
        <v>498.36500962449503</v>
      </c>
    </row>
    <row r="83" spans="4:49" ht="17" x14ac:dyDescent="0.2">
      <c r="D83" s="1">
        <f t="shared" si="71"/>
        <v>46104</v>
      </c>
      <c r="E83" s="6">
        <f t="shared" si="38"/>
        <v>0.5</v>
      </c>
      <c r="F83" s="2">
        <f t="shared" si="39"/>
        <v>2461123.3333333335</v>
      </c>
      <c r="G83" s="3">
        <f t="shared" si="40"/>
        <v>0.26224047456080735</v>
      </c>
      <c r="I83">
        <f t="shared" si="41"/>
        <v>1.3254456246777409</v>
      </c>
      <c r="J83">
        <f t="shared" si="42"/>
        <v>9797.9371312180101</v>
      </c>
      <c r="K83">
        <f t="shared" si="43"/>
        <v>1.6697601484003462E-2</v>
      </c>
      <c r="L83">
        <f t="shared" si="44"/>
        <v>1.8790170541918039</v>
      </c>
      <c r="M83">
        <f t="shared" si="45"/>
        <v>3.2044626788695449</v>
      </c>
      <c r="N83">
        <f t="shared" si="46"/>
        <v>9799.8161482722026</v>
      </c>
      <c r="O83">
        <f t="shared" si="47"/>
        <v>0.99677945707532167</v>
      </c>
      <c r="P83">
        <f t="shared" si="48"/>
        <v>3.2005763431591316</v>
      </c>
      <c r="Q83">
        <f t="shared" si="49"/>
        <v>23.4358808900848</v>
      </c>
      <c r="R83">
        <f t="shared" si="50"/>
        <v>23.438251646120964</v>
      </c>
      <c r="S83">
        <f t="shared" si="51"/>
        <v>2.9369775605696504</v>
      </c>
      <c r="T83" s="19">
        <f t="shared" si="52"/>
        <v>1.2725055152868634</v>
      </c>
      <c r="U83">
        <f t="shared" si="53"/>
        <v>4.3030603874854849E-2</v>
      </c>
      <c r="V83">
        <f t="shared" si="54"/>
        <v>-6.4373087304297938</v>
      </c>
      <c r="W83">
        <f t="shared" si="55"/>
        <v>92.032153843917527</v>
      </c>
      <c r="X83" s="6">
        <f t="shared" si="56"/>
        <v>0.50989221439613175</v>
      </c>
      <c r="Y83" s="6">
        <f t="shared" si="57"/>
        <v>0.25424734260747195</v>
      </c>
      <c r="Z83" s="6">
        <f t="shared" si="58"/>
        <v>0.76553708618479155</v>
      </c>
      <c r="AA83" s="19">
        <f t="shared" si="59"/>
        <v>736.25723075134022</v>
      </c>
      <c r="AB83">
        <f t="shared" si="60"/>
        <v>705.75521126957028</v>
      </c>
      <c r="AC83">
        <f t="shared" si="61"/>
        <v>-3.5611971826074296</v>
      </c>
      <c r="AD83">
        <f t="shared" si="36"/>
        <v>36.475167630986924</v>
      </c>
      <c r="AE83">
        <f t="shared" si="62"/>
        <v>53.524832369013076</v>
      </c>
      <c r="AF83">
        <f t="shared" si="63"/>
        <v>1.1923477005146427E-2</v>
      </c>
      <c r="AG83">
        <f t="shared" si="64"/>
        <v>53.536755846018224</v>
      </c>
      <c r="AH83">
        <f t="shared" si="37"/>
        <v>174.00389607789168</v>
      </c>
      <c r="AK83">
        <f t="shared" si="65"/>
        <v>2.2207585208532714E-2</v>
      </c>
      <c r="AL83">
        <f t="shared" si="66"/>
        <v>0.999753381169179</v>
      </c>
      <c r="AM83">
        <f t="shared" si="67"/>
        <v>736</v>
      </c>
      <c r="AN83">
        <f t="shared" si="68"/>
        <v>-368</v>
      </c>
      <c r="AO83">
        <f t="shared" si="69"/>
        <v>368</v>
      </c>
      <c r="AP83" s="16" cm="1">
        <f t="array" ref="AP83">SUMPRODUCT(1362*POWER(0.7,POWER(1/($AI$2*AK83+$AJ$2*AL83*COS(RADIANS(0.25*(_xlfn.SEQUENCE(AO83-AN83,1,AN83+1))))+0.50572*POWER(96.07995-DEGREES(ACOS($AI$2*AK83+$AJ$2*AL83*COS(RADIANS(0.25*(_xlfn.SEQUENCE(AO83-AN83,1,AN83+1)))))),-1.6364)),0.678))*IF(AL83*COS(RADIANS(0.25*(_xlfn.SEQUENCE(AO83-AN83,1,AN83+1))))&gt;0,AL83*COS(RADIANS(0.25*(_xlfn.SEQUENCE(AO83-AN83,1,AN83+1)))),0)/60)</f>
        <v>6243.4314936304263</v>
      </c>
      <c r="AQ83" s="17" cm="1">
        <f t="array" ref="AQ83">SUMPRODUCT(1362*POWER(0.7,POWER(1/($AI$2*AK83+$AJ$2*AL83*COS(RADIANS(0.25*(_xlfn.SEQUENCE(AO83-AN83,1,AN83+1))))+0.50572*POWER(96.07995-DEGREES(ACOS($AI$2*AK83+$AJ$2*AL83*COS(RADIANS(0.25*(_xlfn.SEQUENCE(AO83-AN83,1,AN83+1)))))),-1.6364)),0.678))/60)</f>
        <v>8618.6498420653443</v>
      </c>
      <c r="AR83" s="15">
        <f t="shared" si="70"/>
        <v>1.3804347578504106</v>
      </c>
      <c r="AT83">
        <v>0.21504486688720179</v>
      </c>
      <c r="AU83">
        <v>77.58184044104911</v>
      </c>
      <c r="AV83">
        <v>4.5596635952964633</v>
      </c>
      <c r="AW83">
        <v>502.17200662499249</v>
      </c>
    </row>
    <row r="84" spans="4:49" ht="17" x14ac:dyDescent="0.2">
      <c r="D84" s="1">
        <f t="shared" si="71"/>
        <v>46105</v>
      </c>
      <c r="E84" s="6">
        <f t="shared" si="38"/>
        <v>0.5</v>
      </c>
      <c r="F84" s="2">
        <f t="shared" si="39"/>
        <v>2461124.3333333335</v>
      </c>
      <c r="G84" s="3">
        <f t="shared" si="40"/>
        <v>0.26226785306867867</v>
      </c>
      <c r="I84">
        <f t="shared" si="41"/>
        <v>2.3110929891954584</v>
      </c>
      <c r="J84">
        <f t="shared" si="42"/>
        <v>9798.9227314975287</v>
      </c>
      <c r="K84">
        <f t="shared" si="43"/>
        <v>1.6697600331273682E-2</v>
      </c>
      <c r="L84">
        <f t="shared" si="44"/>
        <v>1.8849779909091084</v>
      </c>
      <c r="M84">
        <f t="shared" si="45"/>
        <v>4.196070980104567</v>
      </c>
      <c r="N84">
        <f t="shared" si="46"/>
        <v>9800.8077094884375</v>
      </c>
      <c r="O84">
        <f t="shared" si="47"/>
        <v>0.99706262875681129</v>
      </c>
      <c r="P84">
        <f t="shared" si="48"/>
        <v>4.1921887348066393</v>
      </c>
      <c r="Q84">
        <f t="shared" si="49"/>
        <v>23.435880534050611</v>
      </c>
      <c r="R84">
        <f t="shared" si="50"/>
        <v>23.438250396299569</v>
      </c>
      <c r="S84">
        <f t="shared" si="51"/>
        <v>3.8473735684234533</v>
      </c>
      <c r="T84" s="19">
        <f t="shared" si="52"/>
        <v>1.6662344880548083</v>
      </c>
      <c r="U84">
        <f t="shared" si="53"/>
        <v>4.3030599155190856E-2</v>
      </c>
      <c r="V84">
        <f t="shared" si="54"/>
        <v>-6.1362038157215171</v>
      </c>
      <c r="W84">
        <f t="shared" si="55"/>
        <v>92.335973120500199</v>
      </c>
      <c r="X84" s="6">
        <f t="shared" si="56"/>
        <v>0.50968311376091768</v>
      </c>
      <c r="Y84" s="6">
        <f t="shared" si="57"/>
        <v>0.25319429953730599</v>
      </c>
      <c r="Z84" s="6">
        <f t="shared" si="58"/>
        <v>0.76617192798452938</v>
      </c>
      <c r="AA84" s="19">
        <f t="shared" si="59"/>
        <v>738.68778496400159</v>
      </c>
      <c r="AB84">
        <f t="shared" si="60"/>
        <v>706.05631618427856</v>
      </c>
      <c r="AC84">
        <f t="shared" si="61"/>
        <v>-3.4859209539303606</v>
      </c>
      <c r="AD84">
        <f t="shared" si="36"/>
        <v>36.076581305848237</v>
      </c>
      <c r="AE84">
        <f t="shared" si="62"/>
        <v>53.923418694151763</v>
      </c>
      <c r="AF84">
        <f t="shared" si="63"/>
        <v>1.1751063543705951E-2</v>
      </c>
      <c r="AG84">
        <f t="shared" si="64"/>
        <v>53.935169757695469</v>
      </c>
      <c r="AH84">
        <f t="shared" si="37"/>
        <v>174.07588521345804</v>
      </c>
      <c r="AK84">
        <f t="shared" si="65"/>
        <v>2.9077178993590483E-2</v>
      </c>
      <c r="AL84">
        <f t="shared" si="66"/>
        <v>0.99957716943804531</v>
      </c>
      <c r="AM84">
        <f t="shared" si="67"/>
        <v>739</v>
      </c>
      <c r="AN84">
        <f t="shared" si="68"/>
        <v>-369.5</v>
      </c>
      <c r="AO84">
        <f t="shared" si="69"/>
        <v>369.5</v>
      </c>
      <c r="AP84" s="16" cm="1">
        <f t="array" ref="AP84">SUMPRODUCT(1362*POWER(0.7,POWER(1/($AI$2*AK84+$AJ$2*AL84*COS(RADIANS(0.25*(_xlfn.SEQUENCE(AO84-AN84,1,AN84+1))))+0.50572*POWER(96.07995-DEGREES(ACOS($AI$2*AK84+$AJ$2*AL84*COS(RADIANS(0.25*(_xlfn.SEQUENCE(AO84-AN84,1,AN84+1)))))),-1.6364)),0.678))*IF(AL84*COS(RADIANS(0.25*(_xlfn.SEQUENCE(AO84-AN84,1,AN84+1))))&gt;0,AL84*COS(RADIANS(0.25*(_xlfn.SEQUENCE(AO84-AN84,1,AN84+1)))),0)/60)</f>
        <v>6258.5713197250543</v>
      </c>
      <c r="AQ84" s="17" cm="1">
        <f t="array" ref="AQ84">SUMPRODUCT(1362*POWER(0.7,POWER(1/($AI$2*AK84+$AJ$2*AL84*COS(RADIANS(0.25*(_xlfn.SEQUENCE(AO84-AN84,1,AN84+1))))+0.50572*POWER(96.07995-DEGREES(ACOS($AI$2*AK84+$AJ$2*AL84*COS(RADIANS(0.25*(_xlfn.SEQUENCE(AO84-AN84,1,AN84+1)))))),-1.6364)),0.678))/60)</f>
        <v>8661.9798008135731</v>
      </c>
      <c r="AR84" s="15">
        <f t="shared" si="70"/>
        <v>1.3840187094319321</v>
      </c>
      <c r="AT84">
        <v>0.21753624697277538</v>
      </c>
      <c r="AU84">
        <v>77.435633985436354</v>
      </c>
      <c r="AV84">
        <v>4.5095594132994785</v>
      </c>
      <c r="AW84">
        <v>505.92555368948865</v>
      </c>
    </row>
    <row r="85" spans="4:49" ht="17" x14ac:dyDescent="0.2">
      <c r="D85" s="1">
        <f t="shared" si="71"/>
        <v>46106</v>
      </c>
      <c r="E85" s="6">
        <f t="shared" si="38"/>
        <v>0.5</v>
      </c>
      <c r="F85" s="2">
        <f t="shared" si="39"/>
        <v>2461125.3333333335</v>
      </c>
      <c r="G85" s="3">
        <f t="shared" si="40"/>
        <v>0.26229523157654999</v>
      </c>
      <c r="I85">
        <f t="shared" si="41"/>
        <v>3.2967403537149949</v>
      </c>
      <c r="J85">
        <f t="shared" si="42"/>
        <v>9799.9083317770437</v>
      </c>
      <c r="K85">
        <f t="shared" si="43"/>
        <v>1.6697599178543712E-2</v>
      </c>
      <c r="L85">
        <f t="shared" si="44"/>
        <v>1.8903750498801479</v>
      </c>
      <c r="M85">
        <f t="shared" si="45"/>
        <v>5.1871154035951426</v>
      </c>
      <c r="N85">
        <f t="shared" si="46"/>
        <v>9801.7987068269231</v>
      </c>
      <c r="O85">
        <f t="shared" si="47"/>
        <v>0.99734659435476092</v>
      </c>
      <c r="P85">
        <f t="shared" si="48"/>
        <v>5.1832372471655557</v>
      </c>
      <c r="Q85">
        <f t="shared" si="49"/>
        <v>23.435880178016422</v>
      </c>
      <c r="R85">
        <f t="shared" si="50"/>
        <v>23.438249144453895</v>
      </c>
      <c r="S85">
        <f t="shared" si="51"/>
        <v>4.7576154145190523</v>
      </c>
      <c r="T85" s="19">
        <f t="shared" si="52"/>
        <v>2.0593193032616459</v>
      </c>
      <c r="U85">
        <f t="shared" si="53"/>
        <v>4.3030594427882908E-2</v>
      </c>
      <c r="V85">
        <f t="shared" si="54"/>
        <v>-5.8345853453012593</v>
      </c>
      <c r="W85">
        <f t="shared" si="55"/>
        <v>92.639531733461183</v>
      </c>
      <c r="X85" s="6">
        <f t="shared" si="56"/>
        <v>0.50947365648979259</v>
      </c>
      <c r="Y85" s="6">
        <f t="shared" si="57"/>
        <v>0.25214162389684491</v>
      </c>
      <c r="Z85" s="6">
        <f t="shared" si="58"/>
        <v>0.76680568908274027</v>
      </c>
      <c r="AA85" s="19">
        <f t="shared" si="59"/>
        <v>741.11625386768947</v>
      </c>
      <c r="AB85">
        <f t="shared" si="60"/>
        <v>706.35793465469874</v>
      </c>
      <c r="AC85">
        <f t="shared" si="61"/>
        <v>-3.4105163363253155</v>
      </c>
      <c r="AD85">
        <f t="shared" si="36"/>
        <v>35.678670106212287</v>
      </c>
      <c r="AE85">
        <f t="shared" si="62"/>
        <v>54.321329893787713</v>
      </c>
      <c r="AF85">
        <f t="shared" si="63"/>
        <v>1.1580667152243462E-2</v>
      </c>
      <c r="AG85">
        <f t="shared" si="64"/>
        <v>54.332910560939958</v>
      </c>
      <c r="AH85">
        <f t="shared" si="37"/>
        <v>174.14951898948516</v>
      </c>
      <c r="AK85">
        <f t="shared" si="65"/>
        <v>3.5934164278263944E-2</v>
      </c>
      <c r="AL85">
        <f t="shared" si="66"/>
        <v>0.99935415936374761</v>
      </c>
      <c r="AM85">
        <f t="shared" si="67"/>
        <v>741</v>
      </c>
      <c r="AN85">
        <f t="shared" si="68"/>
        <v>-370.5</v>
      </c>
      <c r="AO85">
        <f t="shared" si="69"/>
        <v>370.5</v>
      </c>
      <c r="AP85" s="16" cm="1">
        <f t="array" ref="AP85">SUMPRODUCT(1362*POWER(0.7,POWER(1/($AI$2*AK85+$AJ$2*AL85*COS(RADIANS(0.25*(_xlfn.SEQUENCE(AO85-AN85,1,AN85+1))))+0.50572*POWER(96.07995-DEGREES(ACOS($AI$2*AK85+$AJ$2*AL85*COS(RADIANS(0.25*(_xlfn.SEQUENCE(AO85-AN85,1,AN85+1)))))),-1.6364)),0.678))*IF(AL85*COS(RADIANS(0.25*(_xlfn.SEQUENCE(AO85-AN85,1,AN85+1))))&gt;0,AL85*COS(RADIANS(0.25*(_xlfn.SEQUENCE(AO85-AN85,1,AN85+1)))),0)/60)</f>
        <v>6273.11507348134</v>
      </c>
      <c r="AQ85" s="17" cm="1">
        <f t="array" ref="AQ85">SUMPRODUCT(1362*POWER(0.7,POWER(1/($AI$2*AK85+$AJ$2*AL85*COS(RADIANS(0.25*(_xlfn.SEQUENCE(AO85-AN85,1,AN85+1))))+0.50572*POWER(96.07995-DEGREES(ACOS($AI$2*AK85+$AJ$2*AL85*COS(RADIANS(0.25*(_xlfn.SEQUENCE(AO85-AN85,1,AN85+1)))))),-1.6364)),0.678))/60)</f>
        <v>8704.9641570587555</v>
      </c>
      <c r="AR85" s="15">
        <f t="shared" si="70"/>
        <v>1.3876621192328664</v>
      </c>
      <c r="AT85">
        <v>0.22001895642732547</v>
      </c>
      <c r="AU85">
        <v>77.289853601398377</v>
      </c>
      <c r="AV85">
        <v>4.4606916062074617</v>
      </c>
      <c r="AW85">
        <v>509.6266037047605</v>
      </c>
    </row>
    <row r="86" spans="4:49" ht="17" x14ac:dyDescent="0.2">
      <c r="D86" s="1">
        <f t="shared" si="71"/>
        <v>46107</v>
      </c>
      <c r="E86" s="6">
        <f t="shared" si="38"/>
        <v>0.5</v>
      </c>
      <c r="F86" s="2">
        <f t="shared" si="39"/>
        <v>2461126.3333333335</v>
      </c>
      <c r="G86" s="3">
        <f t="shared" si="40"/>
        <v>0.26232261008442131</v>
      </c>
      <c r="I86">
        <f t="shared" si="41"/>
        <v>4.2823877182345313</v>
      </c>
      <c r="J86">
        <f t="shared" si="42"/>
        <v>9800.8939320565623</v>
      </c>
      <c r="K86">
        <f t="shared" si="43"/>
        <v>1.6697598025813554E-2</v>
      </c>
      <c r="L86">
        <f t="shared" si="44"/>
        <v>1.8952072213192339</v>
      </c>
      <c r="M86">
        <f t="shared" si="45"/>
        <v>6.1775949395537655</v>
      </c>
      <c r="N86">
        <f t="shared" si="46"/>
        <v>9802.789139277882</v>
      </c>
      <c r="O86">
        <f t="shared" si="47"/>
        <v>0.99763126849335004</v>
      </c>
      <c r="P86">
        <f t="shared" si="48"/>
        <v>6.1737208704448845</v>
      </c>
      <c r="Q86">
        <f t="shared" si="49"/>
        <v>23.435879821982237</v>
      </c>
      <c r="R86">
        <f t="shared" si="50"/>
        <v>23.438247890584702</v>
      </c>
      <c r="S86">
        <f t="shared" si="51"/>
        <v>5.6677869452731642</v>
      </c>
      <c r="T86" s="19">
        <f t="shared" si="52"/>
        <v>2.4516609418964244</v>
      </c>
      <c r="U86">
        <f t="shared" si="53"/>
        <v>4.3030589692933906E-2</v>
      </c>
      <c r="V86">
        <f t="shared" si="54"/>
        <v>-5.532784549153746</v>
      </c>
      <c r="W86">
        <f t="shared" si="55"/>
        <v>92.942789255043564</v>
      </c>
      <c r="X86" s="6">
        <f t="shared" si="56"/>
        <v>0.50926407260357898</v>
      </c>
      <c r="Y86" s="6">
        <f t="shared" si="57"/>
        <v>0.25108965800623573</v>
      </c>
      <c r="Z86" s="6">
        <f t="shared" si="58"/>
        <v>0.76743848720092223</v>
      </c>
      <c r="AA86" s="19">
        <f t="shared" si="59"/>
        <v>743.54231404034851</v>
      </c>
      <c r="AB86">
        <f t="shared" si="60"/>
        <v>706.65973545084626</v>
      </c>
      <c r="AC86">
        <f t="shared" si="61"/>
        <v>-3.335066137288436</v>
      </c>
      <c r="AD86">
        <f t="shared" si="36"/>
        <v>35.281541200223018</v>
      </c>
      <c r="AE86">
        <f t="shared" si="62"/>
        <v>54.718458799776982</v>
      </c>
      <c r="AF86">
        <f t="shared" si="63"/>
        <v>1.1412282563638252E-2</v>
      </c>
      <c r="AG86">
        <f t="shared" si="64"/>
        <v>54.729871082340622</v>
      </c>
      <c r="AH86">
        <f t="shared" si="37"/>
        <v>174.22470766114566</v>
      </c>
      <c r="AK86">
        <f t="shared" si="65"/>
        <v>4.2776499212557252E-2</v>
      </c>
      <c r="AL86">
        <f t="shared" si="66"/>
        <v>0.99908466663997908</v>
      </c>
      <c r="AM86">
        <f t="shared" si="67"/>
        <v>744</v>
      </c>
      <c r="AN86">
        <f t="shared" si="68"/>
        <v>-372</v>
      </c>
      <c r="AO86">
        <f t="shared" si="69"/>
        <v>372</v>
      </c>
      <c r="AP86" s="16" cm="1">
        <f t="array" ref="AP86">SUMPRODUCT(1362*POWER(0.7,POWER(1/($AI$2*AK86+$AJ$2*AL86*COS(RADIANS(0.25*(_xlfn.SEQUENCE(AO86-AN86,1,AN86+1))))+0.50572*POWER(96.07995-DEGREES(ACOS($AI$2*AK86+$AJ$2*AL86*COS(RADIANS(0.25*(_xlfn.SEQUENCE(AO86-AN86,1,AN86+1)))))),-1.6364)),0.678))*IF(AL86*COS(RADIANS(0.25*(_xlfn.SEQUENCE(AO86-AN86,1,AN86+1))))&gt;0,AL86*COS(RADIANS(0.25*(_xlfn.SEQUENCE(AO86-AN86,1,AN86+1)))),0)/60)</f>
        <v>6287.0634015164514</v>
      </c>
      <c r="AQ86" s="17" cm="1">
        <f t="array" ref="AQ86">SUMPRODUCT(1362*POWER(0.7,POWER(1/($AI$2*AK86+$AJ$2*AL86*COS(RADIANS(0.25*(_xlfn.SEQUENCE(AO86-AN86,1,AN86+1))))+0.50572*POWER(96.07995-DEGREES(ACOS($AI$2*AK86+$AJ$2*AL86*COS(RADIANS(0.25*(_xlfn.SEQUENCE(AO86-AN86,1,AN86+1)))))),-1.6364)),0.678))/60)</f>
        <v>8747.8368589460351</v>
      </c>
      <c r="AR86" s="15">
        <f t="shared" si="70"/>
        <v>1.3914026788462226</v>
      </c>
      <c r="AT86">
        <v>0.22249294798364275</v>
      </c>
      <c r="AU86">
        <v>77.144501852016631</v>
      </c>
      <c r="AV86">
        <v>4.4130173182404446</v>
      </c>
      <c r="AW86">
        <v>513.27608947800434</v>
      </c>
    </row>
    <row r="87" spans="4:49" ht="17" x14ac:dyDescent="0.2">
      <c r="D87" s="1">
        <f t="shared" si="71"/>
        <v>46108</v>
      </c>
      <c r="E87" s="6">
        <f t="shared" si="38"/>
        <v>0.5</v>
      </c>
      <c r="F87" s="2">
        <f t="shared" si="39"/>
        <v>2461127.3333333335</v>
      </c>
      <c r="G87" s="3">
        <f t="shared" si="40"/>
        <v>0.26234998859229264</v>
      </c>
      <c r="I87">
        <f t="shared" si="41"/>
        <v>5.2680350827540678</v>
      </c>
      <c r="J87">
        <f t="shared" si="42"/>
        <v>9801.8795323360791</v>
      </c>
      <c r="K87">
        <f t="shared" si="43"/>
        <v>1.6697596873083205E-2</v>
      </c>
      <c r="L87">
        <f t="shared" si="44"/>
        <v>1.8994736682551161</v>
      </c>
      <c r="M87">
        <f t="shared" si="45"/>
        <v>7.1675087510091835</v>
      </c>
      <c r="N87">
        <f t="shared" si="46"/>
        <v>9803.7790060043335</v>
      </c>
      <c r="O87">
        <f t="shared" si="47"/>
        <v>0.99791656572967979</v>
      </c>
      <c r="P87">
        <f t="shared" si="48"/>
        <v>7.1636387676698794</v>
      </c>
      <c r="Q87">
        <f t="shared" si="49"/>
        <v>23.435879465948048</v>
      </c>
      <c r="R87">
        <f t="shared" si="50"/>
        <v>23.438246634692753</v>
      </c>
      <c r="S87">
        <f t="shared" si="51"/>
        <v>6.5779715878264646</v>
      </c>
      <c r="T87" s="19">
        <f t="shared" si="52"/>
        <v>2.8431607306861477</v>
      </c>
      <c r="U87">
        <f t="shared" si="53"/>
        <v>4.3030584950346694E-2</v>
      </c>
      <c r="V87">
        <f t="shared" si="54"/>
        <v>-5.2311304950711115</v>
      </c>
      <c r="W87">
        <f t="shared" si="55"/>
        <v>93.245704976923719</v>
      </c>
      <c r="X87" s="6">
        <f t="shared" si="56"/>
        <v>0.5090545906215771</v>
      </c>
      <c r="Y87" s="6">
        <f t="shared" si="57"/>
        <v>0.25003874346345561</v>
      </c>
      <c r="Z87" s="6">
        <f t="shared" si="58"/>
        <v>0.76807043777969852</v>
      </c>
      <c r="AA87" s="19">
        <f t="shared" si="59"/>
        <v>745.96563981538975</v>
      </c>
      <c r="AB87">
        <f t="shared" si="60"/>
        <v>706.961389504929</v>
      </c>
      <c r="AC87">
        <f t="shared" si="61"/>
        <v>-3.2596526237677494</v>
      </c>
      <c r="AD87">
        <f t="shared" si="36"/>
        <v>34.885301104080334</v>
      </c>
      <c r="AE87">
        <f t="shared" si="62"/>
        <v>55.114698895919666</v>
      </c>
      <c r="AF87">
        <f t="shared" si="63"/>
        <v>1.1245904065707442E-2</v>
      </c>
      <c r="AG87">
        <f t="shared" si="64"/>
        <v>55.125944799985376</v>
      </c>
      <c r="AH87">
        <f t="shared" si="37"/>
        <v>174.30135838219076</v>
      </c>
      <c r="AK87">
        <f t="shared" si="65"/>
        <v>4.9602153389454048E-2</v>
      </c>
      <c r="AL87">
        <f t="shared" si="66"/>
        <v>0.99876905557747886</v>
      </c>
      <c r="AM87">
        <f t="shared" si="67"/>
        <v>746</v>
      </c>
      <c r="AN87">
        <f t="shared" si="68"/>
        <v>-373</v>
      </c>
      <c r="AO87">
        <f t="shared" si="69"/>
        <v>373</v>
      </c>
      <c r="AP87" s="16" cm="1">
        <f t="array" ref="AP87">SUMPRODUCT(1362*POWER(0.7,POWER(1/($AI$2*AK87+$AJ$2*AL87*COS(RADIANS(0.25*(_xlfn.SEQUENCE(AO87-AN87,1,AN87+1))))+0.50572*POWER(96.07995-DEGREES(ACOS($AI$2*AK87+$AJ$2*AL87*COS(RADIANS(0.25*(_xlfn.SEQUENCE(AO87-AN87,1,AN87+1)))))),-1.6364)),0.678))*IF(AL87*COS(RADIANS(0.25*(_xlfn.SEQUENCE(AO87-AN87,1,AN87+1))))&gt;0,AL87*COS(RADIANS(0.25*(_xlfn.SEQUENCE(AO87-AN87,1,AN87+1)))),0)/60)</f>
        <v>6300.4205902358681</v>
      </c>
      <c r="AQ87" s="17" cm="1">
        <f t="array" ref="AQ87">SUMPRODUCT(1362*POWER(0.7,POWER(1/($AI$2*AK87+$AJ$2*AL87*COS(RADIANS(0.25*(_xlfn.SEQUENCE(AO87-AN87,1,AN87+1))))+0.50572*POWER(96.07995-DEGREES(ACOS($AI$2*AK87+$AJ$2*AL87*COS(RADIANS(0.25*(_xlfn.SEQUENCE(AO87-AN87,1,AN87+1)))))),-1.6364)),0.678))/60)</f>
        <v>8790.3534898050766</v>
      </c>
      <c r="AR87" s="15">
        <f t="shared" si="70"/>
        <v>1.3952010606130016</v>
      </c>
      <c r="AT87">
        <v>0.22495817454049408</v>
      </c>
      <c r="AU87">
        <v>76.999581311480085</v>
      </c>
      <c r="AV87">
        <v>4.3664956365088425</v>
      </c>
      <c r="AW87">
        <v>516.8749240202676</v>
      </c>
    </row>
    <row r="88" spans="4:49" ht="17" x14ac:dyDescent="0.2">
      <c r="D88" s="1">
        <f t="shared" si="71"/>
        <v>46109</v>
      </c>
      <c r="E88" s="6">
        <f t="shared" si="38"/>
        <v>0.5</v>
      </c>
      <c r="F88" s="2">
        <f t="shared" si="39"/>
        <v>2461128.3333333335</v>
      </c>
      <c r="G88" s="3">
        <f t="shared" si="40"/>
        <v>0.26237736710016396</v>
      </c>
      <c r="I88">
        <f t="shared" si="41"/>
        <v>6.2536824472754233</v>
      </c>
      <c r="J88">
        <f t="shared" si="42"/>
        <v>9802.8651326155959</v>
      </c>
      <c r="K88">
        <f t="shared" si="43"/>
        <v>1.6697595720352666E-2</v>
      </c>
      <c r="L88">
        <f t="shared" si="44"/>
        <v>1.9031737260519537</v>
      </c>
      <c r="M88">
        <f t="shared" si="45"/>
        <v>8.1568561733273768</v>
      </c>
      <c r="N88">
        <f t="shared" si="46"/>
        <v>9804.768306341648</v>
      </c>
      <c r="O88">
        <f t="shared" si="47"/>
        <v>0.99820240058019505</v>
      </c>
      <c r="P88">
        <f t="shared" si="48"/>
        <v>8.1529902742030327</v>
      </c>
      <c r="Q88">
        <f t="shared" si="49"/>
        <v>23.435879109913863</v>
      </c>
      <c r="R88">
        <f t="shared" si="50"/>
        <v>23.438245376778827</v>
      </c>
      <c r="S88">
        <f t="shared" si="51"/>
        <v>7.4882522959080777</v>
      </c>
      <c r="T88" s="19">
        <f t="shared" si="52"/>
        <v>3.2337203307277145</v>
      </c>
      <c r="U88">
        <f t="shared" si="53"/>
        <v>4.3030580200124242E-2</v>
      </c>
      <c r="V88">
        <f t="shared" si="54"/>
        <v>-4.9299499273030358</v>
      </c>
      <c r="W88">
        <f t="shared" si="55"/>
        <v>93.54823783078939</v>
      </c>
      <c r="X88" s="6">
        <f t="shared" si="56"/>
        <v>0.50884543744951605</v>
      </c>
      <c r="Y88" s="6">
        <f t="shared" si="57"/>
        <v>0.24898922125287884</v>
      </c>
      <c r="Z88" s="6">
        <f t="shared" si="58"/>
        <v>0.76870165364615317</v>
      </c>
      <c r="AA88" s="19">
        <f t="shared" si="59"/>
        <v>748.38590264631512</v>
      </c>
      <c r="AB88">
        <f t="shared" si="60"/>
        <v>707.26257007269692</v>
      </c>
      <c r="AC88">
        <f t="shared" si="61"/>
        <v>-3.1843574818257707</v>
      </c>
      <c r="AD88">
        <f t="shared" si="36"/>
        <v>34.490055678296663</v>
      </c>
      <c r="AE88">
        <f t="shared" si="62"/>
        <v>55.509944321703337</v>
      </c>
      <c r="AF88">
        <f t="shared" si="63"/>
        <v>1.1081525564166236E-2</v>
      </c>
      <c r="AG88">
        <f t="shared" si="64"/>
        <v>55.521025847267502</v>
      </c>
      <c r="AH88">
        <f t="shared" si="37"/>
        <v>174.37937512472047</v>
      </c>
      <c r="AK88">
        <f t="shared" si="65"/>
        <v>5.6409108429599696E-2</v>
      </c>
      <c r="AL88">
        <f t="shared" si="66"/>
        <v>0.99840773859489773</v>
      </c>
      <c r="AM88">
        <f t="shared" si="67"/>
        <v>748</v>
      </c>
      <c r="AN88">
        <f t="shared" si="68"/>
        <v>-374</v>
      </c>
      <c r="AO88">
        <f t="shared" si="69"/>
        <v>374</v>
      </c>
      <c r="AP88" s="16" cm="1">
        <f t="array" ref="AP88">SUMPRODUCT(1362*POWER(0.7,POWER(1/($AI$2*AK88+$AJ$2*AL88*COS(RADIANS(0.25*(_xlfn.SEQUENCE(AO88-AN88,1,AN88+1))))+0.50572*POWER(96.07995-DEGREES(ACOS($AI$2*AK88+$AJ$2*AL88*COS(RADIANS(0.25*(_xlfn.SEQUENCE(AO88-AN88,1,AN88+1)))))),-1.6364)),0.678))*IF(AL88*COS(RADIANS(0.25*(_xlfn.SEQUENCE(AO88-AN88,1,AN88+1))))&gt;0,AL88*COS(RADIANS(0.25*(_xlfn.SEQUENCE(AO88-AN88,1,AN88+1)))),0)/60)</f>
        <v>6313.1880599575807</v>
      </c>
      <c r="AQ88" s="17" cm="1">
        <f t="array" ref="AQ88">SUMPRODUCT(1362*POWER(0.7,POWER(1/($AI$2*AK88+$AJ$2*AL88*COS(RADIANS(0.25*(_xlfn.SEQUENCE(AO88-AN88,1,AN88+1))))+0.50572*POWER(96.07995-DEGREES(ACOS($AI$2*AK88+$AJ$2*AL88*COS(RADIANS(0.25*(_xlfn.SEQUENCE(AO88-AN88,1,AN88+1)))))),-1.6364)),0.678))/60)</f>
        <v>8832.6237354405275</v>
      </c>
      <c r="AR88" s="15">
        <f t="shared" si="70"/>
        <v>1.3990750238319172</v>
      </c>
      <c r="AT88">
        <v>0.22741458916351939</v>
      </c>
      <c r="AU88">
        <v>76.855094565053619</v>
      </c>
      <c r="AV88">
        <v>4.3210874835751891</v>
      </c>
      <c r="AW88">
        <v>520.42400084645544</v>
      </c>
    </row>
    <row r="89" spans="4:49" ht="17" x14ac:dyDescent="0.2">
      <c r="D89" s="1">
        <f t="shared" si="71"/>
        <v>46110</v>
      </c>
      <c r="E89" s="6">
        <f t="shared" si="38"/>
        <v>0.5</v>
      </c>
      <c r="F89" s="2">
        <f t="shared" si="39"/>
        <v>2461129.3333333335</v>
      </c>
      <c r="G89" s="3">
        <f t="shared" si="40"/>
        <v>0.26240474560803528</v>
      </c>
      <c r="I89">
        <f t="shared" si="41"/>
        <v>7.2393298117967788</v>
      </c>
      <c r="J89">
        <f t="shared" si="42"/>
        <v>9803.8507328951127</v>
      </c>
      <c r="K89">
        <f t="shared" si="43"/>
        <v>1.6697594567621935E-2</v>
      </c>
      <c r="L89">
        <f t="shared" si="44"/>
        <v>1.9063069018757279</v>
      </c>
      <c r="M89">
        <f t="shared" si="45"/>
        <v>9.1456367136725074</v>
      </c>
      <c r="N89">
        <f t="shared" si="46"/>
        <v>9805.7570397969885</v>
      </c>
      <c r="O89">
        <f t="shared" si="47"/>
        <v>0.9984886875469372</v>
      </c>
      <c r="P89">
        <f t="shared" si="48"/>
        <v>9.1417748972050159</v>
      </c>
      <c r="Q89">
        <f t="shared" si="49"/>
        <v>23.435878753879674</v>
      </c>
      <c r="R89">
        <f t="shared" si="50"/>
        <v>23.438244116843684</v>
      </c>
      <c r="S89">
        <f t="shared" si="51"/>
        <v>8.3987114957399136</v>
      </c>
      <c r="T89" s="19">
        <f t="shared" si="52"/>
        <v>3.6232417263551087</v>
      </c>
      <c r="U89">
        <f t="shared" si="53"/>
        <v>4.3030575442269424E-2</v>
      </c>
      <c r="V89">
        <f t="shared" si="54"/>
        <v>-4.6295671070055269</v>
      </c>
      <c r="W89">
        <f t="shared" si="55"/>
        <v>93.850346309643911</v>
      </c>
      <c r="X89" s="6">
        <f t="shared" si="56"/>
        <v>0.50863683826875372</v>
      </c>
      <c r="Y89" s="6">
        <f t="shared" si="57"/>
        <v>0.24794143185307618</v>
      </c>
      <c r="Z89" s="6">
        <f t="shared" si="58"/>
        <v>0.76933224468443118</v>
      </c>
      <c r="AA89" s="19">
        <f t="shared" si="59"/>
        <v>750.80277047715128</v>
      </c>
      <c r="AB89">
        <f t="shared" si="60"/>
        <v>707.56295289299442</v>
      </c>
      <c r="AC89">
        <f t="shared" si="61"/>
        <v>-3.1092617767513957</v>
      </c>
      <c r="AD89">
        <f t="shared" si="36"/>
        <v>34.095910124840913</v>
      </c>
      <c r="AE89">
        <f t="shared" si="62"/>
        <v>55.904089875159087</v>
      </c>
      <c r="AF89">
        <f t="shared" si="63"/>
        <v>1.0919140642198153E-2</v>
      </c>
      <c r="AG89">
        <f t="shared" si="64"/>
        <v>55.915009015801289</v>
      </c>
      <c r="AH89">
        <f t="shared" si="37"/>
        <v>174.45865859632829</v>
      </c>
      <c r="AK89">
        <f t="shared" si="65"/>
        <v>6.3195358553887304E-2</v>
      </c>
      <c r="AL89">
        <f t="shared" si="66"/>
        <v>0.99800117567929025</v>
      </c>
      <c r="AM89">
        <f t="shared" si="67"/>
        <v>751</v>
      </c>
      <c r="AN89">
        <f t="shared" si="68"/>
        <v>-375.5</v>
      </c>
      <c r="AO89">
        <f t="shared" si="69"/>
        <v>375.5</v>
      </c>
      <c r="AP89" s="16" cm="1">
        <f t="array" ref="AP89">SUMPRODUCT(1362*POWER(0.7,POWER(1/($AI$2*AK89+$AJ$2*AL89*COS(RADIANS(0.25*(_xlfn.SEQUENCE(AO89-AN89,1,AN89+1))))+0.50572*POWER(96.07995-DEGREES(ACOS($AI$2*AK89+$AJ$2*AL89*COS(RADIANS(0.25*(_xlfn.SEQUENCE(AO89-AN89,1,AN89+1)))))),-1.6364)),0.678))*IF(AL89*COS(RADIANS(0.25*(_xlfn.SEQUENCE(AO89-AN89,1,AN89+1))))&gt;0,AL89*COS(RADIANS(0.25*(_xlfn.SEQUENCE(AO89-AN89,1,AN89+1)))),0)/60)</f>
        <v>6325.370886421053</v>
      </c>
      <c r="AQ89" s="17" cm="1">
        <f t="array" ref="AQ89">SUMPRODUCT(1362*POWER(0.7,POWER(1/($AI$2*AK89+$AJ$2*AL89*COS(RADIANS(0.25*(_xlfn.SEQUENCE(AO89-AN89,1,AN89+1))))+0.50572*POWER(96.07995-DEGREES(ACOS($AI$2*AK89+$AJ$2*AL89*COS(RADIANS(0.25*(_xlfn.SEQUENCE(AO89-AN89,1,AN89+1)))))),-1.6364)),0.678))/60)</f>
        <v>8874.7680689145363</v>
      </c>
      <c r="AR89" s="15">
        <f t="shared" si="70"/>
        <v>1.4030431145099151</v>
      </c>
      <c r="AT89">
        <v>0.22986214508612532</v>
      </c>
      <c r="AU89">
        <v>76.711044209044232</v>
      </c>
      <c r="AV89">
        <v>4.2767555169917548</v>
      </c>
      <c r="AW89">
        <v>523.92419428899518</v>
      </c>
    </row>
    <row r="90" spans="4:49" ht="17" x14ac:dyDescent="0.2">
      <c r="D90" s="1">
        <f t="shared" si="71"/>
        <v>46111</v>
      </c>
      <c r="E90" s="6">
        <f t="shared" si="38"/>
        <v>0.5</v>
      </c>
      <c r="F90" s="2">
        <f t="shared" si="39"/>
        <v>2461130.3333333335</v>
      </c>
      <c r="G90" s="3">
        <f t="shared" si="40"/>
        <v>0.26243212411590661</v>
      </c>
      <c r="I90">
        <f t="shared" si="41"/>
        <v>8.2249771763163153</v>
      </c>
      <c r="J90">
        <f t="shared" si="42"/>
        <v>9804.8363331746277</v>
      </c>
      <c r="K90">
        <f t="shared" si="43"/>
        <v>1.6697593414891014E-2</v>
      </c>
      <c r="L90">
        <f t="shared" si="44"/>
        <v>1.9088728741073917</v>
      </c>
      <c r="M90">
        <f t="shared" si="45"/>
        <v>10.133850050423707</v>
      </c>
      <c r="N90">
        <f t="shared" si="46"/>
        <v>9806.7452060487358</v>
      </c>
      <c r="O90">
        <f t="shared" si="47"/>
        <v>0.99877534114362176</v>
      </c>
      <c r="P90">
        <f t="shared" si="48"/>
        <v>10.129992315051476</v>
      </c>
      <c r="Q90">
        <f t="shared" si="49"/>
        <v>23.435878397845489</v>
      </c>
      <c r="R90">
        <f t="shared" si="50"/>
        <v>23.438242854888106</v>
      </c>
      <c r="S90">
        <f t="shared" si="51"/>
        <v>9.3094310319072484</v>
      </c>
      <c r="T90" s="19">
        <f t="shared" si="52"/>
        <v>4.0116272143129841</v>
      </c>
      <c r="U90">
        <f t="shared" si="53"/>
        <v>4.3030570676785153E-2</v>
      </c>
      <c r="V90">
        <f t="shared" si="54"/>
        <v>-4.3303036535752595</v>
      </c>
      <c r="W90">
        <f t="shared" si="55"/>
        <v>94.151988389889652</v>
      </c>
      <c r="X90" s="6">
        <f t="shared" si="56"/>
        <v>0.50842901642609395</v>
      </c>
      <c r="Y90" s="6">
        <f t="shared" si="57"/>
        <v>0.24689571534306715</v>
      </c>
      <c r="Z90" s="6">
        <f t="shared" si="58"/>
        <v>0.76996231750912081</v>
      </c>
      <c r="AA90" s="19">
        <f t="shared" si="59"/>
        <v>753.21590711911722</v>
      </c>
      <c r="AB90">
        <f t="shared" si="60"/>
        <v>707.8622163464247</v>
      </c>
      <c r="AC90">
        <f t="shared" si="61"/>
        <v>-3.0344459133938244</v>
      </c>
      <c r="AD90">
        <f t="shared" si="36"/>
        <v>33.702968985129623</v>
      </c>
      <c r="AE90">
        <f t="shared" si="62"/>
        <v>56.297031014870377</v>
      </c>
      <c r="AF90">
        <f t="shared" si="63"/>
        <v>1.0758742616765106E-2</v>
      </c>
      <c r="AG90">
        <f t="shared" si="64"/>
        <v>56.307789757487143</v>
      </c>
      <c r="AH90">
        <f t="shared" si="37"/>
        <v>174.53910615502468</v>
      </c>
      <c r="AK90">
        <f t="shared" si="65"/>
        <v>6.9958911143972249E-2</v>
      </c>
      <c r="AL90">
        <f t="shared" si="66"/>
        <v>0.99754987381661764</v>
      </c>
      <c r="AM90">
        <f t="shared" si="67"/>
        <v>753</v>
      </c>
      <c r="AN90">
        <f t="shared" si="68"/>
        <v>-376.5</v>
      </c>
      <c r="AO90">
        <f t="shared" si="69"/>
        <v>376.5</v>
      </c>
      <c r="AP90" s="16" cm="1">
        <f t="array" ref="AP90">SUMPRODUCT(1362*POWER(0.7,POWER(1/($AI$2*AK90+$AJ$2*AL90*COS(RADIANS(0.25*(_xlfn.SEQUENCE(AO90-AN90,1,AN90+1))))+0.50572*POWER(96.07995-DEGREES(ACOS($AI$2*AK90+$AJ$2*AL90*COS(RADIANS(0.25*(_xlfn.SEQUENCE(AO90-AN90,1,AN90+1)))))),-1.6364)),0.678))*IF(AL90*COS(RADIANS(0.25*(_xlfn.SEQUENCE(AO90-AN90,1,AN90+1))))&gt;0,AL90*COS(RADIANS(0.25*(_xlfn.SEQUENCE(AO90-AN90,1,AN90+1)))),0)/60)</f>
        <v>6336.9692627938912</v>
      </c>
      <c r="AQ90" s="17" cm="1">
        <f t="array" ref="AQ90">SUMPRODUCT(1362*POWER(0.7,POWER(1/($AI$2*AK90+$AJ$2*AL90*COS(RADIANS(0.25*(_xlfn.SEQUENCE(AO90-AN90,1,AN90+1))))+0.50572*POWER(96.07995-DEGREES(ACOS($AI$2*AK90+$AJ$2*AL90*COS(RADIANS(0.25*(_xlfn.SEQUENCE(AO90-AN90,1,AN90+1)))))),-1.6364)),0.678))/60)</f>
        <v>8916.5341995217441</v>
      </c>
      <c r="AR90" s="15">
        <f t="shared" si="70"/>
        <v>1.4070660326338011</v>
      </c>
      <c r="AT90">
        <v>0.23230079571037485</v>
      </c>
      <c r="AU90">
        <v>76.567432850764931</v>
      </c>
      <c r="AV90">
        <v>4.2334640352965387</v>
      </c>
      <c r="AW90">
        <v>527.37635982257211</v>
      </c>
    </row>
    <row r="91" spans="4:49" ht="17" x14ac:dyDescent="0.2">
      <c r="D91" s="1">
        <f t="shared" si="71"/>
        <v>46112</v>
      </c>
      <c r="E91" s="6">
        <f t="shared" si="38"/>
        <v>0.5</v>
      </c>
      <c r="F91" s="2">
        <f t="shared" si="39"/>
        <v>2461131.3333333335</v>
      </c>
      <c r="G91" s="3">
        <f t="shared" si="40"/>
        <v>0.26245950262377793</v>
      </c>
      <c r="I91">
        <f t="shared" si="41"/>
        <v>9.2106245408394898</v>
      </c>
      <c r="J91">
        <f t="shared" si="42"/>
        <v>9805.8219334541445</v>
      </c>
      <c r="K91">
        <f t="shared" si="43"/>
        <v>1.6697592262159906E-2</v>
      </c>
      <c r="L91">
        <f t="shared" si="44"/>
        <v>1.9108714917036862</v>
      </c>
      <c r="M91">
        <f t="shared" si="45"/>
        <v>11.121496032543176</v>
      </c>
      <c r="N91">
        <f t="shared" si="46"/>
        <v>9807.7328049458483</v>
      </c>
      <c r="O91">
        <f t="shared" si="47"/>
        <v>0.9990622759215454</v>
      </c>
      <c r="P91">
        <f t="shared" si="48"/>
        <v>11.117642376701124</v>
      </c>
      <c r="Q91">
        <f t="shared" si="49"/>
        <v>23.435878041811304</v>
      </c>
      <c r="R91">
        <f t="shared" si="50"/>
        <v>23.43824159091286</v>
      </c>
      <c r="S91">
        <f t="shared" si="51"/>
        <v>10.220492113106411</v>
      </c>
      <c r="T91" s="19">
        <f t="shared" si="52"/>
        <v>4.398779393298927</v>
      </c>
      <c r="U91">
        <f t="shared" si="53"/>
        <v>4.3030565903674378E-2</v>
      </c>
      <c r="V91">
        <f t="shared" si="54"/>
        <v>-4.0324783859797888</v>
      </c>
      <c r="W91">
        <f t="shared" si="55"/>
        <v>94.453121454241028</v>
      </c>
      <c r="X91" s="6">
        <f t="shared" si="56"/>
        <v>0.50822219332359708</v>
      </c>
      <c r="Y91" s="6">
        <f t="shared" si="57"/>
        <v>0.24585241150626089</v>
      </c>
      <c r="Z91" s="6">
        <f t="shared" si="58"/>
        <v>0.77059197514093336</v>
      </c>
      <c r="AA91" s="19">
        <f t="shared" si="59"/>
        <v>755.62497163392823</v>
      </c>
      <c r="AB91">
        <f t="shared" si="60"/>
        <v>708.1600416140202</v>
      </c>
      <c r="AC91">
        <f t="shared" si="61"/>
        <v>-2.9599895964949496</v>
      </c>
      <c r="AD91">
        <f t="shared" si="36"/>
        <v>33.311336138835081</v>
      </c>
      <c r="AE91">
        <f t="shared" si="62"/>
        <v>56.688663861164919</v>
      </c>
      <c r="AF91">
        <f t="shared" si="63"/>
        <v>1.0600324591789568E-2</v>
      </c>
      <c r="AG91">
        <f t="shared" si="64"/>
        <v>56.699264185756711</v>
      </c>
      <c r="AH91">
        <f t="shared" si="37"/>
        <v>174.62061172240567</v>
      </c>
      <c r="AK91">
        <f t="shared" si="65"/>
        <v>7.6697787290610164E-2</v>
      </c>
      <c r="AL91">
        <f t="shared" si="66"/>
        <v>0.99705438639260013</v>
      </c>
      <c r="AM91">
        <f t="shared" si="67"/>
        <v>756</v>
      </c>
      <c r="AN91">
        <f t="shared" si="68"/>
        <v>-378</v>
      </c>
      <c r="AO91">
        <f t="shared" si="69"/>
        <v>378</v>
      </c>
      <c r="AP91" s="16" cm="1">
        <f t="array" ref="AP91">SUMPRODUCT(1362*POWER(0.7,POWER(1/($AI$2*AK91+$AJ$2*AL91*COS(RADIANS(0.25*(_xlfn.SEQUENCE(AO91-AN91,1,AN91+1))))+0.50572*POWER(96.07995-DEGREES(ACOS($AI$2*AK91+$AJ$2*AL91*COS(RADIANS(0.25*(_xlfn.SEQUENCE(AO91-AN91,1,AN91+1)))))),-1.6364)),0.678))*IF(AL91*COS(RADIANS(0.25*(_xlfn.SEQUENCE(AO91-AN91,1,AN91+1))))&gt;0,AL91*COS(RADIANS(0.25*(_xlfn.SEQUENCE(AO91-AN91,1,AN91+1)))),0)/60)</f>
        <v>6347.9869272949927</v>
      </c>
      <c r="AQ91" s="17" cm="1">
        <f t="array" ref="AQ91">SUMPRODUCT(1362*POWER(0.7,POWER(1/($AI$2*AK91+$AJ$2*AL91*COS(RADIANS(0.25*(_xlfn.SEQUENCE(AO91-AN91,1,AN91+1))))+0.50572*POWER(96.07995-DEGREES(ACOS($AI$2*AK91+$AJ$2*AL91*COS(RADIANS(0.25*(_xlfn.SEQUENCE(AO91-AN91,1,AN91+1)))))),-1.6364)),0.678))/60)</f>
        <v>8958.1599712803254</v>
      </c>
      <c r="AR91" s="15">
        <f t="shared" si="70"/>
        <v>1.4111812254625391</v>
      </c>
      <c r="AT91">
        <v>0.23473049460787562</v>
      </c>
      <c r="AU91">
        <v>76.42426310849622</v>
      </c>
      <c r="AV91">
        <v>4.1911788899931235</v>
      </c>
      <c r="AW91">
        <v>530.78133439764247</v>
      </c>
    </row>
    <row r="92" spans="4:49" ht="17" x14ac:dyDescent="0.2">
      <c r="D92" s="1">
        <f t="shared" si="71"/>
        <v>46113</v>
      </c>
      <c r="E92" s="6">
        <f t="shared" si="38"/>
        <v>0.5</v>
      </c>
      <c r="F92" s="2">
        <f t="shared" si="39"/>
        <v>2461132.3333333335</v>
      </c>
      <c r="G92" s="3">
        <f t="shared" si="40"/>
        <v>0.26248688113164925</v>
      </c>
      <c r="I92">
        <f t="shared" si="41"/>
        <v>10.196271905360845</v>
      </c>
      <c r="J92">
        <f t="shared" si="42"/>
        <v>9806.8075337336613</v>
      </c>
      <c r="K92">
        <f t="shared" si="43"/>
        <v>1.6697591109428606E-2</v>
      </c>
      <c r="L92">
        <f t="shared" si="44"/>
        <v>1.9123027735068228</v>
      </c>
      <c r="M92">
        <f t="shared" si="45"/>
        <v>12.108574678867669</v>
      </c>
      <c r="N92">
        <f t="shared" si="46"/>
        <v>9808.719836507169</v>
      </c>
      <c r="O92">
        <f t="shared" si="47"/>
        <v>0.99934940649529458</v>
      </c>
      <c r="P92">
        <f t="shared" si="48"/>
        <v>12.104725100987231</v>
      </c>
      <c r="Q92">
        <f t="shared" si="49"/>
        <v>23.435877685777118</v>
      </c>
      <c r="R92">
        <f t="shared" si="50"/>
        <v>23.43824032491872</v>
      </c>
      <c r="S92">
        <f t="shared" si="51"/>
        <v>11.131975257662322</v>
      </c>
      <c r="T92" s="19">
        <f t="shared" si="52"/>
        <v>4.7846011539270616</v>
      </c>
      <c r="U92">
        <f t="shared" si="53"/>
        <v>4.3030561122940014E-2</v>
      </c>
      <c r="V92">
        <f t="shared" si="54"/>
        <v>-3.7364071632265072</v>
      </c>
      <c r="W92">
        <f t="shared" si="55"/>
        <v>94.753702215515617</v>
      </c>
      <c r="X92" s="6">
        <f t="shared" si="56"/>
        <v>0.50801658830779606</v>
      </c>
      <c r="Y92" s="6">
        <f t="shared" si="57"/>
        <v>0.24481185993136381</v>
      </c>
      <c r="Z92" s="6">
        <f t="shared" si="58"/>
        <v>0.77122131668422833</v>
      </c>
      <c r="AA92" s="19">
        <f t="shared" si="59"/>
        <v>758.02961772412493</v>
      </c>
      <c r="AB92">
        <f t="shared" si="60"/>
        <v>708.4561128367734</v>
      </c>
      <c r="AC92">
        <f t="shared" si="61"/>
        <v>-2.88597179080665</v>
      </c>
      <c r="AD92">
        <f t="shared" si="36"/>
        <v>32.921114803493545</v>
      </c>
      <c r="AE92">
        <f t="shared" si="62"/>
        <v>57.078885196506455</v>
      </c>
      <c r="AF92">
        <f t="shared" si="63"/>
        <v>1.0443879508344045E-2</v>
      </c>
      <c r="AG92">
        <f t="shared" si="64"/>
        <v>57.089329076014799</v>
      </c>
      <c r="AH92">
        <f t="shared" si="37"/>
        <v>174.70306569555464</v>
      </c>
      <c r="AK92">
        <f t="shared" si="65"/>
        <v>8.3410022329569594E-2</v>
      </c>
      <c r="AL92">
        <f t="shared" si="66"/>
        <v>0.99651531256422787</v>
      </c>
      <c r="AM92">
        <f t="shared" si="67"/>
        <v>758</v>
      </c>
      <c r="AN92">
        <f t="shared" si="68"/>
        <v>-379</v>
      </c>
      <c r="AO92">
        <f t="shared" si="69"/>
        <v>379</v>
      </c>
      <c r="AP92" s="16" cm="1">
        <f t="array" ref="AP92">SUMPRODUCT(1362*POWER(0.7,POWER(1/($AI$2*AK92+$AJ$2*AL92*COS(RADIANS(0.25*(_xlfn.SEQUENCE(AO92-AN92,1,AN92+1))))+0.50572*POWER(96.07995-DEGREES(ACOS($AI$2*AK92+$AJ$2*AL92*COS(RADIANS(0.25*(_xlfn.SEQUENCE(AO92-AN92,1,AN92+1)))))),-1.6364)),0.678))*IF(AL92*COS(RADIANS(0.25*(_xlfn.SEQUENCE(AO92-AN92,1,AN92+1))))&gt;0,AL92*COS(RADIANS(0.25*(_xlfn.SEQUENCE(AO92-AN92,1,AN92+1)))),0)/60)</f>
        <v>6358.4331988058766</v>
      </c>
      <c r="AQ92" s="17" cm="1">
        <f t="array" ref="AQ92">SUMPRODUCT(1362*POWER(0.7,POWER(1/($AI$2*AK92+$AJ$2*AL92*COS(RADIANS(0.25*(_xlfn.SEQUENCE(AO92-AN92,1,AN92+1))))+0.50572*POWER(96.07995-DEGREES(ACOS($AI$2*AK92+$AJ$2*AL92*COS(RADIANS(0.25*(_xlfn.SEQUENCE(AO92-AN92,1,AN92+1)))))),-1.6364)),0.678))/60)</f>
        <v>8999.3987094387103</v>
      </c>
      <c r="AR92" s="15">
        <f t="shared" si="70"/>
        <v>1.4153484715588127</v>
      </c>
      <c r="AT92">
        <v>0.23715119552066274</v>
      </c>
      <c r="AU92">
        <v>76.281537611445444</v>
      </c>
      <c r="AV92">
        <v>4.1498674030790141</v>
      </c>
      <c r="AW92">
        <v>534.13993678069698</v>
      </c>
    </row>
    <row r="93" spans="4:49" ht="17" x14ac:dyDescent="0.2">
      <c r="D93" s="1">
        <f t="shared" si="71"/>
        <v>46114</v>
      </c>
      <c r="E93" s="6">
        <f t="shared" si="38"/>
        <v>0.5</v>
      </c>
      <c r="F93" s="2">
        <f t="shared" si="39"/>
        <v>2461133.3333333335</v>
      </c>
      <c r="G93" s="3">
        <f t="shared" si="40"/>
        <v>0.26251425963952058</v>
      </c>
      <c r="I93">
        <f t="shared" si="41"/>
        <v>11.18191926988402</v>
      </c>
      <c r="J93">
        <f t="shared" si="42"/>
        <v>9807.7931340131763</v>
      </c>
      <c r="K93">
        <f t="shared" si="43"/>
        <v>1.6697589956697116E-2</v>
      </c>
      <c r="L93">
        <f t="shared" si="44"/>
        <v>1.9131669075041111</v>
      </c>
      <c r="M93">
        <f t="shared" si="45"/>
        <v>13.095086177388131</v>
      </c>
      <c r="N93">
        <f t="shared" si="46"/>
        <v>9809.7063009206813</v>
      </c>
      <c r="O93">
        <f t="shared" si="47"/>
        <v>0.99963664756826487</v>
      </c>
      <c r="P93">
        <f t="shared" si="48"/>
        <v>13.091240675897261</v>
      </c>
      <c r="Q93">
        <f t="shared" si="49"/>
        <v>23.435877329742933</v>
      </c>
      <c r="R93">
        <f t="shared" si="50"/>
        <v>23.438239056906472</v>
      </c>
      <c r="S93">
        <f t="shared" si="51"/>
        <v>12.043960238797984</v>
      </c>
      <c r="T93" s="19">
        <f t="shared" si="52"/>
        <v>5.1689956692013386</v>
      </c>
      <c r="U93">
        <f t="shared" si="53"/>
        <v>4.303055633458501E-2</v>
      </c>
      <c r="V93">
        <f t="shared" si="54"/>
        <v>-3.4424027231143444</v>
      </c>
      <c r="W93">
        <f t="shared" si="55"/>
        <v>95.053686641384402</v>
      </c>
      <c r="X93" s="6">
        <f t="shared" si="56"/>
        <v>0.5078124185577183</v>
      </c>
      <c r="Y93" s="6">
        <f t="shared" si="57"/>
        <v>0.24377440010942833</v>
      </c>
      <c r="Z93" s="6">
        <f t="shared" si="58"/>
        <v>0.77185043700600842</v>
      </c>
      <c r="AA93" s="19">
        <f t="shared" si="59"/>
        <v>760.42949313107522</v>
      </c>
      <c r="AB93">
        <f t="shared" si="60"/>
        <v>708.7501172768857</v>
      </c>
      <c r="AC93">
        <f t="shared" si="61"/>
        <v>-2.8124706807785742</v>
      </c>
      <c r="AD93">
        <f t="shared" si="36"/>
        <v>32.532407534861221</v>
      </c>
      <c r="AE93">
        <f t="shared" si="62"/>
        <v>57.467592465138779</v>
      </c>
      <c r="AF93">
        <f t="shared" si="63"/>
        <v>1.0289400191965834E-2</v>
      </c>
      <c r="AG93">
        <f t="shared" si="64"/>
        <v>57.477881865330744</v>
      </c>
      <c r="AH93">
        <f t="shared" si="37"/>
        <v>174.78635485825396</v>
      </c>
      <c r="AK93">
        <f t="shared" si="65"/>
        <v>9.0093666365514469E-2</v>
      </c>
      <c r="AL93">
        <f t="shared" si="66"/>
        <v>0.99593329660214658</v>
      </c>
      <c r="AM93">
        <f t="shared" si="67"/>
        <v>760</v>
      </c>
      <c r="AN93">
        <f t="shared" si="68"/>
        <v>-380</v>
      </c>
      <c r="AO93">
        <f t="shared" si="69"/>
        <v>380</v>
      </c>
      <c r="AP93" s="16" cm="1">
        <f t="array" ref="AP93">SUMPRODUCT(1362*POWER(0.7,POWER(1/($AI$2*AK93+$AJ$2*AL93*COS(RADIANS(0.25*(_xlfn.SEQUENCE(AO93-AN93,1,AN93+1))))+0.50572*POWER(96.07995-DEGREES(ACOS($AI$2*AK93+$AJ$2*AL93*COS(RADIANS(0.25*(_xlfn.SEQUENCE(AO93-AN93,1,AN93+1)))))),-1.6364)),0.678))*IF(AL93*COS(RADIANS(0.25*(_xlfn.SEQUENCE(AO93-AN93,1,AN93+1))))&gt;0,AL93*COS(RADIANS(0.25*(_xlfn.SEQUENCE(AO93-AN93,1,AN93+1)))),0)/60)</f>
        <v>6368.3113980623793</v>
      </c>
      <c r="AQ93" s="17" cm="1">
        <f t="array" ref="AQ93">SUMPRODUCT(1362*POWER(0.7,POWER(1/($AI$2*AK93+$AJ$2*AL93*COS(RADIANS(0.25*(_xlfn.SEQUENCE(AO93-AN93,1,AN93+1))))+0.50572*POWER(96.07995-DEGREES(ACOS($AI$2*AK93+$AJ$2*AL93*COS(RADIANS(0.25*(_xlfn.SEQUENCE(AO93-AN93,1,AN93+1)))))),-1.6364)),0.678))/60)</f>
        <v>9040.3621396425879</v>
      </c>
      <c r="AR93" s="15">
        <f t="shared" si="70"/>
        <v>1.4195854402460919</v>
      </c>
      <c r="AT93">
        <v>0.23956285236208028</v>
      </c>
      <c r="AU93">
        <v>76.139258999703472</v>
      </c>
      <c r="AV93">
        <v>4.1094982897224819</v>
      </c>
      <c r="AW93">
        <v>537.45296789948088</v>
      </c>
    </row>
    <row r="94" spans="4:49" ht="17" x14ac:dyDescent="0.2">
      <c r="D94" s="1">
        <f t="shared" si="71"/>
        <v>46115</v>
      </c>
      <c r="E94" s="6">
        <f t="shared" si="38"/>
        <v>0.5</v>
      </c>
      <c r="F94" s="2">
        <f t="shared" si="39"/>
        <v>2461134.3333333335</v>
      </c>
      <c r="G94" s="3">
        <f t="shared" si="40"/>
        <v>0.2625416381473919</v>
      </c>
      <c r="I94">
        <f t="shared" si="41"/>
        <v>12.167566634405375</v>
      </c>
      <c r="J94">
        <f t="shared" si="42"/>
        <v>9808.7787342926913</v>
      </c>
      <c r="K94">
        <f t="shared" si="43"/>
        <v>1.6697588803965439E-2</v>
      </c>
      <c r="L94">
        <f t="shared" si="44"/>
        <v>1.9134642500386827</v>
      </c>
      <c r="M94">
        <f t="shared" si="45"/>
        <v>14.081030884444058</v>
      </c>
      <c r="N94">
        <f t="shared" si="46"/>
        <v>9810.6921985427307</v>
      </c>
      <c r="O94">
        <f t="shared" si="47"/>
        <v>0.99992391395798308</v>
      </c>
      <c r="P94">
        <f t="shared" si="48"/>
        <v>14.077189457767226</v>
      </c>
      <c r="Q94">
        <f t="shared" si="49"/>
        <v>23.435876973708748</v>
      </c>
      <c r="R94">
        <f t="shared" si="50"/>
        <v>23.438237786876883</v>
      </c>
      <c r="S94">
        <f t="shared" si="51"/>
        <v>12.956526029514782</v>
      </c>
      <c r="T94" s="19">
        <f t="shared" si="52"/>
        <v>5.551866385532195</v>
      </c>
      <c r="U94">
        <f t="shared" si="53"/>
        <v>4.3030551538612259E-2</v>
      </c>
      <c r="V94">
        <f t="shared" si="54"/>
        <v>-3.1507745184915819</v>
      </c>
      <c r="W94">
        <f t="shared" si="55"/>
        <v>95.35302988012684</v>
      </c>
      <c r="X94" s="6">
        <f t="shared" si="56"/>
        <v>0.50760989897117459</v>
      </c>
      <c r="Y94" s="6">
        <f t="shared" si="57"/>
        <v>0.24274037152637784</v>
      </c>
      <c r="Z94" s="6">
        <f t="shared" si="58"/>
        <v>0.77247942641597134</v>
      </c>
      <c r="AA94" s="19">
        <f t="shared" si="59"/>
        <v>762.82423904101472</v>
      </c>
      <c r="AB94">
        <f t="shared" si="60"/>
        <v>709.04174548150831</v>
      </c>
      <c r="AC94">
        <f t="shared" si="61"/>
        <v>-2.7395636296229213</v>
      </c>
      <c r="AD94">
        <f t="shared" si="36"/>
        <v>32.14531622802506</v>
      </c>
      <c r="AE94">
        <f t="shared" si="62"/>
        <v>57.85468377197494</v>
      </c>
      <c r="AF94">
        <f t="shared" si="63"/>
        <v>1.0136879397236089E-2</v>
      </c>
      <c r="AG94">
        <f t="shared" si="64"/>
        <v>57.864820651372177</v>
      </c>
      <c r="AH94">
        <f t="shared" si="37"/>
        <v>174.87036229210116</v>
      </c>
      <c r="AK94">
        <f t="shared" si="65"/>
        <v>9.6746784783321688E-2</v>
      </c>
      <c r="AL94">
        <f t="shared" si="66"/>
        <v>0.99530902720415915</v>
      </c>
      <c r="AM94">
        <f t="shared" si="67"/>
        <v>763</v>
      </c>
      <c r="AN94">
        <f t="shared" si="68"/>
        <v>-381.5</v>
      </c>
      <c r="AO94">
        <f t="shared" si="69"/>
        <v>381.5</v>
      </c>
      <c r="AP94" s="16" cm="1">
        <f t="array" ref="AP94">SUMPRODUCT(1362*POWER(0.7,POWER(1/($AI$2*AK94+$AJ$2*AL94*COS(RADIANS(0.25*(_xlfn.SEQUENCE(AO94-AN94,1,AN94+1))))+0.50572*POWER(96.07995-DEGREES(ACOS($AI$2*AK94+$AJ$2*AL94*COS(RADIANS(0.25*(_xlfn.SEQUENCE(AO94-AN94,1,AN94+1)))))),-1.6364)),0.678))*IF(AL94*COS(RADIANS(0.25*(_xlfn.SEQUENCE(AO94-AN94,1,AN94+1))))&gt;0,AL94*COS(RADIANS(0.25*(_xlfn.SEQUENCE(AO94-AN94,1,AN94+1)))),0)/60)</f>
        <v>6377.6303846189558</v>
      </c>
      <c r="AQ94" s="17" cm="1">
        <f t="array" ref="AQ94">SUMPRODUCT(1362*POWER(0.7,POWER(1/($AI$2*AK94+$AJ$2*AL94*COS(RADIANS(0.25*(_xlfn.SEQUENCE(AO94-AN94,1,AN94+1))))+0.50572*POWER(96.07995-DEGREES(ACOS($AI$2*AK94+$AJ$2*AL94*COS(RADIANS(0.25*(_xlfn.SEQUENCE(AO94-AN94,1,AN94+1)))))),-1.6364)),0.678))/60)</f>
        <v>9081.1715547137082</v>
      </c>
      <c r="AR94" s="15">
        <f t="shared" si="70"/>
        <v>1.4239099802043924</v>
      </c>
      <c r="AT94">
        <v>0.24196541921765838</v>
      </c>
      <c r="AU94">
        <v>75.99742992419921</v>
      </c>
      <c r="AV94">
        <v>4.0700415857203707</v>
      </c>
      <c r="AW94">
        <v>540.72121119159124</v>
      </c>
    </row>
    <row r="95" spans="4:49" ht="17" x14ac:dyDescent="0.2">
      <c r="D95" s="1">
        <f t="shared" si="71"/>
        <v>46116</v>
      </c>
      <c r="E95" s="6">
        <f t="shared" si="38"/>
        <v>0.5</v>
      </c>
      <c r="F95" s="2">
        <f t="shared" si="39"/>
        <v>2461135.3333333335</v>
      </c>
      <c r="G95" s="3">
        <f t="shared" si="40"/>
        <v>0.26256901665526322</v>
      </c>
      <c r="I95">
        <f t="shared" si="41"/>
        <v>13.15321399892855</v>
      </c>
      <c r="J95">
        <f t="shared" si="42"/>
        <v>9809.7643345722081</v>
      </c>
      <c r="K95">
        <f t="shared" si="43"/>
        <v>1.669758765123357E-2</v>
      </c>
      <c r="L95">
        <f t="shared" si="44"/>
        <v>1.913195324972389</v>
      </c>
      <c r="M95">
        <f t="shared" si="45"/>
        <v>15.066409323900938</v>
      </c>
      <c r="N95">
        <f t="shared" si="46"/>
        <v>9811.6775298971806</v>
      </c>
      <c r="O95">
        <f t="shared" si="47"/>
        <v>1.0002111206212121</v>
      </c>
      <c r="P95">
        <f t="shared" si="48"/>
        <v>15.062571970459134</v>
      </c>
      <c r="Q95">
        <f t="shared" si="49"/>
        <v>23.435876617674566</v>
      </c>
      <c r="R95">
        <f t="shared" si="50"/>
        <v>23.438236514830749</v>
      </c>
      <c r="S95">
        <f t="shared" si="51"/>
        <v>13.869750747077804</v>
      </c>
      <c r="T95" s="19">
        <f t="shared" si="52"/>
        <v>5.9331170143851804</v>
      </c>
      <c r="U95">
        <f t="shared" si="53"/>
        <v>4.3030546735024801E-2</v>
      </c>
      <c r="V95">
        <f t="shared" si="54"/>
        <v>-2.8618285502408876</v>
      </c>
      <c r="W95">
        <f t="shared" si="55"/>
        <v>95.651686187485282</v>
      </c>
      <c r="X95" s="6">
        <f t="shared" si="56"/>
        <v>0.50740924204877835</v>
      </c>
      <c r="Y95" s="6">
        <f t="shared" si="57"/>
        <v>0.24171011375020818</v>
      </c>
      <c r="Z95" s="6">
        <f t="shared" si="58"/>
        <v>0.77310837034734858</v>
      </c>
      <c r="AA95" s="19">
        <f t="shared" si="59"/>
        <v>765.21348949988226</v>
      </c>
      <c r="AB95">
        <f t="shared" si="60"/>
        <v>709.33069144975912</v>
      </c>
      <c r="AC95">
        <f t="shared" si="61"/>
        <v>-2.6673271375602212</v>
      </c>
      <c r="AD95">
        <f t="shared" si="36"/>
        <v>31.759942119220938</v>
      </c>
      <c r="AE95">
        <f t="shared" si="62"/>
        <v>58.240057880779062</v>
      </c>
      <c r="AF95">
        <f t="shared" si="63"/>
        <v>9.9863098497365715E-3</v>
      </c>
      <c r="AG95">
        <f t="shared" si="64"/>
        <v>58.250044190628799</v>
      </c>
      <c r="AH95">
        <f t="shared" si="37"/>
        <v>174.95496728820285</v>
      </c>
      <c r="AK95">
        <f t="shared" si="65"/>
        <v>0.10336745874727644</v>
      </c>
      <c r="AL95">
        <f t="shared" si="66"/>
        <v>0.99464323677996735</v>
      </c>
      <c r="AM95">
        <f t="shared" si="67"/>
        <v>765</v>
      </c>
      <c r="AN95">
        <f t="shared" si="68"/>
        <v>-382.5</v>
      </c>
      <c r="AO95">
        <f t="shared" si="69"/>
        <v>382.5</v>
      </c>
      <c r="AP95" s="16" cm="1">
        <f t="array" ref="AP95">SUMPRODUCT(1362*POWER(0.7,POWER(1/($AI$2*AK95+$AJ$2*AL95*COS(RADIANS(0.25*(_xlfn.SEQUENCE(AO95-AN95,1,AN95+1))))+0.50572*POWER(96.07995-DEGREES(ACOS($AI$2*AK95+$AJ$2*AL95*COS(RADIANS(0.25*(_xlfn.SEQUENCE(AO95-AN95,1,AN95+1)))))),-1.6364)),0.678))*IF(AL95*COS(RADIANS(0.25*(_xlfn.SEQUENCE(AO95-AN95,1,AN95+1))))&gt;0,AL95*COS(RADIANS(0.25*(_xlfn.SEQUENCE(AO95-AN95,1,AN95+1)))),0)/60)</f>
        <v>6386.3908853896719</v>
      </c>
      <c r="AQ95" s="17" cm="1">
        <f t="array" ref="AQ95">SUMPRODUCT(1362*POWER(0.7,POWER(1/($AI$2*AK95+$AJ$2*AL95*COS(RADIANS(0.25*(_xlfn.SEQUENCE(AO95-AN95,1,AN95+1))))+0.50572*POWER(96.07995-DEGREES(ACOS($AI$2*AK95+$AJ$2*AL95*COS(RADIANS(0.25*(_xlfn.SEQUENCE(AO95-AN95,1,AN95+1)))))),-1.6364)),0.678))/60)</f>
        <v>9121.5740618411492</v>
      </c>
      <c r="AR95" s="15">
        <f t="shared" si="70"/>
        <v>1.4282830828142439</v>
      </c>
      <c r="AT95">
        <v>0.24435885034598723</v>
      </c>
      <c r="AU95">
        <v>75.856053046651425</v>
      </c>
      <c r="AV95">
        <v>4.0314685793986627</v>
      </c>
      <c r="AW95">
        <v>543.9454329550581</v>
      </c>
    </row>
    <row r="96" spans="4:49" ht="17" x14ac:dyDescent="0.2">
      <c r="D96" s="1">
        <f t="shared" si="71"/>
        <v>46117</v>
      </c>
      <c r="E96" s="6">
        <f t="shared" si="38"/>
        <v>0.5</v>
      </c>
      <c r="F96" s="2">
        <f t="shared" si="39"/>
        <v>2461136.3333333335</v>
      </c>
      <c r="G96" s="3">
        <f t="shared" si="40"/>
        <v>0.26259639516313454</v>
      </c>
      <c r="I96">
        <f t="shared" si="41"/>
        <v>14.138861363451724</v>
      </c>
      <c r="J96">
        <f t="shared" si="42"/>
        <v>9810.7499348517213</v>
      </c>
      <c r="K96">
        <f t="shared" si="43"/>
        <v>1.6697586498501511E-2</v>
      </c>
      <c r="L96">
        <f t="shared" si="44"/>
        <v>1.9123608228020612</v>
      </c>
      <c r="M96">
        <f t="shared" si="45"/>
        <v>16.051222186253785</v>
      </c>
      <c r="N96">
        <f t="shared" si="46"/>
        <v>9812.6622956745232</v>
      </c>
      <c r="O96">
        <f t="shared" si="47"/>
        <v>1.0004981826788453</v>
      </c>
      <c r="P96">
        <f t="shared" si="48"/>
        <v>16.047388904464515</v>
      </c>
      <c r="Q96">
        <f t="shared" si="49"/>
        <v>23.435876261640381</v>
      </c>
      <c r="R96">
        <f t="shared" si="50"/>
        <v>23.438235240768837</v>
      </c>
      <c r="S96">
        <f t="shared" si="51"/>
        <v>14.783711596989495</v>
      </c>
      <c r="T96" s="19">
        <f t="shared" si="52"/>
        <v>6.312651524600752</v>
      </c>
      <c r="U96">
        <f t="shared" si="53"/>
        <v>4.3030541923825515E-2</v>
      </c>
      <c r="V96">
        <f t="shared" si="54"/>
        <v>-2.5758671962984026</v>
      </c>
      <c r="W96">
        <f t="shared" si="55"/>
        <v>95.949608854682964</v>
      </c>
      <c r="X96" s="6">
        <f t="shared" si="56"/>
        <v>0.50721065777520713</v>
      </c>
      <c r="Y96" s="6">
        <f t="shared" si="57"/>
        <v>0.24068396651219889</v>
      </c>
      <c r="Z96" s="6">
        <f t="shared" si="58"/>
        <v>0.77373734903821523</v>
      </c>
      <c r="AA96" s="19">
        <f t="shared" si="59"/>
        <v>767.59687083746371</v>
      </c>
      <c r="AB96">
        <f t="shared" si="60"/>
        <v>709.61665280370153</v>
      </c>
      <c r="AC96">
        <f t="shared" si="61"/>
        <v>-2.5958367990746183</v>
      </c>
      <c r="AD96">
        <f t="shared" si="36"/>
        <v>31.376385788364853</v>
      </c>
      <c r="AE96">
        <f t="shared" si="62"/>
        <v>58.623614211635143</v>
      </c>
      <c r="AF96">
        <f t="shared" si="63"/>
        <v>9.8376842855150311E-3</v>
      </c>
      <c r="AG96">
        <f t="shared" si="64"/>
        <v>58.633451895920658</v>
      </c>
      <c r="AH96">
        <f t="shared" si="37"/>
        <v>175.04004526017309</v>
      </c>
      <c r="AK96">
        <f t="shared" si="65"/>
        <v>0.10995378568774887</v>
      </c>
      <c r="AL96">
        <f t="shared" si="66"/>
        <v>0.99393670070730988</v>
      </c>
      <c r="AM96">
        <f t="shared" si="67"/>
        <v>768</v>
      </c>
      <c r="AN96">
        <f t="shared" si="68"/>
        <v>-384</v>
      </c>
      <c r="AO96">
        <f t="shared" si="69"/>
        <v>384</v>
      </c>
      <c r="AP96" s="16" cm="1">
        <f t="array" ref="AP96">SUMPRODUCT(1362*POWER(0.7,POWER(1/($AI$2*AK96+$AJ$2*AL96*COS(RADIANS(0.25*(_xlfn.SEQUENCE(AO96-AN96,1,AN96+1))))+0.50572*POWER(96.07995-DEGREES(ACOS($AI$2*AK96+$AJ$2*AL96*COS(RADIANS(0.25*(_xlfn.SEQUENCE(AO96-AN96,1,AN96+1)))))),-1.6364)),0.678))*IF(AL96*COS(RADIANS(0.25*(_xlfn.SEQUENCE(AO96-AN96,1,AN96+1))))&gt;0,AL96*COS(RADIANS(0.25*(_xlfn.SEQUENCE(AO96-AN96,1,AN96+1)))),0)/60)</f>
        <v>6394.5991341286699</v>
      </c>
      <c r="AQ96" s="17" cm="1">
        <f t="array" ref="AQ96">SUMPRODUCT(1362*POWER(0.7,POWER(1/($AI$2*AK96+$AJ$2*AL96*COS(RADIANS(0.25*(_xlfn.SEQUENCE(AO96-AN96,1,AN96+1))))+0.50572*POWER(96.07995-DEGREES(ACOS($AI$2*AK96+$AJ$2*AL96*COS(RADIANS(0.25*(_xlfn.SEQUENCE(AO96-AN96,1,AN96+1)))))),-1.6364)),0.678))/60)</f>
        <v>9161.8081259896062</v>
      </c>
      <c r="AR96" s="15">
        <f t="shared" si="70"/>
        <v>1.4327415892408395</v>
      </c>
      <c r="AT96">
        <v>0.24674310017958825</v>
      </c>
      <c r="AU96">
        <v>75.71513103951817</v>
      </c>
      <c r="AV96">
        <v>3.9937517476444704</v>
      </c>
      <c r="AW96">
        <v>547.12638269968863</v>
      </c>
    </row>
    <row r="97" spans="4:49" ht="17" x14ac:dyDescent="0.2">
      <c r="D97" s="1">
        <f t="shared" si="71"/>
        <v>46118</v>
      </c>
      <c r="E97" s="6">
        <f t="shared" si="38"/>
        <v>0.5</v>
      </c>
      <c r="F97" s="2">
        <f t="shared" si="39"/>
        <v>2461137.3333333335</v>
      </c>
      <c r="G97" s="3">
        <f t="shared" si="40"/>
        <v>0.26262377367100587</v>
      </c>
      <c r="I97">
        <f t="shared" si="41"/>
        <v>15.124508727976718</v>
      </c>
      <c r="J97">
        <f t="shared" si="42"/>
        <v>9811.7355351312362</v>
      </c>
      <c r="K97">
        <f t="shared" si="43"/>
        <v>1.6697585345769261E-2</v>
      </c>
      <c r="L97">
        <f t="shared" si="44"/>
        <v>1.9109615997302285</v>
      </c>
      <c r="M97">
        <f t="shared" si="45"/>
        <v>17.035470327706946</v>
      </c>
      <c r="N97">
        <f t="shared" si="46"/>
        <v>9813.6464967309657</v>
      </c>
      <c r="O97">
        <f t="shared" si="47"/>
        <v>1.0007850154405824</v>
      </c>
      <c r="P97">
        <f t="shared" si="48"/>
        <v>17.03164111598425</v>
      </c>
      <c r="Q97">
        <f t="shared" si="49"/>
        <v>23.435875905606199</v>
      </c>
      <c r="R97">
        <f t="shared" si="50"/>
        <v>23.438233964691939</v>
      </c>
      <c r="S97">
        <f t="shared" si="51"/>
        <v>15.698484816439292</v>
      </c>
      <c r="T97" s="19">
        <f t="shared" si="52"/>
        <v>6.6903741354656496</v>
      </c>
      <c r="U97">
        <f t="shared" si="53"/>
        <v>4.3030537105017377E-2</v>
      </c>
      <c r="V97">
        <f t="shared" si="54"/>
        <v>-2.2931890360330582</v>
      </c>
      <c r="W97">
        <f t="shared" si="55"/>
        <v>96.246750137709256</v>
      </c>
      <c r="X97" s="6">
        <f t="shared" si="56"/>
        <v>0.50701435349724511</v>
      </c>
      <c r="Y97" s="6">
        <f t="shared" si="57"/>
        <v>0.23966226978138608</v>
      </c>
      <c r="Z97" s="6">
        <f t="shared" si="58"/>
        <v>0.77436643721310428</v>
      </c>
      <c r="AA97" s="19">
        <f t="shared" si="59"/>
        <v>769.97400110167405</v>
      </c>
      <c r="AB97">
        <f t="shared" si="60"/>
        <v>709.89933096396703</v>
      </c>
      <c r="AC97">
        <f t="shared" si="61"/>
        <v>-2.5251672590082421</v>
      </c>
      <c r="AD97">
        <f t="shared" si="36"/>
        <v>30.994747162262737</v>
      </c>
      <c r="AE97">
        <f t="shared" si="62"/>
        <v>59.00525283773726</v>
      </c>
      <c r="AF97">
        <f t="shared" si="63"/>
        <v>9.6909954881703626E-3</v>
      </c>
      <c r="AG97">
        <f t="shared" si="64"/>
        <v>59.014943833225431</v>
      </c>
      <c r="AH97">
        <f t="shared" si="37"/>
        <v>175.12546765922207</v>
      </c>
      <c r="AK97">
        <f t="shared" si="65"/>
        <v>0.11650387977569278</v>
      </c>
      <c r="AL97">
        <f t="shared" si="66"/>
        <v>0.99319023655954797</v>
      </c>
      <c r="AM97">
        <f t="shared" si="67"/>
        <v>770</v>
      </c>
      <c r="AN97">
        <f t="shared" si="68"/>
        <v>-385</v>
      </c>
      <c r="AO97">
        <f t="shared" si="69"/>
        <v>385</v>
      </c>
      <c r="AP97" s="16" cm="1">
        <f t="array" ref="AP97">SUMPRODUCT(1362*POWER(0.7,POWER(1/($AI$2*AK97+$AJ$2*AL97*COS(RADIANS(0.25*(_xlfn.SEQUENCE(AO97-AN97,1,AN97+1))))+0.50572*POWER(96.07995-DEGREES(ACOS($AI$2*AK97+$AJ$2*AL97*COS(RADIANS(0.25*(_xlfn.SEQUENCE(AO97-AN97,1,AN97+1)))))),-1.6364)),0.678))*IF(AL97*COS(RADIANS(0.25*(_xlfn.SEQUENCE(AO97-AN97,1,AN97+1))))&gt;0,AL97*COS(RADIANS(0.25*(_xlfn.SEQUENCE(AO97-AN97,1,AN97+1)))),0)/60)</f>
        <v>6402.2689089054566</v>
      </c>
      <c r="AQ97" s="17" cm="1">
        <f t="array" ref="AQ97">SUMPRODUCT(1362*POWER(0.7,POWER(1/($AI$2*AK97+$AJ$2*AL97*COS(RADIANS(0.25*(_xlfn.SEQUENCE(AO97-AN97,1,AN97+1))))+0.50572*POWER(96.07995-DEGREES(ACOS($AI$2*AK97+$AJ$2*AL97*COS(RADIANS(0.25*(_xlfn.SEQUENCE(AO97-AN97,1,AN97+1)))))),-1.6364)),0.678))/60)</f>
        <v>9201.6278466159238</v>
      </c>
      <c r="AR97" s="15">
        <f t="shared" si="70"/>
        <v>1.4372448232870385</v>
      </c>
      <c r="AT97">
        <v>0.2491181233257814</v>
      </c>
      <c r="AU97">
        <v>75.574666585943646</v>
      </c>
      <c r="AV97">
        <v>3.9568646957826052</v>
      </c>
      <c r="AW97">
        <v>550.26479349809983</v>
      </c>
    </row>
    <row r="98" spans="4:49" ht="17" x14ac:dyDescent="0.2">
      <c r="D98" s="1">
        <f t="shared" si="71"/>
        <v>46119</v>
      </c>
      <c r="E98" s="6">
        <f t="shared" si="38"/>
        <v>0.5</v>
      </c>
      <c r="F98" s="2">
        <f t="shared" si="39"/>
        <v>2461138.3333333335</v>
      </c>
      <c r="G98" s="3">
        <f t="shared" si="40"/>
        <v>0.26265115217887719</v>
      </c>
      <c r="I98">
        <f t="shared" si="41"/>
        <v>16.110156092501711</v>
      </c>
      <c r="J98">
        <f t="shared" si="42"/>
        <v>9812.7211354107512</v>
      </c>
      <c r="K98">
        <f t="shared" si="43"/>
        <v>1.6697584193036821E-2</v>
      </c>
      <c r="L98">
        <f t="shared" si="44"/>
        <v>1.9089986766914646</v>
      </c>
      <c r="M98">
        <f t="shared" si="45"/>
        <v>18.019154769193175</v>
      </c>
      <c r="N98">
        <f t="shared" si="46"/>
        <v>9814.6301340874434</v>
      </c>
      <c r="O98">
        <f t="shared" si="47"/>
        <v>1.0010715344293737</v>
      </c>
      <c r="P98">
        <f t="shared" si="48"/>
        <v>18.015329625947604</v>
      </c>
      <c r="Q98">
        <f t="shared" si="49"/>
        <v>23.435875549572014</v>
      </c>
      <c r="R98">
        <f t="shared" si="50"/>
        <v>23.438232686600838</v>
      </c>
      <c r="S98">
        <f t="shared" si="51"/>
        <v>16.614145617141634</v>
      </c>
      <c r="T98" s="19">
        <f t="shared" si="52"/>
        <v>7.0661893105817928</v>
      </c>
      <c r="U98">
        <f t="shared" si="53"/>
        <v>4.3030532278603387E-2</v>
      </c>
      <c r="V98">
        <f t="shared" si="54"/>
        <v>-2.0140886693955302</v>
      </c>
      <c r="W98">
        <f t="shared" si="55"/>
        <v>96.543061187957946</v>
      </c>
      <c r="X98" s="6">
        <f t="shared" si="56"/>
        <v>0.50682053379819125</v>
      </c>
      <c r="Y98" s="6">
        <f t="shared" si="57"/>
        <v>0.23864536383164142</v>
      </c>
      <c r="Z98" s="6">
        <f t="shared" si="58"/>
        <v>0.77499570376474114</v>
      </c>
      <c r="AA98" s="19">
        <f t="shared" si="59"/>
        <v>772.34448950366357</v>
      </c>
      <c r="AB98">
        <f t="shared" si="60"/>
        <v>710.17843133060455</v>
      </c>
      <c r="AC98">
        <f t="shared" si="61"/>
        <v>-2.4553921673488617</v>
      </c>
      <c r="AD98">
        <f t="shared" si="36"/>
        <v>30.615125518501774</v>
      </c>
      <c r="AE98">
        <f t="shared" si="62"/>
        <v>59.38487448149823</v>
      </c>
      <c r="AF98">
        <f t="shared" si="63"/>
        <v>9.5462363236791213E-3</v>
      </c>
      <c r="AG98">
        <f t="shared" si="64"/>
        <v>59.394420717821909</v>
      </c>
      <c r="AH98">
        <f t="shared" si="37"/>
        <v>175.21110189218678</v>
      </c>
      <c r="AK98">
        <f t="shared" si="65"/>
        <v>0.1230158723847284</v>
      </c>
      <c r="AL98">
        <f t="shared" si="66"/>
        <v>0.99240470330476782</v>
      </c>
      <c r="AM98">
        <f t="shared" si="67"/>
        <v>772</v>
      </c>
      <c r="AN98">
        <f t="shared" si="68"/>
        <v>-386</v>
      </c>
      <c r="AO98">
        <f t="shared" si="69"/>
        <v>386</v>
      </c>
      <c r="AP98" s="16" cm="1">
        <f t="array" ref="AP98">SUMPRODUCT(1362*POWER(0.7,POWER(1/($AI$2*AK98+$AJ$2*AL98*COS(RADIANS(0.25*(_xlfn.SEQUENCE(AO98-AN98,1,AN98+1))))+0.50572*POWER(96.07995-DEGREES(ACOS($AI$2*AK98+$AJ$2*AL98*COS(RADIANS(0.25*(_xlfn.SEQUENCE(AO98-AN98,1,AN98+1)))))),-1.6364)),0.678))*IF(AL98*COS(RADIANS(0.25*(_xlfn.SEQUENCE(AO98-AN98,1,AN98+1))))&gt;0,AL98*COS(RADIANS(0.25*(_xlfn.SEQUENCE(AO98-AN98,1,AN98+1)))),0)/60)</f>
        <v>6409.4047691956475</v>
      </c>
      <c r="AQ98" s="17" cm="1">
        <f t="array" ref="AQ98">SUMPRODUCT(1362*POWER(0.7,POWER(1/($AI$2*AK98+$AJ$2*AL98*COS(RADIANS(0.25*(_xlfn.SEQUENCE(AO98-AN98,1,AN98+1))))+0.50572*POWER(96.07995-DEGREES(ACOS($AI$2*AK98+$AJ$2*AL98*COS(RADIANS(0.25*(_xlfn.SEQUENCE(AO98-AN98,1,AN98+1)))))),-1.6364)),0.678))/60)</f>
        <v>9241.1452531136692</v>
      </c>
      <c r="AR98" s="15">
        <f t="shared" si="70"/>
        <v>1.4418102126312413</v>
      </c>
      <c r="AT98">
        <v>0.25148387456754961</v>
      </c>
      <c r="AU98">
        <v>75.434662379702473</v>
      </c>
      <c r="AV98">
        <v>3.9207821010321902</v>
      </c>
      <c r="AW98">
        <v>553.36138233550707</v>
      </c>
    </row>
    <row r="99" spans="4:49" ht="17" x14ac:dyDescent="0.2">
      <c r="D99" s="1">
        <f t="shared" si="71"/>
        <v>46120</v>
      </c>
      <c r="E99" s="6">
        <f t="shared" si="38"/>
        <v>0.5</v>
      </c>
      <c r="F99" s="2">
        <f t="shared" si="39"/>
        <v>2461139.3333333335</v>
      </c>
      <c r="G99" s="3">
        <f t="shared" si="40"/>
        <v>0.26267853068674851</v>
      </c>
      <c r="I99">
        <f t="shared" si="41"/>
        <v>17.095803457026705</v>
      </c>
      <c r="J99">
        <f t="shared" si="42"/>
        <v>9813.7067356902644</v>
      </c>
      <c r="K99">
        <f t="shared" si="43"/>
        <v>1.6697583040304192E-2</v>
      </c>
      <c r="L99">
        <f t="shared" si="44"/>
        <v>1.906473238335471</v>
      </c>
      <c r="M99">
        <f t="shared" si="45"/>
        <v>19.002276695362177</v>
      </c>
      <c r="N99">
        <f t="shared" si="46"/>
        <v>9815.6132089286002</v>
      </c>
      <c r="O99">
        <f t="shared" si="47"/>
        <v>1.0013576554056329</v>
      </c>
      <c r="P99">
        <f t="shared" si="48"/>
        <v>18.998455619000815</v>
      </c>
      <c r="Q99">
        <f t="shared" si="49"/>
        <v>23.435875193537832</v>
      </c>
      <c r="R99">
        <f t="shared" si="50"/>
        <v>23.438231406496325</v>
      </c>
      <c r="S99">
        <f t="shared" si="51"/>
        <v>17.53076812754318</v>
      </c>
      <c r="T99" s="19">
        <f t="shared" si="52"/>
        <v>7.4400017526043518</v>
      </c>
      <c r="U99">
        <f t="shared" si="53"/>
        <v>4.3030527444586485E-2</v>
      </c>
      <c r="V99">
        <f t="shared" si="54"/>
        <v>-1.7388565302873955</v>
      </c>
      <c r="W99">
        <f t="shared" si="55"/>
        <v>96.83849198433343</v>
      </c>
      <c r="X99" s="6">
        <f t="shared" si="56"/>
        <v>0.5066294003682551</v>
      </c>
      <c r="Y99" s="6">
        <f t="shared" si="57"/>
        <v>0.23763358930066225</v>
      </c>
      <c r="Z99" s="6">
        <f t="shared" si="58"/>
        <v>0.77562521143584795</v>
      </c>
      <c r="AA99" s="19">
        <f t="shared" si="59"/>
        <v>774.70793587466744</v>
      </c>
      <c r="AB99">
        <f t="shared" si="60"/>
        <v>710.45366346971264</v>
      </c>
      <c r="AC99">
        <f t="shared" si="61"/>
        <v>-2.3865841325718407</v>
      </c>
      <c r="AD99">
        <f t="shared" si="36"/>
        <v>30.237619490000736</v>
      </c>
      <c r="AE99">
        <f t="shared" si="62"/>
        <v>59.762380509999261</v>
      </c>
      <c r="AF99">
        <f t="shared" si="63"/>
        <v>9.4033997730711104E-3</v>
      </c>
      <c r="AG99">
        <f t="shared" si="64"/>
        <v>59.771783909772331</v>
      </c>
      <c r="AH99">
        <f t="shared" si="37"/>
        <v>175.29681124343313</v>
      </c>
      <c r="AK99">
        <f t="shared" si="65"/>
        <v>0.12948791254103706</v>
      </c>
      <c r="AL99">
        <f t="shared" si="66"/>
        <v>0.99158100047639308</v>
      </c>
      <c r="AM99">
        <f t="shared" si="67"/>
        <v>775</v>
      </c>
      <c r="AN99">
        <f t="shared" si="68"/>
        <v>-387.5</v>
      </c>
      <c r="AO99">
        <f t="shared" si="69"/>
        <v>387.5</v>
      </c>
      <c r="AP99" s="16" cm="1">
        <f t="array" ref="AP99">SUMPRODUCT(1362*POWER(0.7,POWER(1/($AI$2*AK99+$AJ$2*AL99*COS(RADIANS(0.25*(_xlfn.SEQUENCE(AO99-AN99,1,AN99+1))))+0.50572*POWER(96.07995-DEGREES(ACOS($AI$2*AK99+$AJ$2*AL99*COS(RADIANS(0.25*(_xlfn.SEQUENCE(AO99-AN99,1,AN99+1)))))),-1.6364)),0.678))*IF(AL99*COS(RADIANS(0.25*(_xlfn.SEQUENCE(AO99-AN99,1,AN99+1))))&gt;0,AL99*COS(RADIANS(0.25*(_xlfn.SEQUENCE(AO99-AN99,1,AN99+1)))),0)/60)</f>
        <v>6416.0187546738689</v>
      </c>
      <c r="AQ99" s="17" cm="1">
        <f t="array" ref="AQ99">SUMPRODUCT(1362*POWER(0.7,POWER(1/($AI$2*AK99+$AJ$2*AL99*COS(RADIANS(0.25*(_xlfn.SEQUENCE(AO99-AN99,1,AN99+1))))+0.50572*POWER(96.07995-DEGREES(ACOS($AI$2*AK99+$AJ$2*AL99*COS(RADIANS(0.25*(_xlfn.SEQUENCE(AO99-AN99,1,AN99+1)))))),-1.6364)),0.678))/60)</f>
        <v>9280.4800191311042</v>
      </c>
      <c r="AR99" s="15">
        <f t="shared" si="70"/>
        <v>1.4464546277035997</v>
      </c>
      <c r="AT99">
        <v>0.25384030886439912</v>
      </c>
      <c r="AU99">
        <v>75.295121125141279</v>
      </c>
      <c r="AV99">
        <v>3.885479659299266</v>
      </c>
      <c r="AW99">
        <v>556.41685045744714</v>
      </c>
    </row>
    <row r="100" spans="4:49" ht="17" x14ac:dyDescent="0.2">
      <c r="D100" s="1">
        <f t="shared" si="71"/>
        <v>46121</v>
      </c>
      <c r="E100" s="6">
        <f t="shared" si="38"/>
        <v>0.5</v>
      </c>
      <c r="F100" s="2">
        <f t="shared" si="39"/>
        <v>2461140.3333333335</v>
      </c>
      <c r="G100" s="3">
        <f t="shared" si="40"/>
        <v>0.26270590919461984</v>
      </c>
      <c r="I100">
        <f t="shared" si="41"/>
        <v>18.081450821553517</v>
      </c>
      <c r="J100">
        <f t="shared" si="42"/>
        <v>9814.6923359697794</v>
      </c>
      <c r="K100">
        <f t="shared" si="43"/>
        <v>1.6697581887571374E-2</v>
      </c>
      <c r="L100">
        <f t="shared" si="44"/>
        <v>1.9033866319680597</v>
      </c>
      <c r="M100">
        <f t="shared" si="45"/>
        <v>19.984837453521578</v>
      </c>
      <c r="N100">
        <f t="shared" si="46"/>
        <v>9816.5957226017472</v>
      </c>
      <c r="O100">
        <f t="shared" si="47"/>
        <v>1.0016432943912168</v>
      </c>
      <c r="P100">
        <f t="shared" si="48"/>
        <v>19.981020442448028</v>
      </c>
      <c r="Q100">
        <f t="shared" si="49"/>
        <v>23.435874837503651</v>
      </c>
      <c r="R100">
        <f t="shared" si="50"/>
        <v>23.438230124379189</v>
      </c>
      <c r="S100">
        <f t="shared" si="51"/>
        <v>18.448425334342254</v>
      </c>
      <c r="T100" s="19">
        <f t="shared" si="52"/>
        <v>7.8117163989015284</v>
      </c>
      <c r="U100">
        <f t="shared" si="53"/>
        <v>4.3030522602969683E-2</v>
      </c>
      <c r="V100">
        <f t="shared" si="54"/>
        <v>-1.467778693680194</v>
      </c>
      <c r="W100">
        <f t="shared" si="55"/>
        <v>97.132991266934127</v>
      </c>
      <c r="X100" s="6">
        <f t="shared" si="56"/>
        <v>0.50644115187061123</v>
      </c>
      <c r="Y100" s="6">
        <f t="shared" si="57"/>
        <v>0.23662728724023863</v>
      </c>
      <c r="Z100" s="6">
        <f t="shared" si="58"/>
        <v>0.77625501650098383</v>
      </c>
      <c r="AA100" s="19">
        <f t="shared" si="59"/>
        <v>777.06393013547302</v>
      </c>
      <c r="AB100">
        <f t="shared" si="60"/>
        <v>710.72474130631986</v>
      </c>
      <c r="AC100">
        <f t="shared" si="61"/>
        <v>-2.3188146734200359</v>
      </c>
      <c r="AD100">
        <f t="shared" si="36"/>
        <v>29.862327070218686</v>
      </c>
      <c r="AE100">
        <f t="shared" si="62"/>
        <v>60.137672929781317</v>
      </c>
      <c r="AF100">
        <f t="shared" si="63"/>
        <v>9.2624789630657376E-3</v>
      </c>
      <c r="AG100">
        <f t="shared" si="64"/>
        <v>60.146935408744383</v>
      </c>
      <c r="AH100">
        <f t="shared" si="37"/>
        <v>175.38245480160629</v>
      </c>
      <c r="AK100">
        <f t="shared" si="65"/>
        <v>0.13591816736098483</v>
      </c>
      <c r="AL100">
        <f t="shared" si="66"/>
        <v>0.99072006731529938</v>
      </c>
      <c r="AM100">
        <f t="shared" si="67"/>
        <v>777</v>
      </c>
      <c r="AN100">
        <f t="shared" si="68"/>
        <v>-388.5</v>
      </c>
      <c r="AO100">
        <f t="shared" si="69"/>
        <v>388.5</v>
      </c>
      <c r="AP100" s="16" cm="1">
        <f t="array" ref="AP100">SUMPRODUCT(1362*POWER(0.7,POWER(1/($AI$2*AK100+$AJ$2*AL100*COS(RADIANS(0.25*(_xlfn.SEQUENCE(AO100-AN100,1,AN100+1))))+0.50572*POWER(96.07995-DEGREES(ACOS($AI$2*AK100+$AJ$2*AL100*COS(RADIANS(0.25*(_xlfn.SEQUENCE(AO100-AN100,1,AN100+1)))))),-1.6364)),0.678))*IF(AL100*COS(RADIANS(0.25*(_xlfn.SEQUENCE(AO100-AN100,1,AN100+1))))&gt;0,AL100*COS(RADIANS(0.25*(_xlfn.SEQUENCE(AO100-AN100,1,AN100+1)))),0)/60)</f>
        <v>6422.1116686928563</v>
      </c>
      <c r="AQ100" s="17" cm="1">
        <f t="array" ref="AQ100">SUMPRODUCT(1362*POWER(0.7,POWER(1/($AI$2*AK100+$AJ$2*AL100*COS(RADIANS(0.25*(_xlfn.SEQUENCE(AO100-AN100,1,AN100+1))))+0.50572*POWER(96.07995-DEGREES(ACOS($AI$2*AK100+$AJ$2*AL100*COS(RADIANS(0.25*(_xlfn.SEQUENCE(AO100-AN100,1,AN100+1)))))),-1.6364)),0.678))/60)</f>
        <v>9319.3826077703816</v>
      </c>
      <c r="AR100" s="15">
        <f t="shared" si="70"/>
        <v>1.4511399191641945</v>
      </c>
      <c r="AT100">
        <v>0.25618738135321806</v>
      </c>
      <c r="AU100">
        <v>75.156045537117691</v>
      </c>
      <c r="AV100">
        <v>3.8509340350799284</v>
      </c>
      <c r="AW100">
        <v>559.43188371473593</v>
      </c>
    </row>
    <row r="101" spans="4:49" ht="17" x14ac:dyDescent="0.2">
      <c r="D101" s="1">
        <f t="shared" si="71"/>
        <v>46122</v>
      </c>
      <c r="E101" s="6">
        <f t="shared" si="38"/>
        <v>0.5</v>
      </c>
      <c r="F101" s="2">
        <f t="shared" si="39"/>
        <v>2461141.3333333335</v>
      </c>
      <c r="G101" s="3">
        <f t="shared" si="40"/>
        <v>0.26273328770249116</v>
      </c>
      <c r="I101">
        <f t="shared" si="41"/>
        <v>19.06709818607851</v>
      </c>
      <c r="J101">
        <f t="shared" si="42"/>
        <v>9815.6779362492944</v>
      </c>
      <c r="K101">
        <f t="shared" si="43"/>
        <v>1.6697580734838364E-2</v>
      </c>
      <c r="L101">
        <f t="shared" si="44"/>
        <v>1.8997403664511534</v>
      </c>
      <c r="M101">
        <f t="shared" si="45"/>
        <v>20.966838552529666</v>
      </c>
      <c r="N101">
        <f t="shared" si="46"/>
        <v>9817.5776766157451</v>
      </c>
      <c r="O101">
        <f t="shared" si="47"/>
        <v>1.0019283676931539</v>
      </c>
      <c r="P101">
        <f t="shared" si="48"/>
        <v>20.963025605144065</v>
      </c>
      <c r="Q101">
        <f t="shared" si="49"/>
        <v>23.435874481469469</v>
      </c>
      <c r="R101">
        <f t="shared" si="50"/>
        <v>23.438228840250218</v>
      </c>
      <c r="S101">
        <f t="shared" si="51"/>
        <v>19.367189023285587</v>
      </c>
      <c r="T101" s="19">
        <f t="shared" si="52"/>
        <v>8.1812384181946847</v>
      </c>
      <c r="U101">
        <f t="shared" si="53"/>
        <v>4.3030517753755951E-2</v>
      </c>
      <c r="V101">
        <f t="shared" si="54"/>
        <v>-1.2011366760780173</v>
      </c>
      <c r="W101">
        <f t="shared" si="55"/>
        <v>97.426506472437623</v>
      </c>
      <c r="X101" s="6">
        <f t="shared" si="56"/>
        <v>0.50625598380283188</v>
      </c>
      <c r="Y101" s="6">
        <f t="shared" si="57"/>
        <v>0.23562679915717177</v>
      </c>
      <c r="Z101" s="6">
        <f t="shared" si="58"/>
        <v>0.77688516844849198</v>
      </c>
      <c r="AA101" s="19">
        <f t="shared" si="59"/>
        <v>779.41205177950098</v>
      </c>
      <c r="AB101">
        <f t="shared" si="60"/>
        <v>710.99138332392204</v>
      </c>
      <c r="AC101">
        <f t="shared" si="61"/>
        <v>-2.2521541690194908</v>
      </c>
      <c r="AD101">
        <f t="shared" si="36"/>
        <v>29.48934561901369</v>
      </c>
      <c r="AE101">
        <f t="shared" si="62"/>
        <v>60.51065438098631</v>
      </c>
      <c r="AF101">
        <f t="shared" si="63"/>
        <v>9.1234671947737472E-3</v>
      </c>
      <c r="AG101">
        <f t="shared" si="64"/>
        <v>60.519777848181086</v>
      </c>
      <c r="AH101">
        <f t="shared" si="37"/>
        <v>175.46788739232716</v>
      </c>
      <c r="AK101">
        <f t="shared" si="65"/>
        <v>0.14230482247651841</v>
      </c>
      <c r="AL101">
        <f t="shared" si="66"/>
        <v>0.98982288188338352</v>
      </c>
      <c r="AM101">
        <f t="shared" si="67"/>
        <v>779</v>
      </c>
      <c r="AN101">
        <f t="shared" si="68"/>
        <v>-389.5</v>
      </c>
      <c r="AO101">
        <f t="shared" si="69"/>
        <v>389.5</v>
      </c>
      <c r="AP101" s="16" cm="1">
        <f t="array" ref="AP101">SUMPRODUCT(1362*POWER(0.7,POWER(1/($AI$2*AK101+$AJ$2*AL101*COS(RADIANS(0.25*(_xlfn.SEQUENCE(AO101-AN101,1,AN101+1))))+0.50572*POWER(96.07995-DEGREES(ACOS($AI$2*AK101+$AJ$2*AL101*COS(RADIANS(0.25*(_xlfn.SEQUENCE(AO101-AN101,1,AN101+1)))))),-1.6364)),0.678))*IF(AL101*COS(RADIANS(0.25*(_xlfn.SEQUENCE(AO101-AN101,1,AN101+1))))&gt;0,AL101*COS(RADIANS(0.25*(_xlfn.SEQUENCE(AO101-AN101,1,AN101+1)))),0)/60)</f>
        <v>6427.696111289235</v>
      </c>
      <c r="AQ101" s="17" cm="1">
        <f t="array" ref="AQ101">SUMPRODUCT(1362*POWER(0.7,POWER(1/($AI$2*AK101+$AJ$2*AL101*COS(RADIANS(0.25*(_xlfn.SEQUENCE(AO101-AN101,1,AN101+1))))+0.50572*POWER(96.07995-DEGREES(ACOS($AI$2*AK101+$AJ$2*AL101*COS(RADIANS(0.25*(_xlfn.SEQUENCE(AO101-AN101,1,AN101+1)))))),-1.6364)),0.678))/60)</f>
        <v>9357.9671200860121</v>
      </c>
      <c r="AR101" s="15">
        <f t="shared" si="70"/>
        <v>1.4558820078083994</v>
      </c>
      <c r="AT101">
        <v>0.25852504734912907</v>
      </c>
      <c r="AU101">
        <v>75.01743834093665</v>
      </c>
      <c r="AV101">
        <v>3.8171228142657792</v>
      </c>
      <c r="AW101">
        <v>562.40715290503931</v>
      </c>
    </row>
    <row r="102" spans="4:49" ht="17" x14ac:dyDescent="0.2">
      <c r="D102" s="1">
        <f t="shared" si="71"/>
        <v>46123</v>
      </c>
      <c r="E102" s="6">
        <f t="shared" si="38"/>
        <v>0.5</v>
      </c>
      <c r="F102" s="2">
        <f t="shared" si="39"/>
        <v>2461142.3333333335</v>
      </c>
      <c r="G102" s="3">
        <f t="shared" si="40"/>
        <v>0.26276066621036243</v>
      </c>
      <c r="I102">
        <f t="shared" si="41"/>
        <v>20.052745550603504</v>
      </c>
      <c r="J102">
        <f t="shared" si="42"/>
        <v>9816.6635365288039</v>
      </c>
      <c r="K102">
        <f t="shared" si="43"/>
        <v>1.6697579582105167E-2</v>
      </c>
      <c r="L102">
        <f t="shared" si="44"/>
        <v>1.8955361110629712</v>
      </c>
      <c r="M102">
        <f t="shared" si="45"/>
        <v>21.948281661666474</v>
      </c>
      <c r="N102">
        <f t="shared" si="46"/>
        <v>9818.5590726398677</v>
      </c>
      <c r="O102">
        <f t="shared" si="47"/>
        <v>1.0022127919271282</v>
      </c>
      <c r="P102">
        <f t="shared" si="48"/>
        <v>21.944472776365487</v>
      </c>
      <c r="Q102">
        <f t="shared" si="49"/>
        <v>23.435874125435287</v>
      </c>
      <c r="R102">
        <f t="shared" si="50"/>
        <v>23.438227554110206</v>
      </c>
      <c r="S102">
        <f t="shared" si="51"/>
        <v>20.28712971923968</v>
      </c>
      <c r="T102" s="19">
        <f t="shared" si="52"/>
        <v>8.5484732082468575</v>
      </c>
      <c r="U102">
        <f t="shared" si="53"/>
        <v>4.30305128969483E-2</v>
      </c>
      <c r="V102">
        <f t="shared" si="54"/>
        <v>-0.93920722898257847</v>
      </c>
      <c r="W102">
        <f t="shared" si="55"/>
        <v>97.718983671329312</v>
      </c>
      <c r="X102" s="6">
        <f t="shared" si="56"/>
        <v>0.50607408835346002</v>
      </c>
      <c r="Y102" s="6">
        <f t="shared" si="57"/>
        <v>0.23463246704421192</v>
      </c>
      <c r="Z102" s="6">
        <f t="shared" si="58"/>
        <v>0.777515709662708</v>
      </c>
      <c r="AA102" s="19">
        <f t="shared" si="59"/>
        <v>781.75186937063449</v>
      </c>
      <c r="AB102">
        <f t="shared" si="60"/>
        <v>711.25331277101736</v>
      </c>
      <c r="AC102">
        <f t="shared" si="61"/>
        <v>-2.1866718072456592</v>
      </c>
      <c r="AD102">
        <f t="shared" si="36"/>
        <v>29.118771869136179</v>
      </c>
      <c r="AE102">
        <f t="shared" si="62"/>
        <v>60.881228130863818</v>
      </c>
      <c r="AF102">
        <f t="shared" si="63"/>
        <v>8.986357970562079E-3</v>
      </c>
      <c r="AG102">
        <f t="shared" si="64"/>
        <v>60.890214488834381</v>
      </c>
      <c r="AH102">
        <f t="shared" si="37"/>
        <v>175.55295951794801</v>
      </c>
      <c r="AK102">
        <f t="shared" si="65"/>
        <v>0.14864608244855948</v>
      </c>
      <c r="AL102">
        <f t="shared" si="66"/>
        <v>0.98889046014849191</v>
      </c>
      <c r="AM102">
        <f t="shared" si="67"/>
        <v>782</v>
      </c>
      <c r="AN102">
        <f t="shared" si="68"/>
        <v>-391</v>
      </c>
      <c r="AO102">
        <f t="shared" si="69"/>
        <v>391</v>
      </c>
      <c r="AP102" s="16" cm="1">
        <f t="array" ref="AP102">SUMPRODUCT(1362*POWER(0.7,POWER(1/($AI$2*AK102+$AJ$2*AL102*COS(RADIANS(0.25*(_xlfn.SEQUENCE(AO102-AN102,1,AN102+1))))+0.50572*POWER(96.07995-DEGREES(ACOS($AI$2*AK102+$AJ$2*AL102*COS(RADIANS(0.25*(_xlfn.SEQUENCE(AO102-AN102,1,AN102+1)))))),-1.6364)),0.678))*IF(AL102*COS(RADIANS(0.25*(_xlfn.SEQUENCE(AO102-AN102,1,AN102+1))))&gt;0,AL102*COS(RADIANS(0.25*(_xlfn.SEQUENCE(AO102-AN102,1,AN102+1)))),0)/60)</f>
        <v>6432.7768027330867</v>
      </c>
      <c r="AQ102" s="17" cm="1">
        <f t="array" ref="AQ102">SUMPRODUCT(1362*POWER(0.7,POWER(1/($AI$2*AK102+$AJ$2*AL102*COS(RADIANS(0.25*(_xlfn.SEQUENCE(AO102-AN102,1,AN102+1))))+0.50572*POWER(96.07995-DEGREES(ACOS($AI$2*AK102+$AJ$2*AL102*COS(RADIANS(0.25*(_xlfn.SEQUENCE(AO102-AN102,1,AN102+1)))))),-1.6364)),0.678))/60)</f>
        <v>9396.3539813683074</v>
      </c>
      <c r="AR102" s="15">
        <f t="shared" si="70"/>
        <v>1.460699518966069</v>
      </c>
      <c r="AT102">
        <v>0.26085326234634154</v>
      </c>
      <c r="AU102">
        <v>74.879302272283766</v>
      </c>
      <c r="AV102">
        <v>3.7840244596589581</v>
      </c>
      <c r="AW102">
        <v>565.343314110542</v>
      </c>
    </row>
    <row r="103" spans="4:49" ht="17" x14ac:dyDescent="0.2">
      <c r="D103" s="1">
        <f t="shared" si="71"/>
        <v>46124</v>
      </c>
      <c r="E103" s="6">
        <f t="shared" si="38"/>
        <v>0.5</v>
      </c>
      <c r="F103" s="2">
        <f t="shared" si="39"/>
        <v>2461143.3333333335</v>
      </c>
      <c r="G103" s="3">
        <f t="shared" si="40"/>
        <v>0.26278804471823375</v>
      </c>
      <c r="I103">
        <f t="shared" si="41"/>
        <v>21.038392915132135</v>
      </c>
      <c r="J103">
        <f t="shared" si="42"/>
        <v>9817.6491368083189</v>
      </c>
      <c r="K103">
        <f t="shared" si="43"/>
        <v>1.6697578429371779E-2</v>
      </c>
      <c r="L103">
        <f t="shared" si="44"/>
        <v>1.8907756943193765</v>
      </c>
      <c r="M103">
        <f t="shared" si="45"/>
        <v>22.929168609451512</v>
      </c>
      <c r="N103">
        <f t="shared" si="46"/>
        <v>9819.5399125026379</v>
      </c>
      <c r="O103">
        <f t="shared" si="47"/>
        <v>1.002496484040718</v>
      </c>
      <c r="P103">
        <f t="shared" si="48"/>
        <v>22.925363784628331</v>
      </c>
      <c r="Q103">
        <f t="shared" si="49"/>
        <v>23.435873769401105</v>
      </c>
      <c r="R103">
        <f t="shared" si="50"/>
        <v>23.438226265959951</v>
      </c>
      <c r="S103">
        <f t="shared" si="51"/>
        <v>21.208316625487281</v>
      </c>
      <c r="T103" s="19">
        <f t="shared" si="52"/>
        <v>8.9133263946449564</v>
      </c>
      <c r="U103">
        <f t="shared" si="53"/>
        <v>4.3030508032549722E-2</v>
      </c>
      <c r="V103">
        <f t="shared" si="54"/>
        <v>-0.68226212510959605</v>
      </c>
      <c r="W103">
        <f t="shared" si="55"/>
        <v>98.010367507110303</v>
      </c>
      <c r="X103" s="6">
        <f t="shared" si="56"/>
        <v>0.50589565425354832</v>
      </c>
      <c r="Y103" s="6">
        <f t="shared" si="57"/>
        <v>0.23364463340046418</v>
      </c>
      <c r="Z103" s="6">
        <f t="shared" si="58"/>
        <v>0.77814667510663249</v>
      </c>
      <c r="AA103" s="19">
        <f t="shared" si="59"/>
        <v>784.08294005688242</v>
      </c>
      <c r="AB103">
        <f t="shared" si="60"/>
        <v>711.51025787489039</v>
      </c>
      <c r="AC103">
        <f t="shared" si="61"/>
        <v>-2.1224355312774037</v>
      </c>
      <c r="AD103">
        <f t="shared" si="36"/>
        <v>28.750701933361114</v>
      </c>
      <c r="AE103">
        <f t="shared" si="62"/>
        <v>61.249298066638886</v>
      </c>
      <c r="AF103">
        <f t="shared" si="63"/>
        <v>8.8511450191827244E-3</v>
      </c>
      <c r="AG103">
        <f t="shared" si="64"/>
        <v>61.258149211658072</v>
      </c>
      <c r="AH103">
        <f t="shared" si="37"/>
        <v>175.63751730563411</v>
      </c>
      <c r="AK103">
        <f t="shared" si="65"/>
        <v>0.1549401711682537</v>
      </c>
      <c r="AL103">
        <f t="shared" si="66"/>
        <v>0.98792385504063629</v>
      </c>
      <c r="AM103">
        <f t="shared" si="67"/>
        <v>784</v>
      </c>
      <c r="AN103">
        <f t="shared" si="68"/>
        <v>-392</v>
      </c>
      <c r="AO103">
        <f t="shared" si="69"/>
        <v>392</v>
      </c>
      <c r="AP103" s="16" cm="1">
        <f t="array" ref="AP103">SUMPRODUCT(1362*POWER(0.7,POWER(1/($AI$2*AK103+$AJ$2*AL103*COS(RADIANS(0.25*(_xlfn.SEQUENCE(AO103-AN103,1,AN103+1))))+0.50572*POWER(96.07995-DEGREES(ACOS($AI$2*AK103+$AJ$2*AL103*COS(RADIANS(0.25*(_xlfn.SEQUENCE(AO103-AN103,1,AN103+1)))))),-1.6364)),0.678))*IF(AL103*COS(RADIANS(0.25*(_xlfn.SEQUENCE(AO103-AN103,1,AN103+1))))&gt;0,AL103*COS(RADIANS(0.25*(_xlfn.SEQUENCE(AO103-AN103,1,AN103+1)))),0)/60)</f>
        <v>6437.3721015248329</v>
      </c>
      <c r="AQ103" s="17" cm="1">
        <f t="array" ref="AQ103">SUMPRODUCT(1362*POWER(0.7,POWER(1/($AI$2*AK103+$AJ$2*AL103*COS(RADIANS(0.25*(_xlfn.SEQUENCE(AO103-AN103,1,AN103+1))))+0.50572*POWER(96.07995-DEGREES(ACOS($AI$2*AK103+$AJ$2*AL103*COS(RADIANS(0.25*(_xlfn.SEQUENCE(AO103-AN103,1,AN103+1)))))),-1.6364)),0.678))/60)</f>
        <v>9434.29195362258</v>
      </c>
      <c r="AR103" s="15">
        <f t="shared" si="70"/>
        <v>1.4655501973216463</v>
      </c>
      <c r="AT103">
        <v>0.26317198201899783</v>
      </c>
      <c r="AU103">
        <v>74.741640077156234</v>
      </c>
      <c r="AV103">
        <v>3.7516182690185702</v>
      </c>
      <c r="AW103">
        <v>568.24100903125589</v>
      </c>
    </row>
    <row r="104" spans="4:49" ht="17" x14ac:dyDescent="0.2">
      <c r="D104" s="1">
        <f t="shared" si="71"/>
        <v>46125</v>
      </c>
      <c r="E104" s="6">
        <f t="shared" si="38"/>
        <v>0.5</v>
      </c>
      <c r="F104" s="2">
        <f t="shared" si="39"/>
        <v>2461144.3333333335</v>
      </c>
      <c r="G104" s="3">
        <f t="shared" si="40"/>
        <v>0.26281542322610507</v>
      </c>
      <c r="I104">
        <f t="shared" si="41"/>
        <v>22.024040279657129</v>
      </c>
      <c r="J104">
        <f t="shared" si="42"/>
        <v>9818.634737087832</v>
      </c>
      <c r="K104">
        <f t="shared" si="43"/>
        <v>1.66975772766382E-2</v>
      </c>
      <c r="L104">
        <f t="shared" si="44"/>
        <v>1.8854611027578969</v>
      </c>
      <c r="M104">
        <f t="shared" si="45"/>
        <v>23.909501382415026</v>
      </c>
      <c r="N104">
        <f t="shared" si="46"/>
        <v>9820.5201981905902</v>
      </c>
      <c r="O104">
        <f t="shared" si="47"/>
        <v>1.0027793613363631</v>
      </c>
      <c r="P104">
        <f t="shared" si="48"/>
        <v>23.905700616459374</v>
      </c>
      <c r="Q104">
        <f t="shared" si="49"/>
        <v>23.435873413366924</v>
      </c>
      <c r="R104">
        <f t="shared" si="50"/>
        <v>23.438224975800242</v>
      </c>
      <c r="S104">
        <f t="shared" si="51"/>
        <v>22.130817562243113</v>
      </c>
      <c r="T104" s="19">
        <f t="shared" si="52"/>
        <v>9.2757038307349937</v>
      </c>
      <c r="U104">
        <f t="shared" si="53"/>
        <v>4.3030503160563206E-2</v>
      </c>
      <c r="V104">
        <f t="shared" si="54"/>
        <v>-0.43056793717417291</v>
      </c>
      <c r="W104">
        <f t="shared" si="55"/>
        <v>98.300601137641422</v>
      </c>
      <c r="X104" s="6">
        <f t="shared" si="56"/>
        <v>0.50572086662303761</v>
      </c>
      <c r="Y104" s="6">
        <f t="shared" si="57"/>
        <v>0.23266364124070035</v>
      </c>
      <c r="Z104" s="6">
        <f t="shared" si="58"/>
        <v>0.77877809200537496</v>
      </c>
      <c r="AA104" s="19">
        <f t="shared" si="59"/>
        <v>786.40480910113138</v>
      </c>
      <c r="AB104">
        <f t="shared" si="60"/>
        <v>711.76195206282591</v>
      </c>
      <c r="AC104">
        <f t="shared" si="61"/>
        <v>-2.0595119842935219</v>
      </c>
      <c r="AD104">
        <f t="shared" si="36"/>
        <v>28.385231312249491</v>
      </c>
      <c r="AE104">
        <f t="shared" si="62"/>
        <v>61.614768687750512</v>
      </c>
      <c r="AF104">
        <f t="shared" si="63"/>
        <v>8.7178223192572422E-3</v>
      </c>
      <c r="AG104">
        <f t="shared" si="64"/>
        <v>61.623486510069768</v>
      </c>
      <c r="AH104">
        <f t="shared" si="37"/>
        <v>175.72140246506183</v>
      </c>
      <c r="AK104">
        <f t="shared" si="65"/>
        <v>0.16118533224619447</v>
      </c>
      <c r="AL104">
        <f t="shared" si="66"/>
        <v>0.98692415547937817</v>
      </c>
      <c r="AM104">
        <f t="shared" si="67"/>
        <v>786</v>
      </c>
      <c r="AN104">
        <f t="shared" si="68"/>
        <v>-393</v>
      </c>
      <c r="AO104">
        <f t="shared" si="69"/>
        <v>393</v>
      </c>
      <c r="AP104" s="16" cm="1">
        <f t="array" ref="AP104">SUMPRODUCT(1362*POWER(0.7,POWER(1/($AI$2*AK104+$AJ$2*AL104*COS(RADIANS(0.25*(_xlfn.SEQUENCE(AO104-AN104,1,AN104+1))))+0.50572*POWER(96.07995-DEGREES(ACOS($AI$2*AK104+$AJ$2*AL104*COS(RADIANS(0.25*(_xlfn.SEQUENCE(AO104-AN104,1,AN104+1)))))),-1.6364)),0.678))*IF(AL104*COS(RADIANS(0.25*(_xlfn.SEQUENCE(AO104-AN104,1,AN104+1))))&gt;0,AL104*COS(RADIANS(0.25*(_xlfn.SEQUENCE(AO104-AN104,1,AN104+1)))),0)/60)</f>
        <v>6441.4875770048911</v>
      </c>
      <c r="AQ104" s="17" cm="1">
        <f t="array" ref="AQ104">SUMPRODUCT(1362*POWER(0.7,POWER(1/($AI$2*AK104+$AJ$2*AL104*COS(RADIANS(0.25*(_xlfn.SEQUENCE(AO104-AN104,1,AN104+1))))+0.50572*POWER(96.07995-DEGREES(ACOS($AI$2*AK104+$AJ$2*AL104*COS(RADIANS(0.25*(_xlfn.SEQUENCE(AO104-AN104,1,AN104+1)))))),-1.6364)),0.678))/60)</f>
        <v>9471.8961945017491</v>
      </c>
      <c r="AR104" s="15">
        <f t="shared" si="70"/>
        <v>1.4704516745968657</v>
      </c>
      <c r="AT104">
        <v>0.26548116222201767</v>
      </c>
      <c r="AU104">
        <v>74.604454511790621</v>
      </c>
      <c r="AV104">
        <v>3.71988433547335</v>
      </c>
      <c r="AW104">
        <v>571.10086531359582</v>
      </c>
    </row>
    <row r="105" spans="4:49" ht="17" x14ac:dyDescent="0.2">
      <c r="D105" s="1">
        <f t="shared" si="71"/>
        <v>46126</v>
      </c>
      <c r="E105" s="6">
        <f t="shared" si="38"/>
        <v>0.5</v>
      </c>
      <c r="F105" s="2">
        <f t="shared" si="39"/>
        <v>2461145.3333333335</v>
      </c>
      <c r="G105" s="3">
        <f t="shared" si="40"/>
        <v>0.26284280173397639</v>
      </c>
      <c r="I105">
        <f t="shared" si="41"/>
        <v>23.00968764418576</v>
      </c>
      <c r="J105">
        <f t="shared" si="42"/>
        <v>9819.6203373673434</v>
      </c>
      <c r="K105">
        <f t="shared" si="43"/>
        <v>1.6697576123904431E-2</v>
      </c>
      <c r="L105">
        <f t="shared" si="44"/>
        <v>1.8795944796849524</v>
      </c>
      <c r="M105">
        <f t="shared" si="45"/>
        <v>24.889282123870714</v>
      </c>
      <c r="N105">
        <f t="shared" si="46"/>
        <v>9821.4999318470291</v>
      </c>
      <c r="O105">
        <f t="shared" si="47"/>
        <v>1.0030613414940794</v>
      </c>
      <c r="P105">
        <f t="shared" si="48"/>
        <v>24.885485415168851</v>
      </c>
      <c r="Q105">
        <f t="shared" si="49"/>
        <v>23.435873057332742</v>
      </c>
      <c r="R105">
        <f t="shared" si="50"/>
        <v>23.438223683631882</v>
      </c>
      <c r="S105">
        <f t="shared" si="51"/>
        <v>23.054698904429749</v>
      </c>
      <c r="T105" s="19">
        <f t="shared" si="52"/>
        <v>9.6355115987837099</v>
      </c>
      <c r="U105">
        <f t="shared" si="53"/>
        <v>4.3030498280991786E-2</v>
      </c>
      <c r="V105">
        <f t="shared" si="54"/>
        <v>-0.18438580912963709</v>
      </c>
      <c r="W105">
        <f t="shared" si="55"/>
        <v>98.589626178803996</v>
      </c>
      <c r="X105" s="6">
        <f t="shared" si="56"/>
        <v>0.5055499068118956</v>
      </c>
      <c r="Y105" s="6">
        <f t="shared" si="57"/>
        <v>0.23168983409299559</v>
      </c>
      <c r="Z105" s="6">
        <f t="shared" si="58"/>
        <v>0.7794099795307956</v>
      </c>
      <c r="AA105" s="19">
        <f t="shared" si="59"/>
        <v>788.71700943043197</v>
      </c>
      <c r="AB105">
        <f t="shared" si="60"/>
        <v>712.00813419087035</v>
      </c>
      <c r="AC105">
        <f t="shared" si="61"/>
        <v>-1.9979664522824123</v>
      </c>
      <c r="AD105">
        <f t="shared" si="36"/>
        <v>28.022454902511203</v>
      </c>
      <c r="AE105">
        <f t="shared" si="62"/>
        <v>61.9775450974888</v>
      </c>
      <c r="AF105">
        <f t="shared" si="63"/>
        <v>8.5863841211979916E-3</v>
      </c>
      <c r="AG105">
        <f t="shared" si="64"/>
        <v>61.986131481609995</v>
      </c>
      <c r="AH105">
        <f t="shared" si="37"/>
        <v>175.80445225717392</v>
      </c>
      <c r="AK105">
        <f t="shared" si="65"/>
        <v>0.16737982939000884</v>
      </c>
      <c r="AL105">
        <f t="shared" si="66"/>
        <v>0.98589248537219898</v>
      </c>
      <c r="AM105">
        <f t="shared" si="67"/>
        <v>789</v>
      </c>
      <c r="AN105">
        <f t="shared" si="68"/>
        <v>-394.5</v>
      </c>
      <c r="AO105">
        <f t="shared" si="69"/>
        <v>394.5</v>
      </c>
      <c r="AP105" s="16" cm="1">
        <f t="array" ref="AP105">SUMPRODUCT(1362*POWER(0.7,POWER(1/($AI$2*AK105+$AJ$2*AL105*COS(RADIANS(0.25*(_xlfn.SEQUENCE(AO105-AN105,1,AN105+1))))+0.50572*POWER(96.07995-DEGREES(ACOS($AI$2*AK105+$AJ$2*AL105*COS(RADIANS(0.25*(_xlfn.SEQUENCE(AO105-AN105,1,AN105+1)))))),-1.6364)),0.678))*IF(AL105*COS(RADIANS(0.25*(_xlfn.SEQUENCE(AO105-AN105,1,AN105+1))))&gt;0,AL105*COS(RADIANS(0.25*(_xlfn.SEQUENCE(AO105-AN105,1,AN105+1)))),0)/60)</f>
        <v>6445.1384291428949</v>
      </c>
      <c r="AQ105" s="17" cm="1">
        <f t="array" ref="AQ105">SUMPRODUCT(1362*POWER(0.7,POWER(1/($AI$2*AK105+$AJ$2*AL105*COS(RADIANS(0.25*(_xlfn.SEQUENCE(AO105-AN105,1,AN105+1))))+0.50572*POWER(96.07995-DEGREES(ACOS($AI$2*AK105+$AJ$2*AL105*COS(RADIANS(0.25*(_xlfn.SEQUENCE(AO105-AN105,1,AN105+1)))))),-1.6364)),0.678))/60)</f>
        <v>9509.2865617461885</v>
      </c>
      <c r="AR105" s="15">
        <f t="shared" si="70"/>
        <v>1.4754200652616205</v>
      </c>
      <c r="AT105">
        <v>0.26778075899193887</v>
      </c>
      <c r="AU105">
        <v>74.467748342587853</v>
      </c>
      <c r="AV105">
        <v>3.6888035101475931</v>
      </c>
      <c r="AW105">
        <v>573.92349687389731</v>
      </c>
    </row>
    <row r="106" spans="4:49" ht="17" x14ac:dyDescent="0.2">
      <c r="D106" s="1">
        <f t="shared" si="71"/>
        <v>46127</v>
      </c>
      <c r="E106" s="6">
        <f t="shared" si="38"/>
        <v>0.5</v>
      </c>
      <c r="F106" s="2">
        <f t="shared" si="39"/>
        <v>2461146.3333333335</v>
      </c>
      <c r="G106" s="3">
        <f t="shared" si="40"/>
        <v>0.26287018024184772</v>
      </c>
      <c r="I106">
        <f t="shared" si="41"/>
        <v>23.995335008714392</v>
      </c>
      <c r="J106">
        <f t="shared" si="42"/>
        <v>9820.6059376468584</v>
      </c>
      <c r="K106">
        <f t="shared" si="43"/>
        <v>1.6697574971170474E-2</v>
      </c>
      <c r="L106">
        <f t="shared" si="44"/>
        <v>1.8731781238878773</v>
      </c>
      <c r="M106">
        <f t="shared" si="45"/>
        <v>25.868513132602271</v>
      </c>
      <c r="N106">
        <f t="shared" si="46"/>
        <v>9822.4791157707459</v>
      </c>
      <c r="O106">
        <f t="shared" si="47"/>
        <v>1.0033423425939123</v>
      </c>
      <c r="P106">
        <f t="shared" si="48"/>
        <v>25.864720479536992</v>
      </c>
      <c r="Q106">
        <f t="shared" si="49"/>
        <v>23.435872701298564</v>
      </c>
      <c r="R106">
        <f t="shared" si="50"/>
        <v>23.438222389455671</v>
      </c>
      <c r="S106">
        <f t="shared" si="51"/>
        <v>23.980025518635752</v>
      </c>
      <c r="T106" s="19">
        <f t="shared" si="52"/>
        <v>9.992656012388796</v>
      </c>
      <c r="U106">
        <f t="shared" si="53"/>
        <v>4.3030493393838486E-2</v>
      </c>
      <c r="V106">
        <f t="shared" si="54"/>
        <v>5.6028780138129973E-2</v>
      </c>
      <c r="W106">
        <f t="shared" si="55"/>
        <v>98.877382650628903</v>
      </c>
      <c r="X106" s="6">
        <f t="shared" si="56"/>
        <v>0.50538295223601515</v>
      </c>
      <c r="Y106" s="6">
        <f t="shared" si="57"/>
        <v>0.23072355598426819</v>
      </c>
      <c r="Z106" s="6">
        <f t="shared" si="58"/>
        <v>0.78004234848776199</v>
      </c>
      <c r="AA106" s="19">
        <f t="shared" si="59"/>
        <v>791.01906120503122</v>
      </c>
      <c r="AB106">
        <f t="shared" si="60"/>
        <v>712.24854878013821</v>
      </c>
      <c r="AC106">
        <f t="shared" si="61"/>
        <v>-1.937862804965448</v>
      </c>
      <c r="AD106">
        <f t="shared" si="36"/>
        <v>27.662467005990798</v>
      </c>
      <c r="AE106">
        <f t="shared" si="62"/>
        <v>62.337532994009202</v>
      </c>
      <c r="AF106">
        <f t="shared" si="63"/>
        <v>8.4568249676612653E-3</v>
      </c>
      <c r="AG106">
        <f t="shared" si="64"/>
        <v>62.345989818976861</v>
      </c>
      <c r="AH106">
        <f t="shared" si="37"/>
        <v>175.88649947546389</v>
      </c>
      <c r="AK106">
        <f t="shared" si="65"/>
        <v>0.17352194676983471</v>
      </c>
      <c r="AL106">
        <f t="shared" si="66"/>
        <v>0.9848300025837996</v>
      </c>
      <c r="AM106">
        <f t="shared" si="67"/>
        <v>791</v>
      </c>
      <c r="AN106">
        <f t="shared" si="68"/>
        <v>-395.5</v>
      </c>
      <c r="AO106">
        <f t="shared" si="69"/>
        <v>395.5</v>
      </c>
      <c r="AP106" s="16" cm="1">
        <f t="array" ref="AP106">SUMPRODUCT(1362*POWER(0.7,POWER(1/($AI$2*AK106+$AJ$2*AL106*COS(RADIANS(0.25*(_xlfn.SEQUENCE(AO106-AN106,1,AN106+1))))+0.50572*POWER(96.07995-DEGREES(ACOS($AI$2*AK106+$AJ$2*AL106*COS(RADIANS(0.25*(_xlfn.SEQUENCE(AO106-AN106,1,AN106+1)))))),-1.6364)),0.678))*IF(AL106*COS(RADIANS(0.25*(_xlfn.SEQUENCE(AO106-AN106,1,AN106+1))))&gt;0,AL106*COS(RADIANS(0.25*(_xlfn.SEQUENCE(AO106-AN106,1,AN106+1)))),0)/60)</f>
        <v>6448.3253046773907</v>
      </c>
      <c r="AQ106" s="17" cm="1">
        <f t="array" ref="AQ106">SUMPRODUCT(1362*POWER(0.7,POWER(1/($AI$2*AK106+$AJ$2*AL106*COS(RADIANS(0.25*(_xlfn.SEQUENCE(AO106-AN106,1,AN106+1))))+0.50572*POWER(96.07995-DEGREES(ACOS($AI$2*AK106+$AJ$2*AL106*COS(RADIANS(0.25*(_xlfn.SEQUENCE(AO106-AN106,1,AN106+1)))))),-1.6364)),0.678))/60)</f>
        <v>9546.212434157469</v>
      </c>
      <c r="AR106" s="15">
        <f t="shared" si="70"/>
        <v>1.4804173150558919</v>
      </c>
      <c r="AT106">
        <v>0.27007072854775349</v>
      </c>
      <c r="AU106">
        <v>74.331524346035494</v>
      </c>
      <c r="AV106">
        <v>3.6583573668584961</v>
      </c>
      <c r="AW106">
        <v>576.7095042166128</v>
      </c>
    </row>
    <row r="107" spans="4:49" ht="17" x14ac:dyDescent="0.2">
      <c r="D107" s="1">
        <f t="shared" si="71"/>
        <v>46128</v>
      </c>
      <c r="E107" s="6">
        <f t="shared" si="38"/>
        <v>0.5</v>
      </c>
      <c r="F107" s="2">
        <f t="shared" si="39"/>
        <v>2461147.3333333335</v>
      </c>
      <c r="G107" s="3">
        <f t="shared" si="40"/>
        <v>0.26289755874971904</v>
      </c>
      <c r="I107">
        <f t="shared" si="41"/>
        <v>24.980982373243023</v>
      </c>
      <c r="J107">
        <f t="shared" si="42"/>
        <v>9821.5915379263679</v>
      </c>
      <c r="K107">
        <f t="shared" si="43"/>
        <v>1.6697573818436322E-2</v>
      </c>
      <c r="L107">
        <f t="shared" si="44"/>
        <v>1.8662144883127578</v>
      </c>
      <c r="M107">
        <f t="shared" si="45"/>
        <v>26.84719686155578</v>
      </c>
      <c r="N107">
        <f t="shared" si="46"/>
        <v>9823.4577524146807</v>
      </c>
      <c r="O107">
        <f t="shared" si="47"/>
        <v>1.0036222831381092</v>
      </c>
      <c r="P107">
        <f t="shared" si="48"/>
        <v>26.843408262506408</v>
      </c>
      <c r="Q107">
        <f t="shared" si="49"/>
        <v>23.435872345264382</v>
      </c>
      <c r="R107">
        <f t="shared" si="50"/>
        <v>23.438221093272407</v>
      </c>
      <c r="S107">
        <f t="shared" si="51"/>
        <v>24.906860699355995</v>
      </c>
      <c r="T107" s="19">
        <f t="shared" si="52"/>
        <v>10.347043620225383</v>
      </c>
      <c r="U107">
        <f t="shared" si="53"/>
        <v>4.3030488499106324E-2</v>
      </c>
      <c r="V107">
        <f t="shared" si="54"/>
        <v>0.29042626062165972</v>
      </c>
      <c r="W107">
        <f t="shared" si="55"/>
        <v>99.163808926109056</v>
      </c>
      <c r="X107" s="6">
        <f t="shared" si="56"/>
        <v>0.50522017620790161</v>
      </c>
      <c r="Y107" s="6">
        <f t="shared" si="57"/>
        <v>0.22976515141315421</v>
      </c>
      <c r="Z107" s="6">
        <f t="shared" si="58"/>
        <v>0.78067520100264887</v>
      </c>
      <c r="AA107" s="19">
        <f t="shared" si="59"/>
        <v>793.31047140887244</v>
      </c>
      <c r="AB107">
        <f t="shared" si="60"/>
        <v>712.4829462606217</v>
      </c>
      <c r="AC107">
        <f t="shared" si="61"/>
        <v>-1.8792634348445745</v>
      </c>
      <c r="AD107">
        <f t="shared" si="36"/>
        <v>27.305361339225541</v>
      </c>
      <c r="AE107">
        <f t="shared" si="62"/>
        <v>62.694638660774459</v>
      </c>
      <c r="AF107">
        <f t="shared" si="63"/>
        <v>8.3291397125977353E-3</v>
      </c>
      <c r="AG107">
        <f t="shared" si="64"/>
        <v>62.702967800487059</v>
      </c>
      <c r="AH107">
        <f t="shared" si="37"/>
        <v>175.96737244143037</v>
      </c>
      <c r="AK107">
        <f t="shared" si="65"/>
        <v>0.17960998937237502</v>
      </c>
      <c r="AL107">
        <f t="shared" si="66"/>
        <v>0.98373789787608334</v>
      </c>
      <c r="AM107">
        <f t="shared" si="67"/>
        <v>793</v>
      </c>
      <c r="AN107">
        <f t="shared" si="68"/>
        <v>-396.5</v>
      </c>
      <c r="AO107">
        <f t="shared" si="69"/>
        <v>396.5</v>
      </c>
      <c r="AP107" s="16" cm="1">
        <f t="array" ref="AP107">SUMPRODUCT(1362*POWER(0.7,POWER(1/($AI$2*AK107+$AJ$2*AL107*COS(RADIANS(0.25*(_xlfn.SEQUENCE(AO107-AN107,1,AN107+1))))+0.50572*POWER(96.07995-DEGREES(ACOS($AI$2*AK107+$AJ$2*AL107*COS(RADIANS(0.25*(_xlfn.SEQUENCE(AO107-AN107,1,AN107+1)))))),-1.6364)),0.678))*IF(AL107*COS(RADIANS(0.25*(_xlfn.SEQUENCE(AO107-AN107,1,AN107+1))))&gt;0,AL107*COS(RADIANS(0.25*(_xlfn.SEQUENCE(AO107-AN107,1,AN107+1)))),0)/60)</f>
        <v>6451.063827056485</v>
      </c>
      <c r="AQ107" s="17" cm="1">
        <f t="array" ref="AQ107">SUMPRODUCT(1362*POWER(0.7,POWER(1/($AI$2*AK107+$AJ$2*AL107*COS(RADIANS(0.25*(_xlfn.SEQUENCE(AO107-AN107,1,AN107+1))))+0.50572*POWER(96.07995-DEGREES(ACOS($AI$2*AK107+$AJ$2*AL107*COS(RADIANS(0.25*(_xlfn.SEQUENCE(AO107-AN107,1,AN107+1)))))),-1.6364)),0.678))/60)</f>
        <v>9582.7888266159007</v>
      </c>
      <c r="AR107" s="15">
        <f t="shared" si="70"/>
        <v>1.4854586907704448</v>
      </c>
      <c r="AT107">
        <v>0.27235102729174221</v>
      </c>
      <c r="AU107">
        <v>74.195785308626782</v>
      </c>
      <c r="AV107">
        <v>3.6285281687532018</v>
      </c>
      <c r="AW107">
        <v>579.45947474697084</v>
      </c>
    </row>
    <row r="108" spans="4:49" ht="17" x14ac:dyDescent="0.2">
      <c r="D108" s="1">
        <f t="shared" si="71"/>
        <v>46129</v>
      </c>
      <c r="E108" s="6">
        <f t="shared" si="38"/>
        <v>0.5</v>
      </c>
      <c r="F108" s="2">
        <f t="shared" si="39"/>
        <v>2461148.3333333335</v>
      </c>
      <c r="G108" s="3">
        <f t="shared" si="40"/>
        <v>0.26292493725759036</v>
      </c>
      <c r="I108">
        <f t="shared" si="41"/>
        <v>25.966629737771655</v>
      </c>
      <c r="J108">
        <f t="shared" si="42"/>
        <v>9822.5771382058811</v>
      </c>
      <c r="K108">
        <f t="shared" si="43"/>
        <v>1.6697572665701984E-2</v>
      </c>
      <c r="L108">
        <f t="shared" si="44"/>
        <v>1.8587061787087704</v>
      </c>
      <c r="M108">
        <f t="shared" si="45"/>
        <v>27.825335916480427</v>
      </c>
      <c r="N108">
        <f t="shared" si="46"/>
        <v>9824.4358443845904</v>
      </c>
      <c r="O108">
        <f t="shared" si="47"/>
        <v>1.0039010820730343</v>
      </c>
      <c r="P108">
        <f t="shared" si="48"/>
        <v>27.821551369822831</v>
      </c>
      <c r="Q108">
        <f t="shared" si="49"/>
        <v>23.435871989230204</v>
      </c>
      <c r="R108">
        <f t="shared" si="50"/>
        <v>23.438219795082897</v>
      </c>
      <c r="S108">
        <f t="shared" si="51"/>
        <v>25.835266104482539</v>
      </c>
      <c r="T108" s="19">
        <f t="shared" si="52"/>
        <v>10.698581211159894</v>
      </c>
      <c r="U108">
        <f t="shared" si="53"/>
        <v>4.3030483596798355E-2</v>
      </c>
      <c r="V108">
        <f t="shared" si="54"/>
        <v>0.5185632223517519</v>
      </c>
      <c r="W108">
        <f t="shared" si="55"/>
        <v>99.448841682878538</v>
      </c>
      <c r="X108" s="6">
        <f t="shared" si="56"/>
        <v>0.50506174776225565</v>
      </c>
      <c r="Y108" s="6">
        <f t="shared" si="57"/>
        <v>0.22881496530981529</v>
      </c>
      <c r="Z108" s="6">
        <f t="shared" si="58"/>
        <v>0.78130853021469604</v>
      </c>
      <c r="AA108" s="19">
        <f t="shared" si="59"/>
        <v>795.5907334630283</v>
      </c>
      <c r="AB108">
        <f t="shared" si="60"/>
        <v>712.71108322235182</v>
      </c>
      <c r="AC108">
        <f t="shared" si="61"/>
        <v>-1.8222291944120457</v>
      </c>
      <c r="AD108">
        <f t="shared" si="36"/>
        <v>26.951231043577224</v>
      </c>
      <c r="AE108">
        <f t="shared" si="62"/>
        <v>63.048768956422776</v>
      </c>
      <c r="AF108">
        <f t="shared" si="63"/>
        <v>8.2033235389809157E-3</v>
      </c>
      <c r="AG108">
        <f t="shared" si="64"/>
        <v>63.056972279961755</v>
      </c>
      <c r="AH108">
        <f t="shared" si="37"/>
        <v>176.04689501588439</v>
      </c>
      <c r="AK108">
        <f t="shared" si="65"/>
        <v>0.18564228334326832</v>
      </c>
      <c r="AL108">
        <f t="shared" si="66"/>
        <v>0.98261739381872215</v>
      </c>
      <c r="AM108">
        <f t="shared" si="67"/>
        <v>796</v>
      </c>
      <c r="AN108">
        <f t="shared" si="68"/>
        <v>-398</v>
      </c>
      <c r="AO108">
        <f t="shared" si="69"/>
        <v>398</v>
      </c>
      <c r="AP108" s="16" cm="1">
        <f t="array" ref="AP108">SUMPRODUCT(1362*POWER(0.7,POWER(1/($AI$2*AK108+$AJ$2*AL108*COS(RADIANS(0.25*(_xlfn.SEQUENCE(AO108-AN108,1,AN108+1))))+0.50572*POWER(96.07995-DEGREES(ACOS($AI$2*AK108+$AJ$2*AL108*COS(RADIANS(0.25*(_xlfn.SEQUENCE(AO108-AN108,1,AN108+1)))))),-1.6364)),0.678))*IF(AL108*COS(RADIANS(0.25*(_xlfn.SEQUENCE(AO108-AN108,1,AN108+1))))&gt;0,AL108*COS(RADIANS(0.25*(_xlfn.SEQUENCE(AO108-AN108,1,AN108+1)))),0)/60)</f>
        <v>6453.3595784832778</v>
      </c>
      <c r="AQ108" s="17" cm="1">
        <f t="array" ref="AQ108">SUMPRODUCT(1362*POWER(0.7,POWER(1/($AI$2*AK108+$AJ$2*AL108*COS(RADIANS(0.25*(_xlfn.SEQUENCE(AO108-AN108,1,AN108+1))))+0.50572*POWER(96.07995-DEGREES(ACOS($AI$2*AK108+$AJ$2*AL108*COS(RADIANS(0.25*(_xlfn.SEQUENCE(AO108-AN108,1,AN108+1)))))),-1.6364)),0.678))/60)</f>
        <v>9619.1335587539852</v>
      </c>
      <c r="AR108" s="15">
        <f t="shared" si="70"/>
        <v>1.4905621547613737</v>
      </c>
      <c r="AT108">
        <v>0.27462161181030387</v>
      </c>
      <c r="AU108">
        <v>74.060534026776921</v>
      </c>
      <c r="AV108">
        <v>3.5992988367633565</v>
      </c>
      <c r="AW108">
        <v>582.17398307792155</v>
      </c>
    </row>
    <row r="109" spans="4:49" ht="17" x14ac:dyDescent="0.2">
      <c r="D109" s="1">
        <f t="shared" si="71"/>
        <v>46130</v>
      </c>
      <c r="E109" s="6">
        <f t="shared" si="38"/>
        <v>0.5</v>
      </c>
      <c r="F109" s="2">
        <f t="shared" si="39"/>
        <v>2461149.3333333335</v>
      </c>
      <c r="G109" s="3">
        <f t="shared" si="40"/>
        <v>0.26295231576546169</v>
      </c>
      <c r="I109">
        <f t="shared" si="41"/>
        <v>26.952277102302105</v>
      </c>
      <c r="J109">
        <f t="shared" si="42"/>
        <v>9823.5627384853942</v>
      </c>
      <c r="K109">
        <f t="shared" si="43"/>
        <v>1.6697571512967458E-2</v>
      </c>
      <c r="L109">
        <f t="shared" si="44"/>
        <v>1.8506559522407848</v>
      </c>
      <c r="M109">
        <f t="shared" si="45"/>
        <v>28.802933054542891</v>
      </c>
      <c r="N109">
        <f t="shared" si="46"/>
        <v>9825.4133944376354</v>
      </c>
      <c r="O109">
        <f t="shared" si="47"/>
        <v>1.0041786588107933</v>
      </c>
      <c r="P109">
        <f t="shared" si="48"/>
        <v>28.799152558649475</v>
      </c>
      <c r="Q109">
        <f t="shared" si="49"/>
        <v>23.435871633196022</v>
      </c>
      <c r="R109">
        <f t="shared" si="50"/>
        <v>23.438218494887941</v>
      </c>
      <c r="S109">
        <f t="shared" si="51"/>
        <v>26.765301690102184</v>
      </c>
      <c r="T109" s="19">
        <f t="shared" si="52"/>
        <v>11.047175820791521</v>
      </c>
      <c r="U109">
        <f t="shared" si="53"/>
        <v>4.3030478686917582E-2</v>
      </c>
      <c r="V109">
        <f t="shared" si="54"/>
        <v>0.74020267368182391</v>
      </c>
      <c r="W109">
        <f t="shared" si="55"/>
        <v>99.732415857976576</v>
      </c>
      <c r="X109" s="6">
        <f t="shared" si="56"/>
        <v>0.50490783147660978</v>
      </c>
      <c r="Y109" s="6">
        <f t="shared" si="57"/>
        <v>0.22787334298223039</v>
      </c>
      <c r="Z109" s="6">
        <f t="shared" si="58"/>
        <v>0.78194231997098917</v>
      </c>
      <c r="AA109" s="19">
        <f t="shared" si="59"/>
        <v>797.85932686381261</v>
      </c>
      <c r="AB109">
        <f t="shared" si="60"/>
        <v>712.93272267368184</v>
      </c>
      <c r="AC109">
        <f t="shared" si="61"/>
        <v>-1.7668193315795406</v>
      </c>
      <c r="AD109">
        <f t="shared" si="36"/>
        <v>26.600168695902124</v>
      </c>
      <c r="AE109">
        <f t="shared" si="62"/>
        <v>63.399831304097873</v>
      </c>
      <c r="AF109">
        <f t="shared" si="63"/>
        <v>8.0793719752777701E-3</v>
      </c>
      <c r="AG109">
        <f t="shared" si="64"/>
        <v>63.407910676073151</v>
      </c>
      <c r="AH109">
        <f t="shared" si="37"/>
        <v>176.12488662793021</v>
      </c>
      <c r="AK109">
        <f t="shared" si="65"/>
        <v>0.19161717631804873</v>
      </c>
      <c r="AL109">
        <f t="shared" si="66"/>
        <v>0.98146974367012341</v>
      </c>
      <c r="AM109">
        <f t="shared" si="67"/>
        <v>798</v>
      </c>
      <c r="AN109">
        <f t="shared" si="68"/>
        <v>-399</v>
      </c>
      <c r="AO109">
        <f t="shared" si="69"/>
        <v>399</v>
      </c>
      <c r="AP109" s="16" cm="1">
        <f t="array" ref="AP109">SUMPRODUCT(1362*POWER(0.7,POWER(1/($AI$2*AK109+$AJ$2*AL109*COS(RADIANS(0.25*(_xlfn.SEQUENCE(AO109-AN109,1,AN109+1))))+0.50572*POWER(96.07995-DEGREES(ACOS($AI$2*AK109+$AJ$2*AL109*COS(RADIANS(0.25*(_xlfn.SEQUENCE(AO109-AN109,1,AN109+1)))))),-1.6364)),0.678))*IF(AL109*COS(RADIANS(0.25*(_xlfn.SEQUENCE(AO109-AN109,1,AN109+1))))&gt;0,AL109*COS(RADIANS(0.25*(_xlfn.SEQUENCE(AO109-AN109,1,AN109+1)))),0)/60)</f>
        <v>6455.2346935612422</v>
      </c>
      <c r="AQ109" s="17" cm="1">
        <f t="array" ref="AQ109">SUMPRODUCT(1362*POWER(0.7,POWER(1/($AI$2*AK109+$AJ$2*AL109*COS(RADIANS(0.25*(_xlfn.SEQUENCE(AO109-AN109,1,AN109+1))))+0.50572*POWER(96.07995-DEGREES(ACOS($AI$2*AK109+$AJ$2*AL109*COS(RADIANS(0.25*(_xlfn.SEQUENCE(AO109-AN109,1,AN109+1)))))),-1.6364)),0.678))/60)</f>
        <v>9654.9992683530836</v>
      </c>
      <c r="AR109" s="15">
        <f t="shared" si="70"/>
        <v>1.4956852425494984</v>
      </c>
      <c r="AT109">
        <v>0.27688243887478226</v>
      </c>
      <c r="AU109">
        <v>73.925773306736218</v>
      </c>
      <c r="AV109">
        <v>3.5706529197635648</v>
      </c>
      <c r="AW109">
        <v>584.85359133123279</v>
      </c>
    </row>
    <row r="110" spans="4:49" ht="17" x14ac:dyDescent="0.2">
      <c r="D110" s="1">
        <f t="shared" si="71"/>
        <v>46131</v>
      </c>
      <c r="E110" s="6">
        <f t="shared" si="38"/>
        <v>0.5</v>
      </c>
      <c r="F110" s="2">
        <f t="shared" si="39"/>
        <v>2461150.3333333335</v>
      </c>
      <c r="G110" s="3">
        <f t="shared" si="40"/>
        <v>0.26297969427333301</v>
      </c>
      <c r="I110">
        <f t="shared" si="41"/>
        <v>27.937924466832555</v>
      </c>
      <c r="J110">
        <f t="shared" si="42"/>
        <v>9824.5483387649056</v>
      </c>
      <c r="K110">
        <f t="shared" si="43"/>
        <v>1.6697570360232738E-2</v>
      </c>
      <c r="L110">
        <f t="shared" si="44"/>
        <v>1.842066716070708</v>
      </c>
      <c r="M110">
        <f t="shared" si="45"/>
        <v>29.779991182903263</v>
      </c>
      <c r="N110">
        <f t="shared" si="46"/>
        <v>9826.3904054809755</v>
      </c>
      <c r="O110">
        <f t="shared" si="47"/>
        <v>1.0044549332505888</v>
      </c>
      <c r="P110">
        <f t="shared" si="48"/>
        <v>29.776214736142972</v>
      </c>
      <c r="Q110">
        <f t="shared" si="49"/>
        <v>23.435871277161844</v>
      </c>
      <c r="R110">
        <f t="shared" si="50"/>
        <v>23.438217192688352</v>
      </c>
      <c r="S110">
        <f t="shared" si="51"/>
        <v>27.697025644631395</v>
      </c>
      <c r="T110" s="19">
        <f t="shared" si="52"/>
        <v>11.392734739466427</v>
      </c>
      <c r="U110">
        <f t="shared" si="53"/>
        <v>4.3030473769467094E-2</v>
      </c>
      <c r="V110">
        <f t="shared" si="54"/>
        <v>0.95511430638629224</v>
      </c>
      <c r="W110">
        <f t="shared" si="55"/>
        <v>100.01446460591461</v>
      </c>
      <c r="X110" s="6">
        <f t="shared" si="56"/>
        <v>0.50475858728723166</v>
      </c>
      <c r="Y110" s="6">
        <f t="shared" si="57"/>
        <v>0.22694063004857995</v>
      </c>
      <c r="Z110" s="6">
        <f t="shared" si="58"/>
        <v>0.78257654452588332</v>
      </c>
      <c r="AA110" s="19">
        <f t="shared" si="59"/>
        <v>800.11571684731689</v>
      </c>
      <c r="AB110">
        <f t="shared" si="60"/>
        <v>713.14763430638618</v>
      </c>
      <c r="AC110">
        <f t="shared" si="61"/>
        <v>-1.7130914234034549</v>
      </c>
      <c r="AD110">
        <f t="shared" si="36"/>
        <v>26.252266319729799</v>
      </c>
      <c r="AE110">
        <f t="shared" si="62"/>
        <v>63.747733680270201</v>
      </c>
      <c r="AF110">
        <f t="shared" si="63"/>
        <v>7.9572809107247029E-3</v>
      </c>
      <c r="AG110">
        <f t="shared" si="64"/>
        <v>63.755690961180925</v>
      </c>
      <c r="AH110">
        <f t="shared" si="37"/>
        <v>176.20116232355235</v>
      </c>
      <c r="AK110">
        <f t="shared" si="65"/>
        <v>0.19753303774174166</v>
      </c>
      <c r="AL110">
        <f t="shared" si="66"/>
        <v>0.98029623022865886</v>
      </c>
      <c r="AM110">
        <f t="shared" si="67"/>
        <v>800</v>
      </c>
      <c r="AN110">
        <f t="shared" si="68"/>
        <v>-400</v>
      </c>
      <c r="AO110">
        <f t="shared" si="69"/>
        <v>400</v>
      </c>
      <c r="AP110" s="16" cm="1">
        <f t="array" ref="AP110">SUMPRODUCT(1362*POWER(0.7,POWER(1/($AI$2*AK110+$AJ$2*AL110*COS(RADIANS(0.25*(_xlfn.SEQUENCE(AO110-AN110,1,AN110+1))))+0.50572*POWER(96.07995-DEGREES(ACOS($AI$2*AK110+$AJ$2*AL110*COS(RADIANS(0.25*(_xlfn.SEQUENCE(AO110-AN110,1,AN110+1)))))),-1.6364)),0.678))*IF(AL110*COS(RADIANS(0.25*(_xlfn.SEQUENCE(AO110-AN110,1,AN110+1))))&gt;0,AL110*COS(RADIANS(0.25*(_xlfn.SEQUENCE(AO110-AN110,1,AN110+1)))),0)/60)</f>
        <v>6456.6954235144522</v>
      </c>
      <c r="AQ110" s="17" cm="1">
        <f t="array" ref="AQ110">SUMPRODUCT(1362*POWER(0.7,POWER(1/($AI$2*AK110+$AJ$2*AL110*COS(RADIANS(0.25*(_xlfn.SEQUENCE(AO110-AN110,1,AN110+1))))+0.50572*POWER(96.07995-DEGREES(ACOS($AI$2*AK110+$AJ$2*AL110*COS(RADIANS(0.25*(_xlfn.SEQUENCE(AO110-AN110,1,AN110+1)))))),-1.6364)),0.678))/60)</f>
        <v>9690.4994711066283</v>
      </c>
      <c r="AR110" s="15">
        <f t="shared" si="70"/>
        <v>1.5008450663190769</v>
      </c>
      <c r="AT110">
        <v>0.27913346544228901</v>
      </c>
      <c r="AU110">
        <v>73.791505964500203</v>
      </c>
      <c r="AV110">
        <v>3.5425745663281609</v>
      </c>
      <c r="AW110">
        <v>587.49884943263498</v>
      </c>
    </row>
    <row r="111" spans="4:49" ht="17" x14ac:dyDescent="0.2">
      <c r="D111" s="1">
        <f t="shared" si="71"/>
        <v>46132</v>
      </c>
      <c r="E111" s="6">
        <f t="shared" si="38"/>
        <v>0.5</v>
      </c>
      <c r="F111" s="2">
        <f t="shared" si="39"/>
        <v>2461151.3333333335</v>
      </c>
      <c r="G111" s="3">
        <f t="shared" si="40"/>
        <v>0.26300707278120433</v>
      </c>
      <c r="I111">
        <f t="shared" si="41"/>
        <v>28.923571831363006</v>
      </c>
      <c r="J111">
        <f t="shared" si="42"/>
        <v>9825.5339390444169</v>
      </c>
      <c r="K111">
        <f t="shared" si="43"/>
        <v>1.669756920749783E-2</v>
      </c>
      <c r="L111">
        <f t="shared" si="44"/>
        <v>1.8329415259087647</v>
      </c>
      <c r="M111">
        <f t="shared" si="45"/>
        <v>30.756513357271771</v>
      </c>
      <c r="N111">
        <f t="shared" si="46"/>
        <v>9827.3668805703255</v>
      </c>
      <c r="O111">
        <f t="shared" si="47"/>
        <v>1.0047298257997956</v>
      </c>
      <c r="P111">
        <f t="shared" si="48"/>
        <v>30.75274095801009</v>
      </c>
      <c r="Q111">
        <f t="shared" si="49"/>
        <v>23.435870921127666</v>
      </c>
      <c r="R111">
        <f t="shared" si="50"/>
        <v>23.43821588848493</v>
      </c>
      <c r="S111">
        <f t="shared" si="51"/>
        <v>28.630494322359411</v>
      </c>
      <c r="T111" s="19">
        <f t="shared" si="52"/>
        <v>11.735165521819189</v>
      </c>
      <c r="U111">
        <f t="shared" si="53"/>
        <v>4.3030468844449894E-2</v>
      </c>
      <c r="V111">
        <f t="shared" si="54"/>
        <v>1.1630747671835129</v>
      </c>
      <c r="W111">
        <f t="shared" si="55"/>
        <v>100.294919260285</v>
      </c>
      <c r="X111" s="6">
        <f t="shared" si="56"/>
        <v>0.50461417030056688</v>
      </c>
      <c r="Y111" s="6">
        <f t="shared" si="57"/>
        <v>0.22601717235533078</v>
      </c>
      <c r="Z111" s="6">
        <f t="shared" si="58"/>
        <v>0.78321116824580295</v>
      </c>
      <c r="AA111" s="19">
        <f t="shared" si="59"/>
        <v>802.35935408227999</v>
      </c>
      <c r="AB111">
        <f t="shared" si="60"/>
        <v>713.35559476718345</v>
      </c>
      <c r="AC111">
        <f t="shared" si="61"/>
        <v>-1.6611013082041381</v>
      </c>
      <c r="AD111">
        <f t="shared" si="36"/>
        <v>25.907615396902436</v>
      </c>
      <c r="AE111">
        <f t="shared" si="62"/>
        <v>64.092384603097571</v>
      </c>
      <c r="AF111">
        <f t="shared" si="63"/>
        <v>7.8370466094627046E-3</v>
      </c>
      <c r="AG111">
        <f t="shared" si="64"/>
        <v>64.100221649707038</v>
      </c>
      <c r="AH111">
        <f t="shared" si="37"/>
        <v>176.27553283582677</v>
      </c>
      <c r="AK111">
        <f t="shared" si="65"/>
        <v>0.20338825917733874</v>
      </c>
      <c r="AL111">
        <f t="shared" si="66"/>
        <v>0.97909816465399002</v>
      </c>
      <c r="AM111">
        <f t="shared" si="67"/>
        <v>802</v>
      </c>
      <c r="AN111">
        <f t="shared" si="68"/>
        <v>-401</v>
      </c>
      <c r="AO111">
        <f t="shared" si="69"/>
        <v>401</v>
      </c>
      <c r="AP111" s="16" cm="1">
        <f t="array" ref="AP111">SUMPRODUCT(1362*POWER(0.7,POWER(1/($AI$2*AK111+$AJ$2*AL111*COS(RADIANS(0.25*(_xlfn.SEQUENCE(AO111-AN111,1,AN111+1))))+0.50572*POWER(96.07995-DEGREES(ACOS($AI$2*AK111+$AJ$2*AL111*COS(RADIANS(0.25*(_xlfn.SEQUENCE(AO111-AN111,1,AN111+1)))))),-1.6364)),0.678))*IF(AL111*COS(RADIANS(0.25*(_xlfn.SEQUENCE(AO111-AN111,1,AN111+1))))&gt;0,AL111*COS(RADIANS(0.25*(_xlfn.SEQUENCE(AO111-AN111,1,AN111+1)))),0)/60)</f>
        <v>6457.7535848771377</v>
      </c>
      <c r="AQ111" s="17" cm="1">
        <f t="array" ref="AQ111">SUMPRODUCT(1362*POWER(0.7,POWER(1/($AI$2*AK111+$AJ$2*AL111*COS(RADIANS(0.25*(_xlfn.SEQUENCE(AO111-AN111,1,AN111+1))))+0.50572*POWER(96.07995-DEGREES(ACOS($AI$2*AK111+$AJ$2*AL111*COS(RADIANS(0.25*(_xlfn.SEQUENCE(AO111-AN111,1,AN111+1)))))),-1.6364)),0.678))/60)</f>
        <v>9725.6287594413916</v>
      </c>
      <c r="AR111" s="15">
        <f t="shared" si="70"/>
        <v>1.5060390012739124</v>
      </c>
      <c r="AT111">
        <v>0.28137464865652295</v>
      </c>
      <c r="AU111">
        <v>73.657734825716645</v>
      </c>
      <c r="AV111">
        <v>3.5150484979880532</v>
      </c>
      <c r="AW111">
        <v>590.11029540094069</v>
      </c>
    </row>
    <row r="112" spans="4:49" ht="17" x14ac:dyDescent="0.2">
      <c r="D112" s="1">
        <f t="shared" si="71"/>
        <v>46133</v>
      </c>
      <c r="E112" s="6">
        <f t="shared" si="38"/>
        <v>0.5</v>
      </c>
      <c r="F112" s="2">
        <f t="shared" si="39"/>
        <v>2461152.3333333335</v>
      </c>
      <c r="G112" s="3">
        <f t="shared" si="40"/>
        <v>0.26303445128907565</v>
      </c>
      <c r="I112">
        <f t="shared" si="41"/>
        <v>29.909219195895275</v>
      </c>
      <c r="J112">
        <f t="shared" si="42"/>
        <v>9826.5195393239283</v>
      </c>
      <c r="K112">
        <f t="shared" si="43"/>
        <v>1.6697568054762732E-2</v>
      </c>
      <c r="L112">
        <f t="shared" si="44"/>
        <v>1.8232835845360091</v>
      </c>
      <c r="M112">
        <f t="shared" si="45"/>
        <v>31.732502780431286</v>
      </c>
      <c r="N112">
        <f t="shared" si="46"/>
        <v>9828.3428229084639</v>
      </c>
      <c r="O112">
        <f t="shared" si="47"/>
        <v>1.0050032573947438</v>
      </c>
      <c r="P112">
        <f t="shared" si="48"/>
        <v>31.728734427030243</v>
      </c>
      <c r="Q112">
        <f t="shared" si="49"/>
        <v>23.435870565093488</v>
      </c>
      <c r="R112">
        <f t="shared" si="50"/>
        <v>23.438214582278494</v>
      </c>
      <c r="S112">
        <f t="shared" si="51"/>
        <v>29.565762176448334</v>
      </c>
      <c r="T112" s="19">
        <f t="shared" si="52"/>
        <v>12.07437599788194</v>
      </c>
      <c r="U112">
        <f t="shared" si="53"/>
        <v>4.3030463911869099E-2</v>
      </c>
      <c r="V112">
        <f t="shared" si="54"/>
        <v>1.3638679352057983</v>
      </c>
      <c r="W112">
        <f t="shared" si="55"/>
        <v>100.57370929915014</v>
      </c>
      <c r="X112" s="6">
        <f t="shared" si="56"/>
        <v>0.50447473060055159</v>
      </c>
      <c r="Y112" s="6">
        <f t="shared" si="57"/>
        <v>0.22510331588069007</v>
      </c>
      <c r="Z112" s="6">
        <f t="shared" si="58"/>
        <v>0.78384614532041308</v>
      </c>
      <c r="AA112" s="19">
        <f t="shared" si="59"/>
        <v>804.58967439320111</v>
      </c>
      <c r="AB112">
        <f t="shared" si="60"/>
        <v>713.55638793520575</v>
      </c>
      <c r="AC112">
        <f t="shared" si="61"/>
        <v>-1.6109030161985629</v>
      </c>
      <c r="AD112">
        <f t="shared" si="36"/>
        <v>25.566306879628044</v>
      </c>
      <c r="AE112">
        <f t="shared" si="62"/>
        <v>64.433693120371956</v>
      </c>
      <c r="AF112">
        <f t="shared" si="63"/>
        <v>7.7186657235832909E-3</v>
      </c>
      <c r="AG112">
        <f t="shared" si="64"/>
        <v>64.441411786095543</v>
      </c>
      <c r="AH112">
        <f t="shared" si="37"/>
        <v>176.3478046789154</v>
      </c>
      <c r="AK112">
        <f t="shared" si="65"/>
        <v>0.20918125460319417</v>
      </c>
      <c r="AL112">
        <f t="shared" si="66"/>
        <v>0.97787688525838146</v>
      </c>
      <c r="AM112">
        <f t="shared" si="67"/>
        <v>805</v>
      </c>
      <c r="AN112">
        <f t="shared" si="68"/>
        <v>-402.5</v>
      </c>
      <c r="AO112">
        <f t="shared" si="69"/>
        <v>402.5</v>
      </c>
      <c r="AP112" s="16" cm="1">
        <f t="array" ref="AP112">SUMPRODUCT(1362*POWER(0.7,POWER(1/($AI$2*AK112+$AJ$2*AL112*COS(RADIANS(0.25*(_xlfn.SEQUENCE(AO112-AN112,1,AN112+1))))+0.50572*POWER(96.07995-DEGREES(ACOS($AI$2*AK112+$AJ$2*AL112*COS(RADIANS(0.25*(_xlfn.SEQUENCE(AO112-AN112,1,AN112+1)))))),-1.6364)),0.678))*IF(AL112*COS(RADIANS(0.25*(_xlfn.SEQUENCE(AO112-AN112,1,AN112+1))))&gt;0,AL112*COS(RADIANS(0.25*(_xlfn.SEQUENCE(AO112-AN112,1,AN112+1)))),0)/60)</f>
        <v>6458.4272679848718</v>
      </c>
      <c r="AQ112" s="17" cm="1">
        <f t="array" ref="AQ112">SUMPRODUCT(1362*POWER(0.7,POWER(1/($AI$2*AK112+$AJ$2*AL112*COS(RADIANS(0.25*(_xlfn.SEQUENCE(AO112-AN112,1,AN112+1))))+0.50572*POWER(96.07995-DEGREES(ACOS($AI$2*AK112+$AJ$2*AL112*COS(RADIANS(0.25*(_xlfn.SEQUENCE(AO112-AN112,1,AN112+1)))))),-1.6364)),0.678))/60)</f>
        <v>9760.5047624072122</v>
      </c>
      <c r="AR112" s="15">
        <f t="shared" si="70"/>
        <v>1.5112819820378096</v>
      </c>
      <c r="AT112">
        <v>0.28360594584858634</v>
      </c>
      <c r="AU112">
        <v>73.524462725589416</v>
      </c>
      <c r="AV112">
        <v>3.4880599838961976</v>
      </c>
      <c r="AW112">
        <v>592.68845563109255</v>
      </c>
    </row>
    <row r="113" spans="4:49" ht="17" x14ac:dyDescent="0.2">
      <c r="D113" s="1">
        <f t="shared" si="71"/>
        <v>46134</v>
      </c>
      <c r="E113" s="6">
        <f t="shared" si="38"/>
        <v>0.5</v>
      </c>
      <c r="F113" s="2">
        <f t="shared" si="39"/>
        <v>2461153.3333333335</v>
      </c>
      <c r="G113" s="3">
        <f t="shared" si="40"/>
        <v>0.26306182979694698</v>
      </c>
      <c r="I113">
        <f t="shared" si="41"/>
        <v>30.894866560425726</v>
      </c>
      <c r="J113">
        <f t="shared" si="42"/>
        <v>9827.5051396034396</v>
      </c>
      <c r="K113">
        <f t="shared" si="43"/>
        <v>1.6697566902027443E-2</v>
      </c>
      <c r="L113">
        <f t="shared" si="44"/>
        <v>1.8130962402987862</v>
      </c>
      <c r="M113">
        <f t="shared" si="45"/>
        <v>32.707962800724509</v>
      </c>
      <c r="N113">
        <f t="shared" si="46"/>
        <v>9829.3182358437389</v>
      </c>
      <c r="O113">
        <f t="shared" si="47"/>
        <v>1.0052751495212238</v>
      </c>
      <c r="P113">
        <f t="shared" si="48"/>
        <v>32.704198491542677</v>
      </c>
      <c r="Q113">
        <f t="shared" si="49"/>
        <v>23.43587020905931</v>
      </c>
      <c r="R113">
        <f t="shared" si="50"/>
        <v>23.438213274069849</v>
      </c>
      <c r="S113">
        <f t="shared" si="51"/>
        <v>30.502881691463163</v>
      </c>
      <c r="T113" s="19">
        <f t="shared" si="52"/>
        <v>12.410274285804503</v>
      </c>
      <c r="U113">
        <f t="shared" si="53"/>
        <v>4.3030458971727754E-2</v>
      </c>
      <c r="V113">
        <f t="shared" si="54"/>
        <v>1.5572852048648047</v>
      </c>
      <c r="W113">
        <f t="shared" si="55"/>
        <v>100.85076231446482</v>
      </c>
      <c r="X113" s="6">
        <f t="shared" si="56"/>
        <v>0.50434041305217714</v>
      </c>
      <c r="Y113" s="6">
        <f t="shared" si="57"/>
        <v>0.22419940662310817</v>
      </c>
      <c r="Z113" s="6">
        <f t="shared" si="58"/>
        <v>0.78448141948124606</v>
      </c>
      <c r="AA113" s="19">
        <f t="shared" si="59"/>
        <v>806.80609851571853</v>
      </c>
      <c r="AB113">
        <f t="shared" si="60"/>
        <v>713.74980520486474</v>
      </c>
      <c r="AC113">
        <f t="shared" si="61"/>
        <v>-1.5625486987838144</v>
      </c>
      <c r="AD113">
        <f t="shared" si="36"/>
        <v>25.228431202885485</v>
      </c>
      <c r="AE113">
        <f t="shared" si="62"/>
        <v>64.771568797114512</v>
      </c>
      <c r="AF113">
        <f t="shared" si="63"/>
        <v>7.6021353051290083E-3</v>
      </c>
      <c r="AG113">
        <f t="shared" si="64"/>
        <v>64.779170932419646</v>
      </c>
      <c r="AH113">
        <f t="shared" si="37"/>
        <v>176.41778026808129</v>
      </c>
      <c r="AK113">
        <f t="shared" si="65"/>
        <v>0.21491046069947597</v>
      </c>
      <c r="AL113">
        <f t="shared" si="66"/>
        <v>0.97663375626789539</v>
      </c>
      <c r="AM113">
        <f t="shared" si="67"/>
        <v>807</v>
      </c>
      <c r="AN113">
        <f t="shared" si="68"/>
        <v>-403.5</v>
      </c>
      <c r="AO113">
        <f t="shared" si="69"/>
        <v>403.5</v>
      </c>
      <c r="AP113" s="16" cm="1">
        <f t="array" ref="AP113">SUMPRODUCT(1362*POWER(0.7,POWER(1/($AI$2*AK113+$AJ$2*AL113*COS(RADIANS(0.25*(_xlfn.SEQUENCE(AO113-AN113,1,AN113+1))))+0.50572*POWER(96.07995-DEGREES(ACOS($AI$2*AK113+$AJ$2*AL113*COS(RADIANS(0.25*(_xlfn.SEQUENCE(AO113-AN113,1,AN113+1)))))),-1.6364)),0.678))*IF(AL113*COS(RADIANS(0.25*(_xlfn.SEQUENCE(AO113-AN113,1,AN113+1))))&gt;0,AL113*COS(RADIANS(0.25*(_xlfn.SEQUENCE(AO113-AN113,1,AN113+1)))),0)/60)</f>
        <v>6458.7167692071025</v>
      </c>
      <c r="AQ113" s="17" cm="1">
        <f t="array" ref="AQ113">SUMPRODUCT(1362*POWER(0.7,POWER(1/($AI$2*AK113+$AJ$2*AL113*COS(RADIANS(0.25*(_xlfn.SEQUENCE(AO113-AN113,1,AN113+1))))+0.50572*POWER(96.07995-DEGREES(ACOS($AI$2*AK113+$AJ$2*AL113*COS(RADIANS(0.25*(_xlfn.SEQUENCE(AO113-AN113,1,AN113+1)))))),-1.6364)),0.678))/60)</f>
        <v>9794.8791677495155</v>
      </c>
      <c r="AR113" s="15">
        <f t="shared" si="70"/>
        <v>1.5165364139279285</v>
      </c>
      <c r="AT113">
        <v>0.28582731453779697</v>
      </c>
      <c r="AU113">
        <v>73.391692508779229</v>
      </c>
      <c r="AV113">
        <v>3.4615948168165458</v>
      </c>
      <c r="AW113">
        <v>595.23384517111617</v>
      </c>
    </row>
    <row r="114" spans="4:49" ht="17" x14ac:dyDescent="0.2">
      <c r="D114" s="1">
        <f t="shared" si="71"/>
        <v>46135</v>
      </c>
      <c r="E114" s="6">
        <f t="shared" si="38"/>
        <v>0.5</v>
      </c>
      <c r="F114" s="2">
        <f t="shared" si="39"/>
        <v>2461154.3333333335</v>
      </c>
      <c r="G114" s="3">
        <f t="shared" si="40"/>
        <v>0.2630892083048183</v>
      </c>
      <c r="I114">
        <f t="shared" si="41"/>
        <v>31.880513924956176</v>
      </c>
      <c r="J114">
        <f t="shared" si="42"/>
        <v>9828.4907398829509</v>
      </c>
      <c r="K114">
        <f t="shared" si="43"/>
        <v>1.6697565749291966E-2</v>
      </c>
      <c r="L114">
        <f t="shared" si="44"/>
        <v>1.8023829855762787</v>
      </c>
      <c r="M114">
        <f t="shared" si="45"/>
        <v>33.682896910532456</v>
      </c>
      <c r="N114">
        <f t="shared" si="46"/>
        <v>9830.2931228685266</v>
      </c>
      <c r="O114">
        <f t="shared" si="47"/>
        <v>1.0055454242346955</v>
      </c>
      <c r="P114">
        <f t="shared" si="48"/>
        <v>33.679136643924949</v>
      </c>
      <c r="Q114">
        <f t="shared" si="49"/>
        <v>23.435869853025132</v>
      </c>
      <c r="R114">
        <f t="shared" si="50"/>
        <v>23.438211963859807</v>
      </c>
      <c r="S114">
        <f t="shared" si="51"/>
        <v>31.441903315542554</v>
      </c>
      <c r="T114" s="19">
        <f t="shared" si="52"/>
        <v>12.742768806236079</v>
      </c>
      <c r="U114">
        <f t="shared" si="53"/>
        <v>4.3030454024028907E-2</v>
      </c>
      <c r="V114">
        <f t="shared" si="54"/>
        <v>1.7431257734860075</v>
      </c>
      <c r="W114">
        <f t="shared" si="55"/>
        <v>101.12600398580221</v>
      </c>
      <c r="X114" s="6">
        <f t="shared" si="56"/>
        <v>0.50421135710174569</v>
      </c>
      <c r="Y114" s="6">
        <f t="shared" si="57"/>
        <v>0.22330579047451735</v>
      </c>
      <c r="Z114" s="6">
        <f t="shared" si="58"/>
        <v>0.78511692372897401</v>
      </c>
      <c r="AA114" s="19">
        <f t="shared" si="59"/>
        <v>809.00803188641771</v>
      </c>
      <c r="AB114">
        <f t="shared" si="60"/>
        <v>713.93564577348593</v>
      </c>
      <c r="AC114">
        <f t="shared" si="61"/>
        <v>-1.5160885566285174</v>
      </c>
      <c r="AD114">
        <f t="shared" si="36"/>
        <v>24.894078297095952</v>
      </c>
      <c r="AE114">
        <f t="shared" si="62"/>
        <v>65.105921702904055</v>
      </c>
      <c r="AF114">
        <f t="shared" si="63"/>
        <v>7.487452817082213E-3</v>
      </c>
      <c r="AG114">
        <f t="shared" si="64"/>
        <v>65.113409155721143</v>
      </c>
      <c r="AH114">
        <f t="shared" si="37"/>
        <v>176.4852580681204</v>
      </c>
      <c r="AK114">
        <f t="shared" si="65"/>
        <v>0.2205743371239749</v>
      </c>
      <c r="AL114">
        <f t="shared" si="66"/>
        <v>0.97537016655335484</v>
      </c>
      <c r="AM114">
        <f t="shared" si="67"/>
        <v>809</v>
      </c>
      <c r="AN114">
        <f t="shared" si="68"/>
        <v>-404.5</v>
      </c>
      <c r="AO114">
        <f t="shared" si="69"/>
        <v>404.5</v>
      </c>
      <c r="AP114" s="16" cm="1">
        <f t="array" ref="AP114">SUMPRODUCT(1362*POWER(0.7,POWER(1/($AI$2*AK114+$AJ$2*AL114*COS(RADIANS(0.25*(_xlfn.SEQUENCE(AO114-AN114,1,AN114+1))))+0.50572*POWER(96.07995-DEGREES(ACOS($AI$2*AK114+$AJ$2*AL114*COS(RADIANS(0.25*(_xlfn.SEQUENCE(AO114-AN114,1,AN114+1)))))),-1.6364)),0.678))*IF(AL114*COS(RADIANS(0.25*(_xlfn.SEQUENCE(AO114-AN114,1,AN114+1))))&gt;0,AL114*COS(RADIANS(0.25*(_xlfn.SEQUENCE(AO114-AN114,1,AN114+1)))),0)/60)</f>
        <v>6458.6404610239106</v>
      </c>
      <c r="AQ114" s="17" cm="1">
        <f t="array" ref="AQ114">SUMPRODUCT(1362*POWER(0.7,POWER(1/($AI$2*AK114+$AJ$2*AL114*COS(RADIANS(0.25*(_xlfn.SEQUENCE(AO114-AN114,1,AN114+1))))+0.50572*POWER(96.07995-DEGREES(ACOS($AI$2*AK114+$AJ$2*AL114*COS(RADIANS(0.25*(_xlfn.SEQUENCE(AO114-AN114,1,AN114+1)))))),-1.6364)),0.678))/60)</f>
        <v>9828.8660257852116</v>
      </c>
      <c r="AR114" s="15">
        <f t="shared" si="70"/>
        <v>1.5218165626496272</v>
      </c>
      <c r="AT114">
        <v>0.28803871243249712</v>
      </c>
      <c r="AU114">
        <v>73.259427029301008</v>
      </c>
      <c r="AV114">
        <v>3.4356392903570678</v>
      </c>
      <c r="AW114">
        <v>597.74696799297328</v>
      </c>
    </row>
    <row r="115" spans="4:49" ht="17" x14ac:dyDescent="0.2">
      <c r="D115" s="1">
        <f t="shared" si="71"/>
        <v>46136</v>
      </c>
      <c r="E115" s="6">
        <f t="shared" si="38"/>
        <v>0.5</v>
      </c>
      <c r="F115" s="2">
        <f t="shared" si="39"/>
        <v>2461155.3333333335</v>
      </c>
      <c r="G115" s="3">
        <f t="shared" si="40"/>
        <v>0.26311658681268962</v>
      </c>
      <c r="I115">
        <f t="shared" si="41"/>
        <v>32.866161289488446</v>
      </c>
      <c r="J115">
        <f t="shared" si="42"/>
        <v>9829.4763401624623</v>
      </c>
      <c r="K115">
        <f t="shared" si="43"/>
        <v>1.6697564596556299E-2</v>
      </c>
      <c r="L115">
        <f t="shared" si="44"/>
        <v>1.7911474552221249</v>
      </c>
      <c r="M115">
        <f t="shared" si="45"/>
        <v>34.657308744710569</v>
      </c>
      <c r="N115">
        <f t="shared" si="46"/>
        <v>9831.2674876176843</v>
      </c>
      <c r="O115">
        <f t="shared" si="47"/>
        <v>1.0058140041802173</v>
      </c>
      <c r="P115">
        <f t="shared" si="48"/>
        <v>34.653552519029056</v>
      </c>
      <c r="Q115">
        <f t="shared" si="49"/>
        <v>23.435869496990954</v>
      </c>
      <c r="R115">
        <f t="shared" si="50"/>
        <v>23.438210651649189</v>
      </c>
      <c r="S115">
        <f t="shared" si="51"/>
        <v>32.382875392274727</v>
      </c>
      <c r="T115" s="19">
        <f t="shared" si="52"/>
        <v>13.071768298395464</v>
      </c>
      <c r="U115">
        <f t="shared" si="53"/>
        <v>4.303044906877565E-2</v>
      </c>
      <c r="V115">
        <f t="shared" si="54"/>
        <v>1.921196933001613</v>
      </c>
      <c r="W115">
        <f t="shared" si="55"/>
        <v>101.39935805864489</v>
      </c>
      <c r="X115" s="6">
        <f t="shared" si="56"/>
        <v>0.50408769657430441</v>
      </c>
      <c r="Y115" s="6">
        <f t="shared" si="57"/>
        <v>0.22242281307806858</v>
      </c>
      <c r="Z115" s="6">
        <f t="shared" si="58"/>
        <v>0.78575258007054016</v>
      </c>
      <c r="AA115" s="19">
        <f t="shared" si="59"/>
        <v>811.19486446915914</v>
      </c>
      <c r="AB115">
        <f t="shared" si="60"/>
        <v>714.11371693300157</v>
      </c>
      <c r="AC115">
        <f t="shared" si="61"/>
        <v>-1.4715707667496076</v>
      </c>
      <c r="AD115">
        <f t="shared" si="36"/>
        <v>24.563337600983481</v>
      </c>
      <c r="AE115">
        <f t="shared" si="62"/>
        <v>65.436662399016512</v>
      </c>
      <c r="AF115">
        <f t="shared" si="63"/>
        <v>7.3746161433764302E-3</v>
      </c>
      <c r="AG115">
        <f t="shared" si="64"/>
        <v>65.444037015159893</v>
      </c>
      <c r="AH115">
        <f t="shared" si="37"/>
        <v>176.55003277264825</v>
      </c>
      <c r="AK115">
        <f t="shared" si="65"/>
        <v>0.22617136677722127</v>
      </c>
      <c r="AL115">
        <f t="shared" si="66"/>
        <v>0.97408752833106516</v>
      </c>
      <c r="AM115">
        <f t="shared" si="67"/>
        <v>811</v>
      </c>
      <c r="AN115">
        <f t="shared" si="68"/>
        <v>-405.5</v>
      </c>
      <c r="AO115">
        <f t="shared" si="69"/>
        <v>405.5</v>
      </c>
      <c r="AP115" s="16" cm="1">
        <f t="array" ref="AP115">SUMPRODUCT(1362*POWER(0.7,POWER(1/($AI$2*AK115+$AJ$2*AL115*COS(RADIANS(0.25*(_xlfn.SEQUENCE(AO115-AN115,1,AN115+1))))+0.50572*POWER(96.07995-DEGREES(ACOS($AI$2*AK115+$AJ$2*AL115*COS(RADIANS(0.25*(_xlfn.SEQUENCE(AO115-AN115,1,AN115+1)))))),-1.6364)),0.678))*IF(AL115*COS(RADIANS(0.25*(_xlfn.SEQUENCE(AO115-AN115,1,AN115+1))))&gt;0,AL115*COS(RADIANS(0.25*(_xlfn.SEQUENCE(AO115-AN115,1,AN115+1)))),0)/60)</f>
        <v>6458.2109945597322</v>
      </c>
      <c r="AQ115" s="17" cm="1">
        <f t="array" ref="AQ115">SUMPRODUCT(1362*POWER(0.7,POWER(1/($AI$2*AK115+$AJ$2*AL115*COS(RADIANS(0.25*(_xlfn.SEQUENCE(AO115-AN115,1,AN115+1))))+0.50572*POWER(96.07995-DEGREES(ACOS($AI$2*AK115+$AJ$2*AL115*COS(RADIANS(0.25*(_xlfn.SEQUENCE(AO115-AN115,1,AN115+1)))))),-1.6364)),0.678))/60)</f>
        <v>9862.4597108094949</v>
      </c>
      <c r="AR115" s="15">
        <f t="shared" si="70"/>
        <v>1.5271194637520258</v>
      </c>
      <c r="AT115">
        <v>0.29024009743085843</v>
      </c>
      <c r="AU115">
        <v>73.127669150418228</v>
      </c>
      <c r="AV115">
        <v>3.4101801773728662</v>
      </c>
      <c r="AW115">
        <v>600.22831725733226</v>
      </c>
    </row>
    <row r="116" spans="4:49" ht="17" x14ac:dyDescent="0.2">
      <c r="D116" s="1">
        <f t="shared" si="71"/>
        <v>46137</v>
      </c>
      <c r="E116" s="6">
        <f t="shared" si="38"/>
        <v>0.5</v>
      </c>
      <c r="F116" s="2">
        <f t="shared" si="39"/>
        <v>2461156.3333333335</v>
      </c>
      <c r="G116" s="3">
        <f t="shared" si="40"/>
        <v>0.26314396532056095</v>
      </c>
      <c r="I116">
        <f t="shared" si="41"/>
        <v>33.851808654022534</v>
      </c>
      <c r="J116">
        <f t="shared" si="42"/>
        <v>9830.46194044197</v>
      </c>
      <c r="K116">
        <f t="shared" si="43"/>
        <v>1.6697563443820441E-2</v>
      </c>
      <c r="L116">
        <f t="shared" si="44"/>
        <v>1.7793934249811079</v>
      </c>
      <c r="M116">
        <f t="shared" si="45"/>
        <v>35.631202079003643</v>
      </c>
      <c r="N116">
        <f t="shared" si="46"/>
        <v>9832.2413338669503</v>
      </c>
      <c r="O116">
        <f t="shared" si="47"/>
        <v>1.0060808126120699</v>
      </c>
      <c r="P116">
        <f t="shared" si="48"/>
        <v>35.627449892596331</v>
      </c>
      <c r="Q116">
        <f t="shared" si="49"/>
        <v>23.435869140956779</v>
      </c>
      <c r="R116">
        <f t="shared" si="50"/>
        <v>23.438209337438813</v>
      </c>
      <c r="S116">
        <f t="shared" si="51"/>
        <v>33.325844092407053</v>
      </c>
      <c r="T116" s="19">
        <f t="shared" si="52"/>
        <v>13.397181837873099</v>
      </c>
      <c r="U116">
        <f t="shared" si="53"/>
        <v>4.3030444105971094E-2</v>
      </c>
      <c r="V116">
        <f t="shared" si="54"/>
        <v>2.0913143649285661</v>
      </c>
      <c r="W116">
        <f t="shared" si="55"/>
        <v>101.67074632752634</v>
      </c>
      <c r="X116" s="6">
        <f t="shared" si="56"/>
        <v>0.50396955946879951</v>
      </c>
      <c r="Y116" s="6">
        <f t="shared" si="57"/>
        <v>0.22155081967011522</v>
      </c>
      <c r="Z116" s="6">
        <f t="shared" si="58"/>
        <v>0.78638829926748377</v>
      </c>
      <c r="AA116" s="19">
        <f t="shared" si="59"/>
        <v>813.36597062021076</v>
      </c>
      <c r="AB116">
        <f t="shared" si="60"/>
        <v>714.28383436492868</v>
      </c>
      <c r="AC116">
        <f t="shared" si="61"/>
        <v>-1.42904140876783</v>
      </c>
      <c r="AD116">
        <f t="shared" si="36"/>
        <v>24.236298074511158</v>
      </c>
      <c r="AE116">
        <f t="shared" si="62"/>
        <v>65.763701925488846</v>
      </c>
      <c r="AF116">
        <f t="shared" si="63"/>
        <v>7.2636235979505305E-3</v>
      </c>
      <c r="AG116">
        <f t="shared" si="64"/>
        <v>65.770965549086796</v>
      </c>
      <c r="AH116">
        <f t="shared" si="37"/>
        <v>176.61189551685061</v>
      </c>
      <c r="AK116">
        <f t="shared" si="65"/>
        <v>0.23170005605719146</v>
      </c>
      <c r="AL116">
        <f t="shared" si="66"/>
        <v>0.97278727583325963</v>
      </c>
      <c r="AM116">
        <f t="shared" si="67"/>
        <v>813</v>
      </c>
      <c r="AN116">
        <f t="shared" si="68"/>
        <v>-406.5</v>
      </c>
      <c r="AO116">
        <f t="shared" si="69"/>
        <v>406.5</v>
      </c>
      <c r="AP116" s="16" cm="1">
        <f t="array" ref="AP116">SUMPRODUCT(1362*POWER(0.7,POWER(1/($AI$2*AK116+$AJ$2*AL116*COS(RADIANS(0.25*(_xlfn.SEQUENCE(AO116-AN116,1,AN116+1))))+0.50572*POWER(96.07995-DEGREES(ACOS($AI$2*AK116+$AJ$2*AL116*COS(RADIANS(0.25*(_xlfn.SEQUENCE(AO116-AN116,1,AN116+1)))))),-1.6364)),0.678))*IF(AL116*COS(RADIANS(0.25*(_xlfn.SEQUENCE(AO116-AN116,1,AN116+1))))&gt;0,AL116*COS(RADIANS(0.25*(_xlfn.SEQUENCE(AO116-AN116,1,AN116+1)))),0)/60)</f>
        <v>6457.4411983156187</v>
      </c>
      <c r="AQ116" s="17" cm="1">
        <f t="array" ref="AQ116">SUMPRODUCT(1362*POWER(0.7,POWER(1/($AI$2*AK116+$AJ$2*AL116*COS(RADIANS(0.25*(_xlfn.SEQUENCE(AO116-AN116,1,AN116+1))))+0.50572*POWER(96.07995-DEGREES(ACOS($AI$2*AK116+$AJ$2*AL116*COS(RADIANS(0.25*(_xlfn.SEQUENCE(AO116-AN116,1,AN116+1)))))),-1.6364)),0.678))/60)</f>
        <v>9895.6545365896764</v>
      </c>
      <c r="AR116" s="15">
        <f t="shared" si="70"/>
        <v>1.5324420668624739</v>
      </c>
      <c r="AT116">
        <v>0.29243142762168384</v>
      </c>
      <c r="AU116">
        <v>72.996421744533791</v>
      </c>
      <c r="AV116">
        <v>3.3852047094702922</v>
      </c>
      <c r="AW116">
        <v>602.67837557228393</v>
      </c>
    </row>
    <row r="117" spans="4:49" ht="17" x14ac:dyDescent="0.2">
      <c r="D117" s="1">
        <f t="shared" si="71"/>
        <v>46138</v>
      </c>
      <c r="E117" s="6">
        <f t="shared" si="38"/>
        <v>0.5</v>
      </c>
      <c r="F117" s="2">
        <f t="shared" si="39"/>
        <v>2461157.3333333335</v>
      </c>
      <c r="G117" s="3">
        <f t="shared" si="40"/>
        <v>0.26317134382843227</v>
      </c>
      <c r="I117">
        <f t="shared" si="41"/>
        <v>34.837456018556622</v>
      </c>
      <c r="J117">
        <f t="shared" si="42"/>
        <v>9831.4475407214813</v>
      </c>
      <c r="K117">
        <f t="shared" si="43"/>
        <v>1.6697562291084392E-2</v>
      </c>
      <c r="L117">
        <f t="shared" si="44"/>
        <v>1.7671248098816359</v>
      </c>
      <c r="M117">
        <f t="shared" si="45"/>
        <v>36.604580828438259</v>
      </c>
      <c r="N117">
        <f t="shared" si="46"/>
        <v>9833.2146655313627</v>
      </c>
      <c r="O117">
        <f t="shared" si="47"/>
        <v>1.0063457734131003</v>
      </c>
      <c r="P117">
        <f t="shared" si="48"/>
        <v>36.600832679649912</v>
      </c>
      <c r="Q117">
        <f t="shared" si="49"/>
        <v>23.435868784922601</v>
      </c>
      <c r="R117">
        <f t="shared" si="50"/>
        <v>23.438208021229485</v>
      </c>
      <c r="S117">
        <f t="shared" si="51"/>
        <v>34.270853345508456</v>
      </c>
      <c r="T117" s="19">
        <f t="shared" si="52"/>
        <v>13.718918856197197</v>
      </c>
      <c r="U117">
        <f t="shared" si="53"/>
        <v>4.3030439135618284E-2</v>
      </c>
      <c r="V117">
        <f t="shared" si="54"/>
        <v>2.2533024377868971</v>
      </c>
      <c r="W117">
        <f t="shared" si="55"/>
        <v>101.94008862430802</v>
      </c>
      <c r="X117" s="6">
        <f t="shared" si="56"/>
        <v>0.50385706775153682</v>
      </c>
      <c r="Y117" s="6">
        <f t="shared" si="57"/>
        <v>0.22069015490623675</v>
      </c>
      <c r="Z117" s="6">
        <f t="shared" si="58"/>
        <v>0.78702398059683687</v>
      </c>
      <c r="AA117" s="19">
        <f t="shared" si="59"/>
        <v>815.52070899446414</v>
      </c>
      <c r="AB117">
        <f t="shared" si="60"/>
        <v>714.445822437787</v>
      </c>
      <c r="AC117">
        <f t="shared" si="61"/>
        <v>-1.3885443905532497</v>
      </c>
      <c r="AD117">
        <f t="shared" si="36"/>
        <v>23.913048211771539</v>
      </c>
      <c r="AE117">
        <f t="shared" si="62"/>
        <v>66.086951788228461</v>
      </c>
      <c r="AF117">
        <f t="shared" si="63"/>
        <v>7.154473932861961E-3</v>
      </c>
      <c r="AG117">
        <f t="shared" si="64"/>
        <v>66.094106262161318</v>
      </c>
      <c r="AH117">
        <f t="shared" si="37"/>
        <v>176.67063412633161</v>
      </c>
      <c r="AK117">
        <f t="shared" si="65"/>
        <v>0.23715893510375502</v>
      </c>
      <c r="AL117">
        <f t="shared" si="66"/>
        <v>0.97147086394829818</v>
      </c>
      <c r="AM117">
        <f t="shared" si="67"/>
        <v>816</v>
      </c>
      <c r="AN117">
        <f t="shared" si="68"/>
        <v>-408</v>
      </c>
      <c r="AO117">
        <f t="shared" si="69"/>
        <v>408</v>
      </c>
      <c r="AP117" s="16" cm="1">
        <f t="array" ref="AP117">SUMPRODUCT(1362*POWER(0.7,POWER(1/($AI$2*AK117+$AJ$2*AL117*COS(RADIANS(0.25*(_xlfn.SEQUENCE(AO117-AN117,1,AN117+1))))+0.50572*POWER(96.07995-DEGREES(ACOS($AI$2*AK117+$AJ$2*AL117*COS(RADIANS(0.25*(_xlfn.SEQUENCE(AO117-AN117,1,AN117+1)))))),-1.6364)),0.678))*IF(AL117*COS(RADIANS(0.25*(_xlfn.SEQUENCE(AO117-AN117,1,AN117+1))))&gt;0,AL117*COS(RADIANS(0.25*(_xlfn.SEQUENCE(AO117-AN117,1,AN117+1)))),0)/60)</f>
        <v>6456.337405703629</v>
      </c>
      <c r="AQ117" s="17" cm="1">
        <f t="array" ref="AQ117">SUMPRODUCT(1362*POWER(0.7,POWER(1/($AI$2*AK117+$AJ$2*AL117*COS(RADIANS(0.25*(_xlfn.SEQUENCE(AO117-AN117,1,AN117+1))))+0.50572*POWER(96.07995-DEGREES(ACOS($AI$2*AK117+$AJ$2*AL117*COS(RADIANS(0.25*(_xlfn.SEQUENCE(AO117-AN117,1,AN117+1)))))),-1.6364)),0.678))/60)</f>
        <v>9928.5667615439306</v>
      </c>
      <c r="AR117" s="15">
        <f t="shared" si="70"/>
        <v>1.5378017190943087</v>
      </c>
      <c r="AT117">
        <v>0.29461266128520514</v>
      </c>
      <c r="AU117">
        <v>72.865687693077547</v>
      </c>
      <c r="AV117">
        <v>3.3607005575476228</v>
      </c>
      <c r="AW117">
        <v>605.09761524604505</v>
      </c>
    </row>
    <row r="118" spans="4:49" ht="17" x14ac:dyDescent="0.2">
      <c r="D118" s="1">
        <f t="shared" si="71"/>
        <v>46139</v>
      </c>
      <c r="E118" s="6">
        <f t="shared" si="38"/>
        <v>0.5</v>
      </c>
      <c r="F118" s="2">
        <f t="shared" si="39"/>
        <v>2461158.3333333335</v>
      </c>
      <c r="G118" s="3">
        <f t="shared" si="40"/>
        <v>0.26319872233630359</v>
      </c>
      <c r="I118">
        <f t="shared" si="41"/>
        <v>35.823103383090711</v>
      </c>
      <c r="J118">
        <f t="shared" si="42"/>
        <v>9832.4331410009927</v>
      </c>
      <c r="K118">
        <f t="shared" si="43"/>
        <v>1.6697561138348156E-2</v>
      </c>
      <c r="L118">
        <f t="shared" si="44"/>
        <v>1.7543456626055518</v>
      </c>
      <c r="M118">
        <f t="shared" si="45"/>
        <v>37.577449045696262</v>
      </c>
      <c r="N118">
        <f t="shared" si="46"/>
        <v>9834.187486663599</v>
      </c>
      <c r="O118">
        <f t="shared" si="47"/>
        <v>1.0066088111137579</v>
      </c>
      <c r="P118">
        <f t="shared" si="48"/>
        <v>37.573704932868196</v>
      </c>
      <c r="Q118">
        <f t="shared" si="49"/>
        <v>23.435868428888426</v>
      </c>
      <c r="R118">
        <f t="shared" si="50"/>
        <v>23.438206703022043</v>
      </c>
      <c r="S118">
        <f t="shared" si="51"/>
        <v>35.217944771719935</v>
      </c>
      <c r="T118" s="19">
        <f t="shared" si="52"/>
        <v>14.036889162194504</v>
      </c>
      <c r="U118">
        <f t="shared" si="53"/>
        <v>4.3030434157720385E-2</v>
      </c>
      <c r="V118">
        <f t="shared" si="54"/>
        <v>2.4069945060460887</v>
      </c>
      <c r="W118">
        <f t="shared" si="55"/>
        <v>102.2073028118847</v>
      </c>
      <c r="X118" s="6">
        <f t="shared" si="56"/>
        <v>0.5037503371485792</v>
      </c>
      <c r="Y118" s="6">
        <f t="shared" si="57"/>
        <v>0.21984116267112172</v>
      </c>
      <c r="Z118" s="6">
        <f t="shared" si="58"/>
        <v>0.78765951162603676</v>
      </c>
      <c r="AA118" s="19">
        <f t="shared" si="59"/>
        <v>817.65842249507762</v>
      </c>
      <c r="AB118">
        <f t="shared" si="60"/>
        <v>714.59951450604603</v>
      </c>
      <c r="AC118">
        <f t="shared" si="61"/>
        <v>-1.3501213734884914</v>
      </c>
      <c r="AD118">
        <f t="shared" si="36"/>
        <v>23.593676053688007</v>
      </c>
      <c r="AE118">
        <f t="shared" si="62"/>
        <v>66.406323946312</v>
      </c>
      <c r="AF118">
        <f t="shared" si="63"/>
        <v>7.0471663454661094E-3</v>
      </c>
      <c r="AG118">
        <f t="shared" si="64"/>
        <v>66.413371112657472</v>
      </c>
      <c r="AH118">
        <f t="shared" si="37"/>
        <v>176.72603340486216</v>
      </c>
      <c r="AK118">
        <f t="shared" si="65"/>
        <v>0.24254655803304578</v>
      </c>
      <c r="AL118">
        <f t="shared" si="66"/>
        <v>0.97013976683069869</v>
      </c>
      <c r="AM118">
        <f t="shared" si="67"/>
        <v>818</v>
      </c>
      <c r="AN118">
        <f t="shared" si="68"/>
        <v>-409</v>
      </c>
      <c r="AO118">
        <f t="shared" si="69"/>
        <v>409</v>
      </c>
      <c r="AP118" s="16" cm="1">
        <f t="array" ref="AP118">SUMPRODUCT(1362*POWER(0.7,POWER(1/($AI$2*AK118+$AJ$2*AL118*COS(RADIANS(0.25*(_xlfn.SEQUENCE(AO118-AN118,1,AN118+1))))+0.50572*POWER(96.07995-DEGREES(ACOS($AI$2*AK118+$AJ$2*AL118*COS(RADIANS(0.25*(_xlfn.SEQUENCE(AO118-AN118,1,AN118+1)))))),-1.6364)),0.678))*IF(AL118*COS(RADIANS(0.25*(_xlfn.SEQUENCE(AO118-AN118,1,AN118+1))))&gt;0,AL118*COS(RADIANS(0.25*(_xlfn.SEQUENCE(AO118-AN118,1,AN118+1)))),0)/60)</f>
        <v>6454.9259706093844</v>
      </c>
      <c r="AQ118" s="17" cm="1">
        <f t="array" ref="AQ118">SUMPRODUCT(1362*POWER(0.7,POWER(1/($AI$2*AK118+$AJ$2*AL118*COS(RADIANS(0.25*(_xlfn.SEQUENCE(AO118-AN118,1,AN118+1))))+0.50572*POWER(96.07995-DEGREES(ACOS($AI$2*AK118+$AJ$2*AL118*COS(RADIANS(0.25*(_xlfn.SEQUENCE(AO118-AN118,1,AN118+1)))))),-1.6364)),0.678))/60)</f>
        <v>9960.9486101788352</v>
      </c>
      <c r="AR118" s="15">
        <f t="shared" si="70"/>
        <v>1.5431545854333726</v>
      </c>
      <c r="AT118">
        <v>0.29678375689387781</v>
      </c>
      <c r="AU118">
        <v>72.735469886390675</v>
      </c>
      <c r="AV118">
        <v>3.3366558133120607</v>
      </c>
      <c r="AW118">
        <v>607.48649853371126</v>
      </c>
    </row>
    <row r="119" spans="4:49" ht="17" x14ac:dyDescent="0.2">
      <c r="D119" s="1">
        <f t="shared" si="71"/>
        <v>46140</v>
      </c>
      <c r="E119" s="6">
        <f t="shared" si="38"/>
        <v>0.5</v>
      </c>
      <c r="F119" s="2">
        <f t="shared" si="39"/>
        <v>2461159.3333333335</v>
      </c>
      <c r="G119" s="3">
        <f t="shared" si="40"/>
        <v>0.26322610084417492</v>
      </c>
      <c r="I119">
        <f t="shared" si="41"/>
        <v>36.808750747624799</v>
      </c>
      <c r="J119">
        <f t="shared" si="42"/>
        <v>9833.4187412805004</v>
      </c>
      <c r="K119">
        <f t="shared" si="43"/>
        <v>1.6697559985611725E-2</v>
      </c>
      <c r="L119">
        <f t="shared" si="44"/>
        <v>1.7410601718354493</v>
      </c>
      <c r="M119">
        <f t="shared" si="45"/>
        <v>38.549810919460249</v>
      </c>
      <c r="N119">
        <f t="shared" si="46"/>
        <v>9835.1598014523352</v>
      </c>
      <c r="O119">
        <f t="shared" si="47"/>
        <v>1.0068698509108398</v>
      </c>
      <c r="P119">
        <f t="shared" si="48"/>
        <v>38.546070840930334</v>
      </c>
      <c r="Q119">
        <f t="shared" si="49"/>
        <v>23.435868072854248</v>
      </c>
      <c r="R119">
        <f t="shared" si="50"/>
        <v>23.438205382817291</v>
      </c>
      <c r="S119">
        <f t="shared" si="51"/>
        <v>36.167157613728783</v>
      </c>
      <c r="T119" s="19">
        <f t="shared" si="52"/>
        <v>14.351002965168361</v>
      </c>
      <c r="U119">
        <f t="shared" si="53"/>
        <v>4.3030429172280414E-2</v>
      </c>
      <c r="V119">
        <f t="shared" si="54"/>
        <v>2.5522332096303124</v>
      </c>
      <c r="W119">
        <f t="shared" si="55"/>
        <v>102.47230478361116</v>
      </c>
      <c r="X119" s="6">
        <f t="shared" si="56"/>
        <v>0.50364947693775675</v>
      </c>
      <c r="Y119" s="6">
        <f t="shared" si="57"/>
        <v>0.21900418587217019</v>
      </c>
      <c r="Z119" s="6">
        <f t="shared" si="58"/>
        <v>0.7882947680033433</v>
      </c>
      <c r="AA119" s="19">
        <f t="shared" si="59"/>
        <v>819.77843826888932</v>
      </c>
      <c r="AB119">
        <f t="shared" si="60"/>
        <v>714.74475320963029</v>
      </c>
      <c r="AC119">
        <f t="shared" si="61"/>
        <v>-1.3138116975924277</v>
      </c>
      <c r="AD119">
        <f t="shared" si="36"/>
        <v>23.27826920036954</v>
      </c>
      <c r="AE119">
        <f t="shared" si="62"/>
        <v>66.721730799630464</v>
      </c>
      <c r="AF119">
        <f t="shared" si="63"/>
        <v>6.9417004846635275E-3</v>
      </c>
      <c r="AG119">
        <f t="shared" si="64"/>
        <v>66.728672500115124</v>
      </c>
      <c r="AH119">
        <f t="shared" si="37"/>
        <v>176.77787546380921</v>
      </c>
      <c r="AK119">
        <f t="shared" si="65"/>
        <v>0.24786150316187347</v>
      </c>
      <c r="AL119">
        <f t="shared" si="66"/>
        <v>0.96879547648114905</v>
      </c>
      <c r="AM119">
        <f t="shared" si="67"/>
        <v>820</v>
      </c>
      <c r="AN119">
        <f t="shared" si="68"/>
        <v>-410</v>
      </c>
      <c r="AO119">
        <f t="shared" si="69"/>
        <v>410</v>
      </c>
      <c r="AP119" s="16" cm="1">
        <f t="array" ref="AP119">SUMPRODUCT(1362*POWER(0.7,POWER(1/($AI$2*AK119+$AJ$2*AL119*COS(RADIANS(0.25*(_xlfn.SEQUENCE(AO119-AN119,1,AN119+1))))+0.50572*POWER(96.07995-DEGREES(ACOS($AI$2*AK119+$AJ$2*AL119*COS(RADIANS(0.25*(_xlfn.SEQUENCE(AO119-AN119,1,AN119+1)))))),-1.6364)),0.678))*IF(AL119*COS(RADIANS(0.25*(_xlfn.SEQUENCE(AO119-AN119,1,AN119+1))))&gt;0,AL119*COS(RADIANS(0.25*(_xlfn.SEQUENCE(AO119-AN119,1,AN119+1)))),0)/60)</f>
        <v>6453.2136314656491</v>
      </c>
      <c r="AQ119" s="17" cm="1">
        <f t="array" ref="AQ119">SUMPRODUCT(1362*POWER(0.7,POWER(1/($AI$2*AK119+$AJ$2*AL119*COS(RADIANS(0.25*(_xlfn.SEQUENCE(AO119-AN119,1,AN119+1))))+0.50572*POWER(96.07995-DEGREES(ACOS($AI$2*AK119+$AJ$2*AL119*COS(RADIANS(0.25*(_xlfn.SEQUENCE(AO119-AN119,1,AN119+1)))))),-1.6364)),0.678))/60)</f>
        <v>9992.9138882980933</v>
      </c>
      <c r="AR119" s="15">
        <f t="shared" si="70"/>
        <v>1.5485174455674282</v>
      </c>
      <c r="AT119">
        <v>0.29894467311317074</v>
      </c>
      <c r="AU119">
        <v>72.605771223606311</v>
      </c>
      <c r="AV119">
        <v>3.3130589717168042</v>
      </c>
      <c r="AW119">
        <v>609.84547787811323</v>
      </c>
    </row>
    <row r="120" spans="4:49" ht="17" x14ac:dyDescent="0.2">
      <c r="D120" s="1">
        <f t="shared" si="71"/>
        <v>46141</v>
      </c>
      <c r="E120" s="6">
        <f t="shared" si="38"/>
        <v>0.5</v>
      </c>
      <c r="F120" s="2">
        <f t="shared" si="39"/>
        <v>2461160.3333333335</v>
      </c>
      <c r="G120" s="3">
        <f t="shared" si="40"/>
        <v>0.26325347935204624</v>
      </c>
      <c r="I120">
        <f t="shared" si="41"/>
        <v>37.794398112158888</v>
      </c>
      <c r="J120">
        <f t="shared" si="42"/>
        <v>9834.4043415600099</v>
      </c>
      <c r="K120">
        <f t="shared" si="43"/>
        <v>1.669755883287511E-2</v>
      </c>
      <c r="L120">
        <f t="shared" si="44"/>
        <v>1.7272726605807327</v>
      </c>
      <c r="M120">
        <f t="shared" si="45"/>
        <v>39.521670772739618</v>
      </c>
      <c r="N120">
        <f t="shared" si="46"/>
        <v>9836.1316142205906</v>
      </c>
      <c r="O120">
        <f t="shared" si="47"/>
        <v>1.0071288186859459</v>
      </c>
      <c r="P120">
        <f t="shared" si="48"/>
        <v>39.51793472684227</v>
      </c>
      <c r="Q120">
        <f t="shared" si="49"/>
        <v>23.435867716820074</v>
      </c>
      <c r="R120">
        <f t="shared" si="50"/>
        <v>23.438204060616066</v>
      </c>
      <c r="S120">
        <f t="shared" si="51"/>
        <v>37.118528669130797</v>
      </c>
      <c r="T120" s="19">
        <f t="shared" si="52"/>
        <v>14.661170899918819</v>
      </c>
      <c r="U120">
        <f t="shared" si="53"/>
        <v>4.3030424179301571E-2</v>
      </c>
      <c r="V120">
        <f t="shared" si="54"/>
        <v>2.6888707729552999</v>
      </c>
      <c r="W120">
        <f t="shared" si="55"/>
        <v>102.73500846875076</v>
      </c>
      <c r="X120" s="6">
        <f t="shared" si="56"/>
        <v>0.5035545897410032</v>
      </c>
      <c r="Y120" s="6">
        <f t="shared" si="57"/>
        <v>0.21817956621669557</v>
      </c>
      <c r="Z120" s="6">
        <f t="shared" si="58"/>
        <v>0.78892961326531086</v>
      </c>
      <c r="AA120" s="19">
        <f t="shared" si="59"/>
        <v>821.88006775000611</v>
      </c>
      <c r="AB120">
        <f t="shared" si="60"/>
        <v>714.88139077295523</v>
      </c>
      <c r="AC120">
        <f t="shared" si="61"/>
        <v>-1.2796523067611929</v>
      </c>
      <c r="AD120">
        <f t="shared" si="36"/>
        <v>22.966914822932793</v>
      </c>
      <c r="AE120">
        <f t="shared" si="62"/>
        <v>67.033085177067207</v>
      </c>
      <c r="AF120">
        <f t="shared" si="63"/>
        <v>6.838076456205734E-3</v>
      </c>
      <c r="AG120">
        <f t="shared" si="64"/>
        <v>67.039923253523412</v>
      </c>
      <c r="AH120">
        <f t="shared" si="37"/>
        <v>176.8259400961291</v>
      </c>
      <c r="AK120">
        <f t="shared" si="65"/>
        <v>0.25310237322239687</v>
      </c>
      <c r="AL120">
        <f t="shared" si="66"/>
        <v>0.96743950129669121</v>
      </c>
      <c r="AM120">
        <f t="shared" si="67"/>
        <v>822</v>
      </c>
      <c r="AN120">
        <f t="shared" si="68"/>
        <v>-411</v>
      </c>
      <c r="AO120">
        <f t="shared" si="69"/>
        <v>411</v>
      </c>
      <c r="AP120" s="16" cm="1">
        <f t="array" ref="AP120">SUMPRODUCT(1362*POWER(0.7,POWER(1/($AI$2*AK120+$AJ$2*AL120*COS(RADIANS(0.25*(_xlfn.SEQUENCE(AO120-AN120,1,AN120+1))))+0.50572*POWER(96.07995-DEGREES(ACOS($AI$2*AK120+$AJ$2*AL120*COS(RADIANS(0.25*(_xlfn.SEQUENCE(AO120-AN120,1,AN120+1)))))),-1.6364)),0.678))*IF(AL120*COS(RADIANS(0.25*(_xlfn.SEQUENCE(AO120-AN120,1,AN120+1))))&gt;0,AL120*COS(RADIANS(0.25*(_xlfn.SEQUENCE(AO120-AN120,1,AN120+1)))),0)/60)</f>
        <v>6451.2137976495005</v>
      </c>
      <c r="AQ120" s="17" cm="1">
        <f t="array" ref="AQ120">SUMPRODUCT(1362*POWER(0.7,POWER(1/($AI$2*AK120+$AJ$2*AL120*COS(RADIANS(0.25*(_xlfn.SEQUENCE(AO120-AN120,1,AN120+1))))+0.50572*POWER(96.07995-DEGREES(ACOS($AI$2*AK120+$AJ$2*AL120*COS(RADIANS(0.25*(_xlfn.SEQUENCE(AO120-AN120,1,AN120+1)))))),-1.6364)),0.678))/60)</f>
        <v>10024.456601704242</v>
      </c>
      <c r="AR120" s="15">
        <f t="shared" si="70"/>
        <v>1.5538868988277295</v>
      </c>
      <c r="AT120">
        <v>0.30109536880235399</v>
      </c>
      <c r="AU120">
        <v>72.476594612527109</v>
      </c>
      <c r="AV120">
        <v>3.2898989142655362</v>
      </c>
      <c r="AW120">
        <v>612.17499614486405</v>
      </c>
    </row>
    <row r="121" spans="4:49" ht="17" x14ac:dyDescent="0.2">
      <c r="D121" s="1">
        <f t="shared" si="71"/>
        <v>46142</v>
      </c>
      <c r="E121" s="6">
        <f t="shared" si="38"/>
        <v>0.5</v>
      </c>
      <c r="F121" s="2">
        <f t="shared" si="39"/>
        <v>2461161.3333333335</v>
      </c>
      <c r="G121" s="3">
        <f t="shared" si="40"/>
        <v>0.26328085785991756</v>
      </c>
      <c r="I121">
        <f t="shared" si="41"/>
        <v>38.780045476694795</v>
      </c>
      <c r="J121">
        <f t="shared" si="42"/>
        <v>9835.3899418395195</v>
      </c>
      <c r="K121">
        <f t="shared" si="43"/>
        <v>1.6697557680138302E-2</v>
      </c>
      <c r="L121">
        <f t="shared" si="44"/>
        <v>1.7129875844836315</v>
      </c>
      <c r="M121">
        <f t="shared" si="45"/>
        <v>40.49303306117843</v>
      </c>
      <c r="N121">
        <f t="shared" si="46"/>
        <v>9837.1029294240034</v>
      </c>
      <c r="O121">
        <f t="shared" si="47"/>
        <v>1.0073856410236199</v>
      </c>
      <c r="P121">
        <f t="shared" si="48"/>
        <v>40.489301046244627</v>
      </c>
      <c r="Q121">
        <f t="shared" si="49"/>
        <v>23.435867360785899</v>
      </c>
      <c r="R121">
        <f t="shared" si="50"/>
        <v>23.438202736419189</v>
      </c>
      <c r="S121">
        <f t="shared" si="51"/>
        <v>38.072092223349991</v>
      </c>
      <c r="T121" s="19">
        <f t="shared" si="52"/>
        <v>14.967304053622577</v>
      </c>
      <c r="U121">
        <f t="shared" si="53"/>
        <v>4.3030419178786937E-2</v>
      </c>
      <c r="V121">
        <f t="shared" si="54"/>
        <v>2.8167693024166631</v>
      </c>
      <c r="W121">
        <f t="shared" si="55"/>
        <v>102.99532584424583</v>
      </c>
      <c r="X121" s="6">
        <f t="shared" si="56"/>
        <v>0.50346577131776626</v>
      </c>
      <c r="Y121" s="6">
        <f t="shared" si="57"/>
        <v>0.21736764397263894</v>
      </c>
      <c r="Z121" s="6">
        <f t="shared" si="58"/>
        <v>0.78956389866289356</v>
      </c>
      <c r="AA121" s="19">
        <f t="shared" si="59"/>
        <v>823.96260675396661</v>
      </c>
      <c r="AB121">
        <f t="shared" si="60"/>
        <v>715.00928930241662</v>
      </c>
      <c r="AC121">
        <f t="shared" si="61"/>
        <v>-1.2476776743958453</v>
      </c>
      <c r="AD121">
        <f t="shared" si="36"/>
        <v>22.659699674584981</v>
      </c>
      <c r="AE121">
        <f t="shared" si="62"/>
        <v>67.340300325415015</v>
      </c>
      <c r="AF121">
        <f t="shared" si="63"/>
        <v>6.7362948270432623E-3</v>
      </c>
      <c r="AG121">
        <f t="shared" si="64"/>
        <v>67.347036620242065</v>
      </c>
      <c r="AH121">
        <f t="shared" si="37"/>
        <v>176.87000519787273</v>
      </c>
      <c r="AK121">
        <f t="shared" si="65"/>
        <v>0.25826779556723839</v>
      </c>
      <c r="AL121">
        <f t="shared" si="66"/>
        <v>0.96607336459134363</v>
      </c>
      <c r="AM121">
        <f t="shared" si="67"/>
        <v>824</v>
      </c>
      <c r="AN121">
        <f t="shared" si="68"/>
        <v>-412</v>
      </c>
      <c r="AO121">
        <f t="shared" si="69"/>
        <v>412</v>
      </c>
      <c r="AP121" s="16" cm="1">
        <f t="array" ref="AP121">SUMPRODUCT(1362*POWER(0.7,POWER(1/($AI$2*AK121+$AJ$2*AL121*COS(RADIANS(0.25*(_xlfn.SEQUENCE(AO121-AN121,1,AN121+1))))+0.50572*POWER(96.07995-DEGREES(ACOS($AI$2*AK121+$AJ$2*AL121*COS(RADIANS(0.25*(_xlfn.SEQUENCE(AO121-AN121,1,AN121+1)))))),-1.6364)),0.678))*IF(AL121*COS(RADIANS(0.25*(_xlfn.SEQUENCE(AO121-AN121,1,AN121+1))))&gt;0,AL121*COS(RADIANS(0.25*(_xlfn.SEQUENCE(AO121-AN121,1,AN121+1)))),0)/60)</f>
        <v>6448.9399909211379</v>
      </c>
      <c r="AQ121" s="17" cm="1">
        <f t="array" ref="AQ121">SUMPRODUCT(1362*POWER(0.7,POWER(1/($AI$2*AK121+$AJ$2*AL121*COS(RADIANS(0.25*(_xlfn.SEQUENCE(AO121-AN121,1,AN121+1))))+0.50572*POWER(96.07995-DEGREES(ACOS($AI$2*AK121+$AJ$2*AL121*COS(RADIANS(0.25*(_xlfn.SEQUENCE(AO121-AN121,1,AN121+1)))))),-1.6364)),0.678))/60)</f>
        <v>10055.570676531337</v>
      </c>
      <c r="AR121" s="15">
        <f t="shared" si="70"/>
        <v>1.5592594582501371</v>
      </c>
      <c r="AT121">
        <v>0.30323580301528208</v>
      </c>
      <c r="AU121">
        <v>72.347942969498945</v>
      </c>
      <c r="AV121">
        <v>3.2671648931351207</v>
      </c>
      <c r="AW121">
        <v>614.47548685166862</v>
      </c>
    </row>
    <row r="122" spans="4:49" ht="17" x14ac:dyDescent="0.2">
      <c r="D122" s="1">
        <f t="shared" si="71"/>
        <v>46143</v>
      </c>
      <c r="E122" s="6">
        <f t="shared" si="38"/>
        <v>0.5</v>
      </c>
      <c r="F122" s="2">
        <f t="shared" si="39"/>
        <v>2461162.3333333335</v>
      </c>
      <c r="G122" s="3">
        <f t="shared" si="40"/>
        <v>0.26330823636778888</v>
      </c>
      <c r="I122">
        <f t="shared" si="41"/>
        <v>39.765692841230702</v>
      </c>
      <c r="J122">
        <f t="shared" si="42"/>
        <v>9836.375542119029</v>
      </c>
      <c r="K122">
        <f t="shared" si="43"/>
        <v>1.6697556527401302E-2</v>
      </c>
      <c r="L122">
        <f t="shared" si="44"/>
        <v>1.6982095301054072</v>
      </c>
      <c r="M122">
        <f t="shared" si="45"/>
        <v>41.463902371336111</v>
      </c>
      <c r="N122">
        <f t="shared" si="46"/>
        <v>9838.0737516491336</v>
      </c>
      <c r="O122">
        <f t="shared" si="47"/>
        <v>1.0076402452292041</v>
      </c>
      <c r="P122">
        <f t="shared" si="48"/>
        <v>41.460174385693385</v>
      </c>
      <c r="Q122">
        <f t="shared" si="49"/>
        <v>23.435867004751724</v>
      </c>
      <c r="R122">
        <f t="shared" si="50"/>
        <v>23.438201410227485</v>
      </c>
      <c r="S122">
        <f t="shared" si="51"/>
        <v>39.027879983286844</v>
      </c>
      <c r="T122" s="19">
        <f t="shared" si="52"/>
        <v>15.269313994582976</v>
      </c>
      <c r="U122">
        <f t="shared" si="53"/>
        <v>4.3030414170739613E-2</v>
      </c>
      <c r="V122">
        <f t="shared" si="54"/>
        <v>2.9358010812066393</v>
      </c>
      <c r="W122">
        <f t="shared" si="55"/>
        <v>103.25316695310597</v>
      </c>
      <c r="X122" s="6">
        <f t="shared" si="56"/>
        <v>0.50338311036027317</v>
      </c>
      <c r="Y122" s="6">
        <f t="shared" si="57"/>
        <v>0.21656875771275658</v>
      </c>
      <c r="Z122" s="6">
        <f t="shared" si="58"/>
        <v>0.7901974630077897</v>
      </c>
      <c r="AA122" s="19">
        <f t="shared" si="59"/>
        <v>826.0253356248478</v>
      </c>
      <c r="AB122">
        <f t="shared" si="60"/>
        <v>715.12832108120665</v>
      </c>
      <c r="AC122">
        <f t="shared" si="61"/>
        <v>-1.2179197296983375</v>
      </c>
      <c r="AD122">
        <f t="shared" si="36"/>
        <v>22.356710100741399</v>
      </c>
      <c r="AE122">
        <f t="shared" si="62"/>
        <v>67.643289899258605</v>
      </c>
      <c r="AF122">
        <f t="shared" si="63"/>
        <v>6.6363566286921361E-3</v>
      </c>
      <c r="AG122">
        <f t="shared" si="64"/>
        <v>67.649926255887294</v>
      </c>
      <c r="AH122">
        <f t="shared" si="37"/>
        <v>176.90984724007205</v>
      </c>
      <c r="AK122">
        <f t="shared" si="65"/>
        <v>0.26335642236517121</v>
      </c>
      <c r="AL122">
        <f t="shared" si="66"/>
        <v>0.96469860308752264</v>
      </c>
      <c r="AM122">
        <f t="shared" si="67"/>
        <v>826</v>
      </c>
      <c r="AN122">
        <f t="shared" si="68"/>
        <v>-413</v>
      </c>
      <c r="AO122">
        <f t="shared" si="69"/>
        <v>413</v>
      </c>
      <c r="AP122" s="16" cm="1">
        <f t="array" ref="AP122">SUMPRODUCT(1362*POWER(0.7,POWER(1/($AI$2*AK122+$AJ$2*AL122*COS(RADIANS(0.25*(_xlfn.SEQUENCE(AO122-AN122,1,AN122+1))))+0.50572*POWER(96.07995-DEGREES(ACOS($AI$2*AK122+$AJ$2*AL122*COS(RADIANS(0.25*(_xlfn.SEQUENCE(AO122-AN122,1,AN122+1)))))),-1.6364)),0.678))*IF(AL122*COS(RADIANS(0.25*(_xlfn.SEQUENCE(AO122-AN122,1,AN122+1))))&gt;0,AL122*COS(RADIANS(0.25*(_xlfn.SEQUENCE(AO122-AN122,1,AN122+1)))),0)/60)</f>
        <v>6446.4058319696969</v>
      </c>
      <c r="AQ122" s="17" cm="1">
        <f t="array" ref="AQ122">SUMPRODUCT(1362*POWER(0.7,POWER(1/($AI$2*AK122+$AJ$2*AL122*COS(RADIANS(0.25*(_xlfn.SEQUENCE(AO122-AN122,1,AN122+1))))+0.50572*POWER(96.07995-DEGREES(ACOS($AI$2*AK122+$AJ$2*AL122*COS(RADIANS(0.25*(_xlfn.SEQUENCE(AO122-AN122,1,AN122+1)))))),-1.6364)),0.678))/60)</f>
        <v>10086.249956405507</v>
      </c>
      <c r="AR122" s="15">
        <f t="shared" si="70"/>
        <v>1.5646315511792184</v>
      </c>
      <c r="AT122">
        <v>0.30536593500117271</v>
      </c>
      <c r="AU122">
        <v>72.219819219281462</v>
      </c>
      <c r="AV122">
        <v>3.2448465160704325</v>
      </c>
      <c r="AW122">
        <v>616.74737439198589</v>
      </c>
    </row>
    <row r="123" spans="4:49" ht="17" x14ac:dyDescent="0.2">
      <c r="D123" s="1">
        <f t="shared" si="71"/>
        <v>46144</v>
      </c>
      <c r="E123" s="6">
        <f t="shared" si="38"/>
        <v>0.5</v>
      </c>
      <c r="F123" s="2">
        <f t="shared" si="39"/>
        <v>2461163.3333333335</v>
      </c>
      <c r="G123" s="3">
        <f t="shared" si="40"/>
        <v>0.26333561487566021</v>
      </c>
      <c r="I123">
        <f t="shared" si="41"/>
        <v>40.75134020576661</v>
      </c>
      <c r="J123">
        <f t="shared" si="42"/>
        <v>9837.3611423985385</v>
      </c>
      <c r="K123">
        <f t="shared" si="43"/>
        <v>1.6697555374664115E-2</v>
      </c>
      <c r="L123">
        <f t="shared" si="44"/>
        <v>1.6829432131940312</v>
      </c>
      <c r="M123">
        <f t="shared" si="45"/>
        <v>42.434283418960639</v>
      </c>
      <c r="N123">
        <f t="shared" si="46"/>
        <v>9839.044085611733</v>
      </c>
      <c r="O123">
        <f t="shared" si="47"/>
        <v>1.0078925593463923</v>
      </c>
      <c r="P123">
        <f t="shared" si="48"/>
        <v>42.430559460933083</v>
      </c>
      <c r="Q123">
        <f t="shared" si="49"/>
        <v>23.43586664871755</v>
      </c>
      <c r="R123">
        <f t="shared" si="50"/>
        <v>23.438200082041782</v>
      </c>
      <c r="S123">
        <f t="shared" si="51"/>
        <v>39.985921011906242</v>
      </c>
      <c r="T123" s="19">
        <f t="shared" si="52"/>
        <v>15.567112802864308</v>
      </c>
      <c r="U123">
        <f t="shared" si="53"/>
        <v>4.3030409155162749E-2</v>
      </c>
      <c r="V123">
        <f t="shared" si="54"/>
        <v>3.0458488602928777</v>
      </c>
      <c r="W123">
        <f t="shared" si="55"/>
        <v>103.50843992971491</v>
      </c>
      <c r="X123" s="6">
        <f t="shared" si="56"/>
        <v>0.5033066882914633</v>
      </c>
      <c r="Y123" s="6">
        <f t="shared" si="57"/>
        <v>0.21578324404225518</v>
      </c>
      <c r="Z123" s="6">
        <f t="shared" si="58"/>
        <v>0.79083013254067147</v>
      </c>
      <c r="AA123" s="19">
        <f t="shared" si="59"/>
        <v>828.06751943771928</v>
      </c>
      <c r="AB123">
        <f t="shared" si="60"/>
        <v>715.23836886029289</v>
      </c>
      <c r="AC123">
        <f t="shared" si="61"/>
        <v>-1.1904077849267765</v>
      </c>
      <c r="AD123">
        <f t="shared" si="36"/>
        <v>22.058032047916424</v>
      </c>
      <c r="AE123">
        <f t="shared" si="62"/>
        <v>67.941967952083573</v>
      </c>
      <c r="AF123">
        <f t="shared" si="63"/>
        <v>6.5382633595832615E-3</v>
      </c>
      <c r="AG123">
        <f t="shared" si="64"/>
        <v>67.94850621544316</v>
      </c>
      <c r="AH123">
        <f t="shared" si="37"/>
        <v>176.94524179391203</v>
      </c>
      <c r="AK123">
        <f t="shared" si="65"/>
        <v>0.26836693078766394</v>
      </c>
      <c r="AL123">
        <f t="shared" si="66"/>
        <v>0.96331676537866251</v>
      </c>
      <c r="AM123">
        <f t="shared" si="67"/>
        <v>828</v>
      </c>
      <c r="AN123">
        <f t="shared" si="68"/>
        <v>-414</v>
      </c>
      <c r="AO123">
        <f t="shared" si="69"/>
        <v>414</v>
      </c>
      <c r="AP123" s="16" cm="1">
        <f t="array" ref="AP123">SUMPRODUCT(1362*POWER(0.7,POWER(1/($AI$2*AK123+$AJ$2*AL123*COS(RADIANS(0.25*(_xlfn.SEQUENCE(AO123-AN123,1,AN123+1))))+0.50572*POWER(96.07995-DEGREES(ACOS($AI$2*AK123+$AJ$2*AL123*COS(RADIANS(0.25*(_xlfn.SEQUENCE(AO123-AN123,1,AN123+1)))))),-1.6364)),0.678))*IF(AL123*COS(RADIANS(0.25*(_xlfn.SEQUENCE(AO123-AN123,1,AN123+1))))&gt;0,AL123*COS(RADIANS(0.25*(_xlfn.SEQUENCE(AO123-AN123,1,AN123+1)))),0)/60)</f>
        <v>6443.6250267974938</v>
      </c>
      <c r="AQ123" s="17" cm="1">
        <f t="array" ref="AQ123">SUMPRODUCT(1362*POWER(0.7,POWER(1/($AI$2*AK123+$AJ$2*AL123*COS(RADIANS(0.25*(_xlfn.SEQUENCE(AO123-AN123,1,AN123+1))))+0.50572*POWER(96.07995-DEGREES(ACOS($AI$2*AK123+$AJ$2*AL123*COS(RADIANS(0.25*(_xlfn.SEQUENCE(AO123-AN123,1,AN123+1)))))),-1.6364)),0.678))/60)</f>
        <v>10116.488200058338</v>
      </c>
      <c r="AR123" s="15">
        <f t="shared" si="70"/>
        <v>1.5699995201437522</v>
      </c>
      <c r="AT123">
        <v>0.30748572420538356</v>
      </c>
      <c r="AU123">
        <v>72.092226294914738</v>
      </c>
      <c r="AV123">
        <v>3.2229337320081273</v>
      </c>
      <c r="AW123">
        <v>618.99107425314082</v>
      </c>
    </row>
    <row r="124" spans="4:49" ht="17" x14ac:dyDescent="0.2">
      <c r="D124" s="1">
        <f t="shared" si="71"/>
        <v>46145</v>
      </c>
      <c r="E124" s="6">
        <f t="shared" si="38"/>
        <v>0.5</v>
      </c>
      <c r="F124" s="2">
        <f t="shared" si="39"/>
        <v>2461164.3333333335</v>
      </c>
      <c r="G124" s="3">
        <f t="shared" si="40"/>
        <v>0.26336299338353153</v>
      </c>
      <c r="I124">
        <f t="shared" si="41"/>
        <v>41.736987570304336</v>
      </c>
      <c r="J124">
        <f t="shared" si="42"/>
        <v>9838.3467426780444</v>
      </c>
      <c r="K124">
        <f t="shared" si="43"/>
        <v>1.6697554221926737E-2</v>
      </c>
      <c r="L124">
        <f t="shared" si="44"/>
        <v>1.6671934769340904</v>
      </c>
      <c r="M124">
        <f t="shared" si="45"/>
        <v>43.404181047238424</v>
      </c>
      <c r="N124">
        <f t="shared" si="46"/>
        <v>9840.0139361549791</v>
      </c>
      <c r="O124">
        <f t="shared" si="47"/>
        <v>1.0081425121744747</v>
      </c>
      <c r="P124">
        <f t="shared" si="48"/>
        <v>43.400461115146683</v>
      </c>
      <c r="Q124">
        <f t="shared" si="49"/>
        <v>23.435866292683375</v>
      </c>
      <c r="R124">
        <f t="shared" si="50"/>
        <v>23.438198751862917</v>
      </c>
      <c r="S124">
        <f t="shared" si="51"/>
        <v>40.946241663952485</v>
      </c>
      <c r="T124" s="19">
        <f t="shared" si="52"/>
        <v>15.860613102808284</v>
      </c>
      <c r="U124">
        <f t="shared" si="53"/>
        <v>4.3030404132059503E-2</v>
      </c>
      <c r="V124">
        <f t="shared" si="54"/>
        <v>3.1468061443567454</v>
      </c>
      <c r="W124">
        <f t="shared" si="55"/>
        <v>103.761051032342</v>
      </c>
      <c r="X124" s="6">
        <f t="shared" si="56"/>
        <v>0.50323657906641883</v>
      </c>
      <c r="Y124" s="6">
        <f t="shared" si="57"/>
        <v>0.21501143730991332</v>
      </c>
      <c r="Z124" s="6">
        <f t="shared" si="58"/>
        <v>0.79146172082292432</v>
      </c>
      <c r="AA124" s="19">
        <f t="shared" si="59"/>
        <v>830.08840825873597</v>
      </c>
      <c r="AB124">
        <f t="shared" si="60"/>
        <v>715.33932614435685</v>
      </c>
      <c r="AC124">
        <f t="shared" si="61"/>
        <v>-1.1651684639107884</v>
      </c>
      <c r="AD124">
        <f t="shared" si="36"/>
        <v>21.76375107111264</v>
      </c>
      <c r="AE124">
        <f t="shared" si="62"/>
        <v>68.236248928887363</v>
      </c>
      <c r="AF124">
        <f t="shared" si="63"/>
        <v>6.4420169863541842E-3</v>
      </c>
      <c r="AG124">
        <f t="shared" si="64"/>
        <v>68.242690945873719</v>
      </c>
      <c r="AH124">
        <f t="shared" si="37"/>
        <v>176.97596411202039</v>
      </c>
      <c r="AK124">
        <f t="shared" si="65"/>
        <v>0.27329802318637997</v>
      </c>
      <c r="AL124">
        <f t="shared" si="66"/>
        <v>0.96192941036357593</v>
      </c>
      <c r="AM124">
        <f t="shared" si="67"/>
        <v>830</v>
      </c>
      <c r="AN124">
        <f t="shared" si="68"/>
        <v>-415</v>
      </c>
      <c r="AO124">
        <f t="shared" si="69"/>
        <v>415</v>
      </c>
      <c r="AP124" s="16" cm="1">
        <f t="array" ref="AP124">SUMPRODUCT(1362*POWER(0.7,POWER(1/($AI$2*AK124+$AJ$2*AL124*COS(RADIANS(0.25*(_xlfn.SEQUENCE(AO124-AN124,1,AN124+1))))+0.50572*POWER(96.07995-DEGREES(ACOS($AI$2*AK124+$AJ$2*AL124*COS(RADIANS(0.25*(_xlfn.SEQUENCE(AO124-AN124,1,AN124+1)))))),-1.6364)),0.678))*IF(AL124*COS(RADIANS(0.25*(_xlfn.SEQUENCE(AO124-AN124,1,AN124+1))))&gt;0,AL124*COS(RADIANS(0.25*(_xlfn.SEQUENCE(AO124-AN124,1,AN124+1)))),0)/60)</f>
        <v>6440.6113529419554</v>
      </c>
      <c r="AQ124" s="17" cm="1">
        <f t="array" ref="AQ124">SUMPRODUCT(1362*POWER(0.7,POWER(1/($AI$2*AK124+$AJ$2*AL124*COS(RADIANS(0.25*(_xlfn.SEQUENCE(AO124-AN124,1,AN124+1))))+0.50572*POWER(96.07995-DEGREES(ACOS($AI$2*AK124+$AJ$2*AL124*COS(RADIANS(0.25*(_xlfn.SEQUENCE(AO124-AN124,1,AN124+1)))))),-1.6364)),0.678))/60)</f>
        <v>10146.279079451282</v>
      </c>
      <c r="AR124" s="15">
        <f t="shared" si="70"/>
        <v>1.5753596240233692</v>
      </c>
      <c r="AT124">
        <v>0.30959513027018359</v>
      </c>
      <c r="AU124">
        <v>71.96516713758264</v>
      </c>
      <c r="AV124">
        <v>3.2014168173889606</v>
      </c>
      <c r="AW124">
        <v>621.20699322897633</v>
      </c>
    </row>
    <row r="125" spans="4:49" ht="17" x14ac:dyDescent="0.2">
      <c r="D125" s="1">
        <f t="shared" si="71"/>
        <v>46146</v>
      </c>
      <c r="E125" s="6">
        <f t="shared" si="38"/>
        <v>0.5</v>
      </c>
      <c r="F125" s="2">
        <f t="shared" si="39"/>
        <v>2461165.3333333335</v>
      </c>
      <c r="G125" s="3">
        <f t="shared" si="40"/>
        <v>0.26339037189140285</v>
      </c>
      <c r="I125">
        <f t="shared" si="41"/>
        <v>42.722634934838425</v>
      </c>
      <c r="J125">
        <f t="shared" si="42"/>
        <v>9839.3323429575539</v>
      </c>
      <c r="K125">
        <f t="shared" si="43"/>
        <v>1.6697553069189172E-2</v>
      </c>
      <c r="L125">
        <f t="shared" si="44"/>
        <v>1.6509652901792577</v>
      </c>
      <c r="M125">
        <f t="shared" si="45"/>
        <v>44.373600225017682</v>
      </c>
      <c r="N125">
        <f t="shared" si="46"/>
        <v>9840.9833082477326</v>
      </c>
      <c r="O125">
        <f t="shared" si="47"/>
        <v>1.0083900332852953</v>
      </c>
      <c r="P125">
        <f t="shared" si="48"/>
        <v>44.369884317178972</v>
      </c>
      <c r="Q125">
        <f t="shared" si="49"/>
        <v>23.435865936649204</v>
      </c>
      <c r="R125">
        <f t="shared" si="50"/>
        <v>23.438197419691715</v>
      </c>
      <c r="S125">
        <f t="shared" si="51"/>
        <v>41.908865523002611</v>
      </c>
      <c r="T125" s="19">
        <f t="shared" si="52"/>
        <v>16.149728097429328</v>
      </c>
      <c r="U125">
        <f t="shared" si="53"/>
        <v>4.3030399101432977E-2</v>
      </c>
      <c r="V125">
        <f t="shared" si="54"/>
        <v>3.2385774714623641</v>
      </c>
      <c r="W125">
        <f t="shared" si="55"/>
        <v>104.01090468314037</v>
      </c>
      <c r="X125" s="6">
        <f t="shared" si="56"/>
        <v>0.50317284897815107</v>
      </c>
      <c r="Y125" s="6">
        <f t="shared" si="57"/>
        <v>0.21425366930276118</v>
      </c>
      <c r="Z125" s="6">
        <f t="shared" si="58"/>
        <v>0.792092028653541</v>
      </c>
      <c r="AA125" s="19">
        <f t="shared" si="59"/>
        <v>832.08723746512294</v>
      </c>
      <c r="AB125">
        <f t="shared" si="60"/>
        <v>715.43109747146241</v>
      </c>
      <c r="AC125">
        <f t="shared" si="61"/>
        <v>-1.142225632134398</v>
      </c>
      <c r="AD125">
        <f t="shared" si="36"/>
        <v>21.473952339402476</v>
      </c>
      <c r="AE125">
        <f t="shared" si="62"/>
        <v>68.526047660597527</v>
      </c>
      <c r="AF125">
        <f t="shared" si="63"/>
        <v>6.3476199440325879E-3</v>
      </c>
      <c r="AG125">
        <f t="shared" si="64"/>
        <v>68.532395280541564</v>
      </c>
      <c r="AH125">
        <f t="shared" si="37"/>
        <v>177.00178976858126</v>
      </c>
      <c r="AK125">
        <f t="shared" si="65"/>
        <v>0.2781484272618045</v>
      </c>
      <c r="AL125">
        <f t="shared" si="66"/>
        <v>0.96053810565317221</v>
      </c>
      <c r="AM125">
        <f t="shared" si="67"/>
        <v>832</v>
      </c>
      <c r="AN125">
        <f t="shared" si="68"/>
        <v>-416</v>
      </c>
      <c r="AO125">
        <f t="shared" si="69"/>
        <v>416</v>
      </c>
      <c r="AP125" s="16" cm="1">
        <f t="array" ref="AP125">SUMPRODUCT(1362*POWER(0.7,POWER(1/($AI$2*AK125+$AJ$2*AL125*COS(RADIANS(0.25*(_xlfn.SEQUENCE(AO125-AN125,1,AN125+1))))+0.50572*POWER(96.07995-DEGREES(ACOS($AI$2*AK125+$AJ$2*AL125*COS(RADIANS(0.25*(_xlfn.SEQUENCE(AO125-AN125,1,AN125+1)))))),-1.6364)),0.678))*IF(AL125*COS(RADIANS(0.25*(_xlfn.SEQUENCE(AO125-AN125,1,AN125+1))))&gt;0,AL125*COS(RADIANS(0.25*(_xlfn.SEQUENCE(AO125-AN125,1,AN125+1)))),0)/60)</f>
        <v>6437.3786455359332</v>
      </c>
      <c r="AQ125" s="17" cm="1">
        <f t="array" ref="AQ125">SUMPRODUCT(1362*POWER(0.7,POWER(1/($AI$2*AK125+$AJ$2*AL125*COS(RADIANS(0.25*(_xlfn.SEQUENCE(AO125-AN125,1,AN125+1))))+0.50572*POWER(96.07995-DEGREES(ACOS($AI$2*AK125+$AJ$2*AL125*COS(RADIANS(0.25*(_xlfn.SEQUENCE(AO125-AN125,1,AN125+1)))))),-1.6364)),0.678))/60)</f>
        <v>10175.616178474973</v>
      </c>
      <c r="AR125" s="15">
        <f t="shared" si="70"/>
        <v>1.5807080395265174</v>
      </c>
      <c r="AT125">
        <v>0.31169411303552219</v>
      </c>
      <c r="AU125">
        <v>71.838644696472372</v>
      </c>
      <c r="AV125">
        <v>3.180286363120699</v>
      </c>
      <c r="AW125">
        <v>623.39552962715391</v>
      </c>
    </row>
    <row r="126" spans="4:49" ht="17" x14ac:dyDescent="0.2">
      <c r="D126" s="1">
        <f t="shared" si="71"/>
        <v>46147</v>
      </c>
      <c r="E126" s="6">
        <f t="shared" si="38"/>
        <v>0.5</v>
      </c>
      <c r="F126" s="2">
        <f t="shared" si="39"/>
        <v>2461166.3333333335</v>
      </c>
      <c r="G126" s="3">
        <f t="shared" si="40"/>
        <v>0.26341775039927418</v>
      </c>
      <c r="I126">
        <f t="shared" si="41"/>
        <v>43.708282299376151</v>
      </c>
      <c r="J126">
        <f t="shared" si="42"/>
        <v>9840.3179432370634</v>
      </c>
      <c r="K126">
        <f t="shared" si="43"/>
        <v>1.6697551916451413E-2</v>
      </c>
      <c r="L126">
        <f t="shared" si="44"/>
        <v>1.6342637456693008</v>
      </c>
      <c r="M126">
        <f t="shared" si="45"/>
        <v>45.342546045045452</v>
      </c>
      <c r="N126">
        <f t="shared" si="46"/>
        <v>9841.9522069827326</v>
      </c>
      <c r="O126">
        <f t="shared" si="47"/>
        <v>1.0086350530398989</v>
      </c>
      <c r="P126">
        <f t="shared" si="48"/>
        <v>45.338834159773548</v>
      </c>
      <c r="Q126">
        <f t="shared" si="49"/>
        <v>23.43586558061503</v>
      </c>
      <c r="R126">
        <f t="shared" si="50"/>
        <v>23.438196085529011</v>
      </c>
      <c r="S126">
        <f t="shared" si="51"/>
        <v>42.873813340122354</v>
      </c>
      <c r="T126" s="19">
        <f t="shared" si="52"/>
        <v>16.434371604692235</v>
      </c>
      <c r="U126">
        <f t="shared" si="53"/>
        <v>4.3030394063286341E-2</v>
      </c>
      <c r="V126">
        <f t="shared" si="54"/>
        <v>3.3210786851985175</v>
      </c>
      <c r="W126">
        <f t="shared" si="55"/>
        <v>104.25790351591435</v>
      </c>
      <c r="X126" s="6">
        <f t="shared" si="56"/>
        <v>0.50311555646861217</v>
      </c>
      <c r="Y126" s="6">
        <f t="shared" si="57"/>
        <v>0.21351026892440561</v>
      </c>
      <c r="Z126" s="6">
        <f t="shared" si="58"/>
        <v>0.79272084401281862</v>
      </c>
      <c r="AA126" s="19">
        <f t="shared" si="59"/>
        <v>834.0632281273148</v>
      </c>
      <c r="AB126">
        <f t="shared" si="60"/>
        <v>715.51359868519853</v>
      </c>
      <c r="AC126">
        <f t="shared" si="61"/>
        <v>-1.1216003287003673</v>
      </c>
      <c r="AD126">
        <f t="shared" si="36"/>
        <v>21.188720639357296</v>
      </c>
      <c r="AE126">
        <f t="shared" si="62"/>
        <v>68.8112793606427</v>
      </c>
      <c r="AF126">
        <f t="shared" si="63"/>
        <v>6.2550751350479742E-3</v>
      </c>
      <c r="AG126">
        <f t="shared" si="64"/>
        <v>68.817534435777745</v>
      </c>
      <c r="AH126">
        <f t="shared" si="37"/>
        <v>177.02249536082331</v>
      </c>
      <c r="AK126">
        <f t="shared" si="65"/>
        <v>0.28291689622338645</v>
      </c>
      <c r="AL126">
        <f t="shared" si="66"/>
        <v>0.95914442595019322</v>
      </c>
      <c r="AM126">
        <f t="shared" si="67"/>
        <v>834</v>
      </c>
      <c r="AN126">
        <f t="shared" si="68"/>
        <v>-417</v>
      </c>
      <c r="AO126">
        <f t="shared" si="69"/>
        <v>417</v>
      </c>
      <c r="AP126" s="16" cm="1">
        <f t="array" ref="AP126">SUMPRODUCT(1362*POWER(0.7,POWER(1/($AI$2*AK126+$AJ$2*AL126*COS(RADIANS(0.25*(_xlfn.SEQUENCE(AO126-AN126,1,AN126+1))))+0.50572*POWER(96.07995-DEGREES(ACOS($AI$2*AK126+$AJ$2*AL126*COS(RADIANS(0.25*(_xlfn.SEQUENCE(AO126-AN126,1,AN126+1)))))),-1.6364)),0.678))*IF(AL126*COS(RADIANS(0.25*(_xlfn.SEQUENCE(AO126-AN126,1,AN126+1))))&gt;0,AL126*COS(RADIANS(0.25*(_xlfn.SEQUENCE(AO126-AN126,1,AN126+1)))),0)/60)</f>
        <v>6433.9407832086908</v>
      </c>
      <c r="AQ126" s="17" cm="1">
        <f t="array" ref="AQ126">SUMPRODUCT(1362*POWER(0.7,POWER(1/($AI$2*AK126+$AJ$2*AL126*COS(RADIANS(0.25*(_xlfn.SEQUENCE(AO126-AN126,1,AN126+1))))+0.50572*POWER(96.07995-DEGREES(ACOS($AI$2*AK126+$AJ$2*AL126*COS(RADIANS(0.25*(_xlfn.SEQUENCE(AO126-AN126,1,AN126+1)))))),-1.6364)),0.678))/60)</f>
        <v>10204.492992293519</v>
      </c>
      <c r="AR126" s="15">
        <f t="shared" si="70"/>
        <v>1.5860408630003593</v>
      </c>
      <c r="AT126">
        <v>0.3137826325397931</v>
      </c>
      <c r="AU126">
        <v>71.712661928630439</v>
      </c>
      <c r="AV126">
        <v>3.1595332621561134</v>
      </c>
      <c r="AW126">
        <v>625.55707347119721</v>
      </c>
    </row>
    <row r="127" spans="4:49" ht="17" x14ac:dyDescent="0.2">
      <c r="D127" s="1">
        <f t="shared" si="71"/>
        <v>46148</v>
      </c>
      <c r="E127" s="6">
        <f t="shared" si="38"/>
        <v>0.5</v>
      </c>
      <c r="F127" s="2">
        <f t="shared" si="39"/>
        <v>2461167.3333333335</v>
      </c>
      <c r="G127" s="3">
        <f t="shared" si="40"/>
        <v>0.2634451289071455</v>
      </c>
      <c r="I127">
        <f t="shared" si="41"/>
        <v>44.693929663913877</v>
      </c>
      <c r="J127">
        <f t="shared" si="42"/>
        <v>9841.3035435165693</v>
      </c>
      <c r="K127">
        <f t="shared" si="43"/>
        <v>1.6697550763713466E-2</v>
      </c>
      <c r="L127">
        <f t="shared" si="44"/>
        <v>1.6170940582308777</v>
      </c>
      <c r="M127">
        <f t="shared" si="45"/>
        <v>46.311023722144753</v>
      </c>
      <c r="N127">
        <f t="shared" si="46"/>
        <v>9842.9206375747999</v>
      </c>
      <c r="O127">
        <f t="shared" si="47"/>
        <v>1.0088775026048784</v>
      </c>
      <c r="P127">
        <f t="shared" si="48"/>
        <v>46.307315857749991</v>
      </c>
      <c r="Q127">
        <f t="shared" si="49"/>
        <v>23.435865224580855</v>
      </c>
      <c r="R127">
        <f t="shared" si="50"/>
        <v>23.438194749375644</v>
      </c>
      <c r="S127">
        <f t="shared" si="51"/>
        <v>43.841102974286912</v>
      </c>
      <c r="T127" s="19">
        <f t="shared" si="52"/>
        <v>16.714458095635756</v>
      </c>
      <c r="U127">
        <f t="shared" si="53"/>
        <v>4.3030389017622787E-2</v>
      </c>
      <c r="V127">
        <f t="shared" si="54"/>
        <v>3.3942371980253587</v>
      </c>
      <c r="W127">
        <f t="shared" si="55"/>
        <v>104.50194843189661</v>
      </c>
      <c r="X127" s="6">
        <f t="shared" si="56"/>
        <v>0.50306475194581568</v>
      </c>
      <c r="Y127" s="6">
        <f t="shared" si="57"/>
        <v>0.21278156185721397</v>
      </c>
      <c r="Z127" s="6">
        <f t="shared" si="58"/>
        <v>0.79334794203441739</v>
      </c>
      <c r="AA127" s="19">
        <f t="shared" si="59"/>
        <v>836.01558745517286</v>
      </c>
      <c r="AB127">
        <f t="shared" si="60"/>
        <v>715.58675719802545</v>
      </c>
      <c r="AC127">
        <f t="shared" si="61"/>
        <v>-1.1033107004936369</v>
      </c>
      <c r="AD127">
        <f t="shared" si="36"/>
        <v>20.9081403759869</v>
      </c>
      <c r="AE127">
        <f t="shared" si="62"/>
        <v>69.091859624013097</v>
      </c>
      <c r="AF127">
        <f t="shared" si="63"/>
        <v>6.1643859270106311E-3</v>
      </c>
      <c r="AG127">
        <f t="shared" si="64"/>
        <v>69.098024009940104</v>
      </c>
      <c r="AH127">
        <f t="shared" si="37"/>
        <v>177.03785927422473</v>
      </c>
      <c r="AK127">
        <f t="shared" si="65"/>
        <v>0.28760220894101507</v>
      </c>
      <c r="AL127">
        <f t="shared" si="66"/>
        <v>0.95774995140289554</v>
      </c>
      <c r="AM127">
        <f t="shared" si="67"/>
        <v>836</v>
      </c>
      <c r="AN127">
        <f t="shared" si="68"/>
        <v>-418</v>
      </c>
      <c r="AO127">
        <f t="shared" si="69"/>
        <v>418</v>
      </c>
      <c r="AP127" s="16" cm="1">
        <f t="array" ref="AP127">SUMPRODUCT(1362*POWER(0.7,POWER(1/($AI$2*AK127+$AJ$2*AL127*COS(RADIANS(0.25*(_xlfn.SEQUENCE(AO127-AN127,1,AN127+1))))+0.50572*POWER(96.07995-DEGREES(ACOS($AI$2*AK127+$AJ$2*AL127*COS(RADIANS(0.25*(_xlfn.SEQUENCE(AO127-AN127,1,AN127+1)))))),-1.6364)),0.678))*IF(AL127*COS(RADIANS(0.25*(_xlfn.SEQUENCE(AO127-AN127,1,AN127+1))))&gt;0,AL127*COS(RADIANS(0.25*(_xlfn.SEQUENCE(AO127-AN127,1,AN127+1)))),0)/60)</f>
        <v>6430.3116738311683</v>
      </c>
      <c r="AQ127" s="17" cm="1">
        <f t="array" ref="AQ127">SUMPRODUCT(1362*POWER(0.7,POWER(1/($AI$2*AK127+$AJ$2*AL127*COS(RADIANS(0.25*(_xlfn.SEQUENCE(AO127-AN127,1,AN127+1))))+0.50572*POWER(96.07995-DEGREES(ACOS($AI$2*AK127+$AJ$2*AL127*COS(RADIANS(0.25*(_xlfn.SEQUENCE(AO127-AN127,1,AN127+1)))))),-1.6364)),0.678))/60)</f>
        <v>10232.902927404341</v>
      </c>
      <c r="AR127" s="15">
        <f t="shared" si="70"/>
        <v>1.5913541125927408</v>
      </c>
      <c r="AT127">
        <v>0.31586064902059541</v>
      </c>
      <c r="AU127">
        <v>71.587221798814909</v>
      </c>
      <c r="AV127">
        <v>3.1391486976526508</v>
      </c>
      <c r="AW127">
        <v>627.69200669739303</v>
      </c>
    </row>
    <row r="128" spans="4:49" ht="17" x14ac:dyDescent="0.2">
      <c r="D128" s="1">
        <f t="shared" si="71"/>
        <v>46149</v>
      </c>
      <c r="E128" s="6">
        <f t="shared" si="38"/>
        <v>0.5</v>
      </c>
      <c r="F128" s="2">
        <f t="shared" si="39"/>
        <v>2461168.3333333335</v>
      </c>
      <c r="G128" s="3">
        <f t="shared" si="40"/>
        <v>0.26347250741501682</v>
      </c>
      <c r="I128">
        <f t="shared" si="41"/>
        <v>45.679577028453423</v>
      </c>
      <c r="J128">
        <f t="shared" si="42"/>
        <v>9842.289143796077</v>
      </c>
      <c r="K128">
        <f t="shared" si="43"/>
        <v>1.6697549610975328E-2</v>
      </c>
      <c r="L128">
        <f t="shared" si="44"/>
        <v>1.5994615629637048</v>
      </c>
      <c r="M128">
        <f t="shared" si="45"/>
        <v>47.279038591417127</v>
      </c>
      <c r="N128">
        <f t="shared" si="46"/>
        <v>9843.8886053590413</v>
      </c>
      <c r="O128">
        <f t="shared" si="47"/>
        <v>1.00911731396843</v>
      </c>
      <c r="P128">
        <f t="shared" si="48"/>
        <v>47.275334746206404</v>
      </c>
      <c r="Q128">
        <f t="shared" si="49"/>
        <v>23.435864868546684</v>
      </c>
      <c r="R128">
        <f t="shared" si="50"/>
        <v>23.438193411232447</v>
      </c>
      <c r="S128">
        <f t="shared" si="51"/>
        <v>44.810749334895327</v>
      </c>
      <c r="T128" s="19">
        <f t="shared" si="52"/>
        <v>16.989902734346497</v>
      </c>
      <c r="U128">
        <f t="shared" si="53"/>
        <v>4.3030383964445418E-2</v>
      </c>
      <c r="V128">
        <f t="shared" si="54"/>
        <v>3.4579922445425146</v>
      </c>
      <c r="W128">
        <f t="shared" si="55"/>
        <v>104.7429386638001</v>
      </c>
      <c r="X128" s="6">
        <f t="shared" si="56"/>
        <v>0.50302047760795654</v>
      </c>
      <c r="Y128" s="6">
        <f t="shared" si="57"/>
        <v>0.21206787020851181</v>
      </c>
      <c r="Z128" s="6">
        <f t="shared" si="58"/>
        <v>0.79397308500740127</v>
      </c>
      <c r="AA128" s="19">
        <f t="shared" si="59"/>
        <v>837.94350931040083</v>
      </c>
      <c r="AB128">
        <f t="shared" si="60"/>
        <v>715.6505122445426</v>
      </c>
      <c r="AC128">
        <f t="shared" si="61"/>
        <v>-1.0873719388643508</v>
      </c>
      <c r="AD128">
        <f t="shared" si="36"/>
        <v>20.632295570778556</v>
      </c>
      <c r="AE128">
        <f t="shared" si="62"/>
        <v>69.367704429221448</v>
      </c>
      <c r="AF128">
        <f t="shared" si="63"/>
        <v>6.0755561491730231E-3</v>
      </c>
      <c r="AG128">
        <f t="shared" si="64"/>
        <v>69.373779985370618</v>
      </c>
      <c r="AH128">
        <f t="shared" si="37"/>
        <v>177.04766251350156</v>
      </c>
      <c r="AK128">
        <f t="shared" si="65"/>
        <v>0.29220317008844693</v>
      </c>
      <c r="AL128">
        <f t="shared" si="66"/>
        <v>0.95635626593349732</v>
      </c>
      <c r="AM128">
        <f t="shared" si="67"/>
        <v>838</v>
      </c>
      <c r="AN128">
        <f t="shared" si="68"/>
        <v>-419</v>
      </c>
      <c r="AO128">
        <f t="shared" si="69"/>
        <v>419</v>
      </c>
      <c r="AP128" s="16" cm="1">
        <f t="array" ref="AP128">SUMPRODUCT(1362*POWER(0.7,POWER(1/($AI$2*AK128+$AJ$2*AL128*COS(RADIANS(0.25*(_xlfn.SEQUENCE(AO128-AN128,1,AN128+1))))+0.50572*POWER(96.07995-DEGREES(ACOS($AI$2*AK128+$AJ$2*AL128*COS(RADIANS(0.25*(_xlfn.SEQUENCE(AO128-AN128,1,AN128+1)))))),-1.6364)),0.678))*IF(AL128*COS(RADIANS(0.25*(_xlfn.SEQUENCE(AO128-AN128,1,AN128+1))))&gt;0,AL128*COS(RADIANS(0.25*(_xlfn.SEQUENCE(AO128-AN128,1,AN128+1)))),0)/60)</f>
        <v>6426.5052401106841</v>
      </c>
      <c r="AQ128" s="17" cm="1">
        <f t="array" ref="AQ128">SUMPRODUCT(1362*POWER(0.7,POWER(1/($AI$2*AK128+$AJ$2*AL128*COS(RADIANS(0.25*(_xlfn.SEQUENCE(AO128-AN128,1,AN128+1))))+0.50572*POWER(96.07995-DEGREES(ACOS($AI$2*AK128+$AJ$2*AL128*COS(RADIANS(0.25*(_xlfn.SEQUENCE(AO128-AN128,1,AN128+1)))))),-1.6364)),0.678))/60)</f>
        <v>10260.839302492335</v>
      </c>
      <c r="AR128" s="15">
        <f t="shared" si="70"/>
        <v>1.5966437307869701</v>
      </c>
      <c r="AT128">
        <v>0.31792812291549066</v>
      </c>
      <c r="AU128">
        <v>71.462327279344009</v>
      </c>
      <c r="AV128">
        <v>3.1191241316824843</v>
      </c>
      <c r="AW128">
        <v>629.80070334665152</v>
      </c>
    </row>
    <row r="129" spans="4:49" ht="17" x14ac:dyDescent="0.2">
      <c r="D129" s="1">
        <f t="shared" si="71"/>
        <v>46150</v>
      </c>
      <c r="E129" s="6">
        <f t="shared" si="38"/>
        <v>0.5</v>
      </c>
      <c r="F129" s="2">
        <f t="shared" si="39"/>
        <v>2461169.3333333335</v>
      </c>
      <c r="G129" s="3">
        <f t="shared" si="40"/>
        <v>0.26349988592288814</v>
      </c>
      <c r="I129">
        <f t="shared" si="41"/>
        <v>46.665224392992968</v>
      </c>
      <c r="J129">
        <f t="shared" si="42"/>
        <v>9843.2747440755866</v>
      </c>
      <c r="K129">
        <f t="shared" si="43"/>
        <v>1.6697548458237E-2</v>
      </c>
      <c r="L129">
        <f t="shared" si="44"/>
        <v>1.5813717134130418</v>
      </c>
      <c r="M129">
        <f t="shared" si="45"/>
        <v>48.24659610640601</v>
      </c>
      <c r="N129">
        <f t="shared" si="46"/>
        <v>9844.8561157889999</v>
      </c>
      <c r="O129">
        <f t="shared" si="47"/>
        <v>1.0093544199560986</v>
      </c>
      <c r="P129">
        <f t="shared" si="48"/>
        <v>48.242896278682807</v>
      </c>
      <c r="Q129">
        <f t="shared" si="49"/>
        <v>23.435864512512513</v>
      </c>
      <c r="R129">
        <f t="shared" si="50"/>
        <v>23.438192071100264</v>
      </c>
      <c r="S129">
        <f t="shared" si="51"/>
        <v>45.782764326567538</v>
      </c>
      <c r="T129" s="19">
        <f t="shared" si="52"/>
        <v>17.260621419736513</v>
      </c>
      <c r="U129">
        <f t="shared" si="53"/>
        <v>4.3030378903757445E-2</v>
      </c>
      <c r="V129">
        <f t="shared" si="54"/>
        <v>3.512295123389193</v>
      </c>
      <c r="W129">
        <f t="shared" si="55"/>
        <v>104.9807718483525</v>
      </c>
      <c r="X129" s="6">
        <f t="shared" si="56"/>
        <v>0.50298276727542424</v>
      </c>
      <c r="Y129" s="6">
        <f t="shared" si="57"/>
        <v>0.21136951214111169</v>
      </c>
      <c r="Z129" s="6">
        <f t="shared" si="58"/>
        <v>0.7945960224097367</v>
      </c>
      <c r="AA129" s="19">
        <f t="shared" si="59"/>
        <v>839.84617478682003</v>
      </c>
      <c r="AB129">
        <f t="shared" si="60"/>
        <v>715.70481512338915</v>
      </c>
      <c r="AC129">
        <f t="shared" si="61"/>
        <v>-1.0737962191527117</v>
      </c>
      <c r="AD129">
        <f t="shared" si="36"/>
        <v>20.361269856446381</v>
      </c>
      <c r="AE129">
        <f t="shared" si="62"/>
        <v>69.638730143553616</v>
      </c>
      <c r="AF129">
        <f t="shared" si="63"/>
        <v>5.9885900874958996E-3</v>
      </c>
      <c r="AG129">
        <f t="shared" si="64"/>
        <v>69.644718733641113</v>
      </c>
      <c r="AH129">
        <f t="shared" si="37"/>
        <v>177.05168960102037</v>
      </c>
      <c r="AK129">
        <f t="shared" si="65"/>
        <v>0.29671861027855306</v>
      </c>
      <c r="AL129">
        <f t="shared" si="66"/>
        <v>0.95496495554253935</v>
      </c>
      <c r="AM129">
        <f t="shared" si="67"/>
        <v>840</v>
      </c>
      <c r="AN129">
        <f t="shared" si="68"/>
        <v>-420</v>
      </c>
      <c r="AO129">
        <f t="shared" si="69"/>
        <v>420</v>
      </c>
      <c r="AP129" s="16" cm="1">
        <f t="array" ref="AP129">SUMPRODUCT(1362*POWER(0.7,POWER(1/($AI$2*AK129+$AJ$2*AL129*COS(RADIANS(0.25*(_xlfn.SEQUENCE(AO129-AN129,1,AN129+1))))+0.50572*POWER(96.07995-DEGREES(ACOS($AI$2*AK129+$AJ$2*AL129*COS(RADIANS(0.25*(_xlfn.SEQUENCE(AO129-AN129,1,AN129+1)))))),-1.6364)),0.678))*IF(AL129*COS(RADIANS(0.25*(_xlfn.SEQUENCE(AO129-AN129,1,AN129+1))))&gt;0,AL129*COS(RADIANS(0.25*(_xlfn.SEQUENCE(AO129-AN129,1,AN129+1)))),0)/60)</f>
        <v>6422.5354050413744</v>
      </c>
      <c r="AQ129" s="17" cm="1">
        <f t="array" ref="AQ129">SUMPRODUCT(1362*POWER(0.7,POWER(1/($AI$2*AK129+$AJ$2*AL129*COS(RADIANS(0.25*(_xlfn.SEQUENCE(AO129-AN129,1,AN129+1))))+0.50572*POWER(96.07995-DEGREES(ACOS($AI$2*AK129+$AJ$2*AL129*COS(RADIANS(0.25*(_xlfn.SEQUENCE(AO129-AN129,1,AN129+1)))))),-1.6364)),0.678))/60)</f>
        <v>10288.295350156108</v>
      </c>
      <c r="AR129" s="15">
        <f t="shared" si="70"/>
        <v>1.6019055873293127</v>
      </c>
      <c r="AT129">
        <v>0.31998501486275621</v>
      </c>
      <c r="AU129">
        <v>71.337981349940804</v>
      </c>
      <c r="AV129">
        <v>3.0994512944635102</v>
      </c>
      <c r="AW129">
        <v>631.88352975143528</v>
      </c>
    </row>
    <row r="130" spans="4:49" ht="17" x14ac:dyDescent="0.2">
      <c r="D130" s="1">
        <f t="shared" si="71"/>
        <v>46151</v>
      </c>
      <c r="E130" s="6">
        <f t="shared" si="38"/>
        <v>0.5</v>
      </c>
      <c r="F130" s="2">
        <f t="shared" si="39"/>
        <v>2461170.3333333335</v>
      </c>
      <c r="G130" s="3">
        <f t="shared" si="40"/>
        <v>0.26352726443075947</v>
      </c>
      <c r="I130">
        <f t="shared" si="41"/>
        <v>47.650871757530695</v>
      </c>
      <c r="J130">
        <f t="shared" si="42"/>
        <v>9844.2603443550925</v>
      </c>
      <c r="K130">
        <f t="shared" si="43"/>
        <v>1.6697547305498484E-2</v>
      </c>
      <c r="L130">
        <f t="shared" si="44"/>
        <v>1.5628300797286228</v>
      </c>
      <c r="M130">
        <f t="shared" si="45"/>
        <v>49.213701837259315</v>
      </c>
      <c r="N130">
        <f t="shared" si="46"/>
        <v>9845.8231744348213</v>
      </c>
      <c r="O130">
        <f t="shared" si="47"/>
        <v>1.0095887542462256</v>
      </c>
      <c r="P130">
        <f t="shared" si="48"/>
        <v>49.210006025323672</v>
      </c>
      <c r="Q130">
        <f t="shared" si="49"/>
        <v>23.435864156478338</v>
      </c>
      <c r="R130">
        <f t="shared" si="50"/>
        <v>23.438190728979929</v>
      </c>
      <c r="S130">
        <f t="shared" si="51"/>
        <v>46.757156796523212</v>
      </c>
      <c r="T130" s="19">
        <f t="shared" si="52"/>
        <v>17.526530829101109</v>
      </c>
      <c r="U130">
        <f t="shared" si="53"/>
        <v>4.3030373835562005E-2</v>
      </c>
      <c r="V130">
        <f t="shared" si="54"/>
        <v>3.5571094264941969</v>
      </c>
      <c r="W130">
        <f t="shared" si="55"/>
        <v>105.21534410752456</v>
      </c>
      <c r="X130" s="6">
        <f t="shared" si="56"/>
        <v>0.50295164623160116</v>
      </c>
      <c r="Y130" s="6">
        <f t="shared" si="57"/>
        <v>0.21068680148847735</v>
      </c>
      <c r="Z130" s="6">
        <f t="shared" si="58"/>
        <v>0.79521649097472491</v>
      </c>
      <c r="AA130" s="19">
        <f t="shared" si="59"/>
        <v>841.72275286019647</v>
      </c>
      <c r="AB130">
        <f t="shared" si="60"/>
        <v>715.74962942649427</v>
      </c>
      <c r="AC130">
        <f t="shared" si="61"/>
        <v>-1.0625926433764334</v>
      </c>
      <c r="AD130">
        <f t="shared" ref="AD130:AD193" si="72">DEGREES(ACOS(SIN(RADIANS($B$2))*SIN(RADIANS(T130))+COS(RADIANS($B$2))*COS(RADIANS(T130))*COS(RADIANS(AC130))))</f>
        <v>20.095146467946439</v>
      </c>
      <c r="AE130">
        <f t="shared" si="62"/>
        <v>69.904853532053565</v>
      </c>
      <c r="AF130">
        <f t="shared" si="63"/>
        <v>5.9034924782236011E-3</v>
      </c>
      <c r="AG130">
        <f t="shared" si="64"/>
        <v>69.91075702453179</v>
      </c>
      <c r="AH130">
        <f t="shared" ref="AH130:AH193" si="73">IF(AC130&gt;0,MOD(DEGREES(ACOS(((SIN(RADIANS($B$2))*COS(RADIANS(AD130)))-SIN(RADIANS(T130)))/(COS(RADIANS($B$2))*SIN(RADIANS(AD130)))))+180,360),MOD(540-DEGREES(ACOS(((SIN(RADIANS($B$2))*COS(RADIANS(AD130)))-SIN(RADIANS(T130)))/(COS(RADIANS($B$2))*SIN(RADIANS(AD130))))),360))</f>
        <v>177.04972954395885</v>
      </c>
      <c r="AK130">
        <f t="shared" si="65"/>
        <v>0.30114738619076564</v>
      </c>
      <c r="AL130">
        <f t="shared" si="66"/>
        <v>0.95357760659029212</v>
      </c>
      <c r="AM130">
        <f t="shared" si="67"/>
        <v>842</v>
      </c>
      <c r="AN130">
        <f t="shared" si="68"/>
        <v>-421</v>
      </c>
      <c r="AO130">
        <f t="shared" si="69"/>
        <v>421</v>
      </c>
      <c r="AP130" s="16" cm="1">
        <f t="array" ref="AP130">SUMPRODUCT(1362*POWER(0.7,POWER(1/($AI$2*AK130+$AJ$2*AL130*COS(RADIANS(0.25*(_xlfn.SEQUENCE(AO130-AN130,1,AN130+1))))+0.50572*POWER(96.07995-DEGREES(ACOS($AI$2*AK130+$AJ$2*AL130*COS(RADIANS(0.25*(_xlfn.SEQUENCE(AO130-AN130,1,AN130+1)))))),-1.6364)),0.678))*IF(AL130*COS(RADIANS(0.25*(_xlfn.SEQUENCE(AO130-AN130,1,AN130+1))))&gt;0,AL130*COS(RADIANS(0.25*(_xlfn.SEQUENCE(AO130-AN130,1,AN130+1)))),0)/60)</f>
        <v>6418.4160772180549</v>
      </c>
      <c r="AQ130" s="17" cm="1">
        <f t="array" ref="AQ130">SUMPRODUCT(1362*POWER(0.7,POWER(1/($AI$2*AK130+$AJ$2*AL130*COS(RADIANS(0.25*(_xlfn.SEQUENCE(AO130-AN130,1,AN130+1))))+0.50572*POWER(96.07995-DEGREES(ACOS($AI$2*AK130+$AJ$2*AL130*COS(RADIANS(0.25*(_xlfn.SEQUENCE(AO130-AN130,1,AN130+1)))))),-1.6364)),0.678))/60)</f>
        <v>10315.264219587601</v>
      </c>
      <c r="AR130" s="15">
        <f t="shared" si="70"/>
        <v>1.6071354825688653</v>
      </c>
      <c r="AT130">
        <v>0.32203128570213424</v>
      </c>
      <c r="AU130">
        <v>71.214186997574302</v>
      </c>
      <c r="AV130">
        <v>3.0801221740836549</v>
      </c>
      <c r="AW130">
        <v>633.94084471786618</v>
      </c>
    </row>
    <row r="131" spans="4:49" ht="17" x14ac:dyDescent="0.2">
      <c r="D131" s="1">
        <f t="shared" si="71"/>
        <v>46152</v>
      </c>
      <c r="E131" s="6">
        <f t="shared" ref="E131:E194" si="74">$B$5</f>
        <v>0.5</v>
      </c>
      <c r="F131" s="2">
        <f t="shared" ref="F131:F194" si="75">D131+2415018.5+E131-$B$4/24</f>
        <v>2461171.3333333335</v>
      </c>
      <c r="G131" s="3">
        <f t="shared" ref="G131:G194" si="76">(F131-2451545)/36525</f>
        <v>0.26355464293863073</v>
      </c>
      <c r="I131">
        <f t="shared" ref="I131:I194" si="77">MOD(280.46646+G131*(36000.76983 + G131*0.0003032),360)</f>
        <v>48.63651912207024</v>
      </c>
      <c r="J131">
        <f t="shared" ref="J131:J194" si="78">357.52911+G131*(35999.05029 - 0.0001537*G131)</f>
        <v>9845.2459446345965</v>
      </c>
      <c r="K131">
        <f t="shared" ref="K131:K194" si="79">0.016708634-G131*(0.000042037+0.0000001267*G131)</f>
        <v>1.6697546152759778E-2</v>
      </c>
      <c r="L131">
        <f t="shared" ref="L131:L194" si="80">SIN(RADIANS(J131))*(1.914602-G131*(0.004817+0.000014*G131))+SIN(RADIANS(2*J131))*(0.019993-0.000101*G131)+SIN(RADIANS(3*J131))*0.000289</f>
        <v>1.5438423468107385</v>
      </c>
      <c r="M131">
        <f t="shared" ref="M131:M194" si="81">I131+L131</f>
        <v>50.180361468880982</v>
      </c>
      <c r="N131">
        <f t="shared" ref="N131:N194" si="82">J131+L131</f>
        <v>9846.7897869814078</v>
      </c>
      <c r="O131">
        <f t="shared" ref="O131:O194" si="83">(1.000001018*(1-K131*K131))/(1+K131*COS(RADIANS(N131)))</f>
        <v>1.0098202513851049</v>
      </c>
      <c r="P131">
        <f t="shared" ref="P131:P194" si="84">M131-0.00569-0.00478*SIN(RADIANS(125.04-1934.136*G131))</f>
        <v>50.176669671029501</v>
      </c>
      <c r="Q131">
        <f t="shared" ref="Q131:Q194" si="85">23+(26+((21.448-G131*(46.815+G131*(0.00059-G131*0.001813))))/60)/60</f>
        <v>23.435863800444167</v>
      </c>
      <c r="R131">
        <f t="shared" ref="R131:R194" si="86">Q131+0.00256*COS(RADIANS(125.04-1934.136*G131))</f>
        <v>23.438189384872288</v>
      </c>
      <c r="S131">
        <f t="shared" ref="S131:S194" si="87">DEGREES(ATAN2(COS(RADIANS(P131)),COS(RADIANS(R131))*SIN(RADIANS(P131))))</f>
        <v>47.733932484800008</v>
      </c>
      <c r="T131" s="19">
        <f t="shared" ref="T131:T194" si="88">DEGREES(ASIN(SIN(RADIANS(R131))*SIN(RADIANS(P131))))</f>
        <v>17.78754846341204</v>
      </c>
      <c r="U131">
        <f t="shared" ref="U131:U194" si="89">TAN(RADIANS(R131/2))*TAN(RADIANS(R131/2))</f>
        <v>4.3030368759862297E-2</v>
      </c>
      <c r="V131">
        <f t="shared" ref="V131:V194" si="90">4*DEGREES(U131*SIN(2*RADIANS(I131))-2*K131*SIN(RADIANS(J131))+4*K131*U131*SIN(RADIANS(J131))*COS(2*RADIANS(I131))-0.5*U131*U131*SIN(4*RADIANS(I131))-1.25*K131*K131*SIN(2*RADIANS(J131)))</f>
        <v>3.5924112543993432</v>
      </c>
      <c r="W131">
        <f t="shared" ref="W131:W194" si="91">DEGREES(ACOS(COS(RADIANS(90.833))/(COS(RADIANS($B$2))*COS(RADIANS(T131)))-TAN(RADIANS($B$2))*TAN(RADIANS(T131))))</f>
        <v>105.4465501386258</v>
      </c>
      <c r="X131" s="6">
        <f t="shared" ref="X131:X194" si="92">(720-4*$B$3-V131+$B$4*60)/1440</f>
        <v>0.50292713107333376</v>
      </c>
      <c r="Y131" s="6">
        <f t="shared" ref="Y131:Y194" si="93">(X131*1440-W131*4)/1440</f>
        <v>0.2100200473549288</v>
      </c>
      <c r="Z131" s="6">
        <f t="shared" ref="Z131:Z194" si="94">(X131*1440+W131*4)/1440</f>
        <v>0.79583421479173877</v>
      </c>
      <c r="AA131" s="19">
        <f t="shared" ref="AA131:AA194" si="95">8*W131</f>
        <v>843.57240110900636</v>
      </c>
      <c r="AB131">
        <f t="shared" ref="AB131:AB194" si="96">MOD(E131*1440+V131+4*$B$3-60*$B$4,1440)</f>
        <v>715.78493125439945</v>
      </c>
      <c r="AC131">
        <f t="shared" ref="AC131:AC194" si="97">IF(AB131/4&lt;0,AB131/4+180,AB131/4-180)</f>
        <v>-1.0537671864001368</v>
      </c>
      <c r="AD131">
        <f t="shared" si="72"/>
        <v>19.834008229309031</v>
      </c>
      <c r="AE131">
        <f t="shared" ref="AE131:AE194" si="98">90-AD131</f>
        <v>70.165991770690965</v>
      </c>
      <c r="AF131">
        <f t="shared" ref="AF131:AF194" si="99">IF(AE131&gt;85,0,IF(AE131&gt;5,58.1/TAN(RADIANS(AE131))-0.07/POWER(TAN(RADIANS(AE131)),3)+0.000086/POWER(TAN(RADIANS(AE131)),5),IF(AE131&gt;-0.575,1735+AE131*(-518.2+AE131*(103.4+AE131*(-12.79+AE131*0.711))),-20.772/TAN(RADIANS(AE131)))))/3600</f>
        <v>5.820268499871782E-3</v>
      </c>
      <c r="AG131">
        <f t="shared" ref="AG131:AG194" si="100">AE131+AF131</f>
        <v>70.17181203919084</v>
      </c>
      <c r="AH131">
        <f t="shared" si="73"/>
        <v>177.04157687086661</v>
      </c>
      <c r="AK131">
        <f t="shared" ref="AK131:AK194" si="101">SIN(RADIANS(T131))</f>
        <v>0.30548838069086309</v>
      </c>
      <c r="AL131">
        <f t="shared" ref="AL131:AL194" si="102">COS(RADIANS(T131))</f>
        <v>0.95219580405653659</v>
      </c>
      <c r="AM131">
        <f t="shared" ref="AM131:AM194" si="103">ROUND(AA131,0)</f>
        <v>844</v>
      </c>
      <c r="AN131">
        <f t="shared" ref="AN131:AN194" si="104">-AM131/2</f>
        <v>-422</v>
      </c>
      <c r="AO131">
        <f t="shared" ref="AO131:AO194" si="105">AM131/2</f>
        <v>422</v>
      </c>
      <c r="AP131" s="16" cm="1">
        <f t="array" ref="AP131">SUMPRODUCT(1362*POWER(0.7,POWER(1/($AI$2*AK131+$AJ$2*AL131*COS(RADIANS(0.25*(_xlfn.SEQUENCE(AO131-AN131,1,AN131+1))))+0.50572*POWER(96.07995-DEGREES(ACOS($AI$2*AK131+$AJ$2*AL131*COS(RADIANS(0.25*(_xlfn.SEQUENCE(AO131-AN131,1,AN131+1)))))),-1.6364)),0.678))*IF(AL131*COS(RADIANS(0.25*(_xlfn.SEQUENCE(AO131-AN131,1,AN131+1))))&gt;0,AL131*COS(RADIANS(0.25*(_xlfn.SEQUENCE(AO131-AN131,1,AN131+1)))),0)/60)</f>
        <v>6414.1611360227098</v>
      </c>
      <c r="AQ131" s="17" cm="1">
        <f t="array" ref="AQ131">SUMPRODUCT(1362*POWER(0.7,POWER(1/($AI$2*AK131+$AJ$2*AL131*COS(RADIANS(0.25*(_xlfn.SEQUENCE(AO131-AN131,1,AN131+1))))+0.50572*POWER(96.07995-DEGREES(ACOS($AI$2*AK131+$AJ$2*AL131*COS(RADIANS(0.25*(_xlfn.SEQUENCE(AO131-AN131,1,AN131+1)))))),-1.6364)),0.678))/60)</f>
        <v>10341.73898028654</v>
      </c>
      <c r="AR131" s="15">
        <f t="shared" ref="AR131:AR194" si="106">AQ131/AP131</f>
        <v>1.6123291512285332</v>
      </c>
      <c r="AT131">
        <v>0.32406689647557774</v>
      </c>
      <c r="AU131">
        <v>71.09094721629657</v>
      </c>
      <c r="AV131">
        <v>3.0611290066924841</v>
      </c>
      <c r="AW131">
        <v>635.97299970311872</v>
      </c>
    </row>
    <row r="132" spans="4:49" ht="17" x14ac:dyDescent="0.2">
      <c r="D132" s="1">
        <f t="shared" ref="D132:D195" si="107">D131+1</f>
        <v>46153</v>
      </c>
      <c r="E132" s="6">
        <f t="shared" si="74"/>
        <v>0.5</v>
      </c>
      <c r="F132" s="2">
        <f t="shared" si="75"/>
        <v>2461172.3333333335</v>
      </c>
      <c r="G132" s="3">
        <f t="shared" si="76"/>
        <v>0.26358202144650206</v>
      </c>
      <c r="I132">
        <f t="shared" si="77"/>
        <v>49.622166486609785</v>
      </c>
      <c r="J132">
        <f t="shared" si="78"/>
        <v>9846.2315449141042</v>
      </c>
      <c r="K132">
        <f t="shared" si="79"/>
        <v>1.669754500002088E-2</v>
      </c>
      <c r="L132">
        <f t="shared" si="80"/>
        <v>1.5244143124444092</v>
      </c>
      <c r="M132">
        <f t="shared" si="81"/>
        <v>51.146580799054192</v>
      </c>
      <c r="N132">
        <f t="shared" si="82"/>
        <v>9847.7559592265479</v>
      </c>
      <c r="O132">
        <f t="shared" si="83"/>
        <v>1.0100488468018323</v>
      </c>
      <c r="P132">
        <f t="shared" si="84"/>
        <v>51.142893013580057</v>
      </c>
      <c r="Q132">
        <f t="shared" si="85"/>
        <v>23.435863444409996</v>
      </c>
      <c r="R132">
        <f t="shared" si="86"/>
        <v>23.438188038778186</v>
      </c>
      <c r="S132">
        <f t="shared" si="87"/>
        <v>48.713093977567759</v>
      </c>
      <c r="T132" s="19">
        <f t="shared" si="88"/>
        <v>18.043592694292144</v>
      </c>
      <c r="U132">
        <f t="shared" si="89"/>
        <v>4.3030363676661541E-2</v>
      </c>
      <c r="V132">
        <f t="shared" si="90"/>
        <v>3.6181894163951274</v>
      </c>
      <c r="W132">
        <f t="shared" si="91"/>
        <v>105.6742833134101</v>
      </c>
      <c r="X132" s="6">
        <f t="shared" si="92"/>
        <v>0.50290922957194784</v>
      </c>
      <c r="Y132" s="6">
        <f t="shared" si="93"/>
        <v>0.20936955370136426</v>
      </c>
      <c r="Z132" s="6">
        <f t="shared" si="94"/>
        <v>0.79644890544253144</v>
      </c>
      <c r="AA132" s="19">
        <f t="shared" si="95"/>
        <v>845.3942665072808</v>
      </c>
      <c r="AB132">
        <f t="shared" si="96"/>
        <v>715.81070941639518</v>
      </c>
      <c r="AC132">
        <f t="shared" si="97"/>
        <v>-1.0473226459012039</v>
      </c>
      <c r="AD132">
        <f t="shared" si="72"/>
        <v>19.57793753582245</v>
      </c>
      <c r="AE132">
        <f t="shared" si="98"/>
        <v>70.422062464177543</v>
      </c>
      <c r="AF132">
        <f t="shared" si="99"/>
        <v>5.7389237635252412E-3</v>
      </c>
      <c r="AG132">
        <f t="shared" si="100"/>
        <v>70.427801387941074</v>
      </c>
      <c r="AH132">
        <f t="shared" si="73"/>
        <v>177.02703273774659</v>
      </c>
      <c r="AK132">
        <f t="shared" si="101"/>
        <v>0.30974050294320871</v>
      </c>
      <c r="AL132">
        <f t="shared" si="102"/>
        <v>0.95082112978019584</v>
      </c>
      <c r="AM132">
        <f t="shared" si="103"/>
        <v>845</v>
      </c>
      <c r="AN132">
        <f t="shared" si="104"/>
        <v>-422.5</v>
      </c>
      <c r="AO132">
        <f t="shared" si="105"/>
        <v>422.5</v>
      </c>
      <c r="AP132" s="16" cm="1">
        <f t="array" ref="AP132">SUMPRODUCT(1362*POWER(0.7,POWER(1/($AI$2*AK132+$AJ$2*AL132*COS(RADIANS(0.25*(_xlfn.SEQUENCE(AO132-AN132,1,AN132+1))))+0.50572*POWER(96.07995-DEGREES(ACOS($AI$2*AK132+$AJ$2*AL132*COS(RADIANS(0.25*(_xlfn.SEQUENCE(AO132-AN132,1,AN132+1)))))),-1.6364)),0.678))*IF(AL132*COS(RADIANS(0.25*(_xlfn.SEQUENCE(AO132-AN132,1,AN132+1))))&gt;0,AL132*COS(RADIANS(0.25*(_xlfn.SEQUENCE(AO132-AN132,1,AN132+1)))),0)/60)</f>
        <v>6409.792375104751</v>
      </c>
      <c r="AQ132" s="17" cm="1">
        <f t="array" ref="AQ132">SUMPRODUCT(1362*POWER(0.7,POWER(1/($AI$2*AK132+$AJ$2*AL132*COS(RADIANS(0.25*(_xlfn.SEQUENCE(AO132-AN132,1,AN132+1))))+0.50572*POWER(96.07995-DEGREES(ACOS($AI$2*AK132+$AJ$2*AL132*COS(RADIANS(0.25*(_xlfn.SEQUENCE(AO132-AN132,1,AN132+1)))))),-1.6364)),0.678))/60)</f>
        <v>10367.592484294273</v>
      </c>
      <c r="AR132" s="15">
        <f t="shared" si="106"/>
        <v>1.6174615147537976</v>
      </c>
      <c r="AT132">
        <v>0.32609180842799168</v>
      </c>
      <c r="AU132">
        <v>70.96826500707607</v>
      </c>
      <c r="AV132">
        <v>3.0424642671356907</v>
      </c>
      <c r="AW132">
        <v>637.98033898820881</v>
      </c>
    </row>
    <row r="133" spans="4:49" ht="17" x14ac:dyDescent="0.2">
      <c r="D133" s="1">
        <f t="shared" si="107"/>
        <v>46154</v>
      </c>
      <c r="E133" s="6">
        <f t="shared" si="74"/>
        <v>0.5</v>
      </c>
      <c r="F133" s="2">
        <f t="shared" si="75"/>
        <v>2461173.3333333335</v>
      </c>
      <c r="G133" s="3">
        <f t="shared" si="76"/>
        <v>0.26360939995437338</v>
      </c>
      <c r="I133">
        <f t="shared" si="77"/>
        <v>50.60781385115115</v>
      </c>
      <c r="J133">
        <f t="shared" si="78"/>
        <v>9847.2171451936101</v>
      </c>
      <c r="K133">
        <f t="shared" si="79"/>
        <v>1.6697543847281792E-2</v>
      </c>
      <c r="L133">
        <f t="shared" si="80"/>
        <v>1.5045518854227089</v>
      </c>
      <c r="M133">
        <f t="shared" si="81"/>
        <v>52.112365736573857</v>
      </c>
      <c r="N133">
        <f t="shared" si="82"/>
        <v>9848.7216970790323</v>
      </c>
      <c r="O133">
        <f t="shared" si="83"/>
        <v>1.0102744768228549</v>
      </c>
      <c r="P133">
        <f t="shared" si="84"/>
        <v>52.10868196176682</v>
      </c>
      <c r="Q133">
        <f t="shared" si="85"/>
        <v>23.435863088375825</v>
      </c>
      <c r="R133">
        <f t="shared" si="86"/>
        <v>23.438186690698469</v>
      </c>
      <c r="S133">
        <f t="shared" si="87"/>
        <v>49.69464066385455</v>
      </c>
      <c r="T133" s="19">
        <f t="shared" si="88"/>
        <v>18.29458281262475</v>
      </c>
      <c r="U133">
        <f t="shared" si="89"/>
        <v>4.3030358585962922E-2</v>
      </c>
      <c r="V133">
        <f t="shared" si="90"/>
        <v>3.6344456142268107</v>
      </c>
      <c r="W133">
        <f t="shared" si="91"/>
        <v>105.89843578631439</v>
      </c>
      <c r="X133" s="6">
        <f t="shared" si="92"/>
        <v>0.50289794054567583</v>
      </c>
      <c r="Y133" s="6">
        <f t="shared" si="93"/>
        <v>0.20873561891702477</v>
      </c>
      <c r="Z133" s="6">
        <f t="shared" si="94"/>
        <v>0.79706026217432691</v>
      </c>
      <c r="AA133" s="19">
        <f t="shared" si="95"/>
        <v>847.18748629051515</v>
      </c>
      <c r="AB133">
        <f t="shared" si="96"/>
        <v>715.82696561422676</v>
      </c>
      <c r="AC133">
        <f t="shared" si="97"/>
        <v>-1.0432585964433088</v>
      </c>
      <c r="AD133">
        <f t="shared" si="72"/>
        <v>19.327016331074791</v>
      </c>
      <c r="AE133">
        <f t="shared" si="98"/>
        <v>70.672983668925212</v>
      </c>
      <c r="AF133">
        <f t="shared" si="99"/>
        <v>5.6594643013345601E-3</v>
      </c>
      <c r="AG133">
        <f t="shared" si="100"/>
        <v>70.678643133226544</v>
      </c>
      <c r="AH133">
        <f t="shared" si="73"/>
        <v>177.00590610298855</v>
      </c>
      <c r="AK133">
        <f t="shared" si="101"/>
        <v>0.31390268851580461</v>
      </c>
      <c r="AL133">
        <f t="shared" si="102"/>
        <v>0.9494551606803503</v>
      </c>
      <c r="AM133">
        <f t="shared" si="103"/>
        <v>847</v>
      </c>
      <c r="AN133">
        <f t="shared" si="104"/>
        <v>-423.5</v>
      </c>
      <c r="AO133">
        <f t="shared" si="105"/>
        <v>423.5</v>
      </c>
      <c r="AP133" s="16" cm="1">
        <f t="array" ref="AP133">SUMPRODUCT(1362*POWER(0.7,POWER(1/($AI$2*AK133+$AJ$2*AL133*COS(RADIANS(0.25*(_xlfn.SEQUENCE(AO133-AN133,1,AN133+1))))+0.50572*POWER(96.07995-DEGREES(ACOS($AI$2*AK133+$AJ$2*AL133*COS(RADIANS(0.25*(_xlfn.SEQUENCE(AO133-AN133,1,AN133+1)))))),-1.6364)),0.678))*IF(AL133*COS(RADIANS(0.25*(_xlfn.SEQUENCE(AO133-AN133,1,AN133+1))))&gt;0,AL133*COS(RADIANS(0.25*(_xlfn.SEQUENCE(AO133-AN133,1,AN133+1)))),0)/60)</f>
        <v>6405.3077162703057</v>
      </c>
      <c r="AQ133" s="17" cm="1">
        <f t="array" ref="AQ133">SUMPRODUCT(1362*POWER(0.7,POWER(1/($AI$2*AK133+$AJ$2*AL133*COS(RADIANS(0.25*(_xlfn.SEQUENCE(AO133-AN133,1,AN133+1))))+0.50572*POWER(96.07995-DEGREES(ACOS($AI$2*AK133+$AJ$2*AL133*COS(RADIANS(0.25*(_xlfn.SEQUENCE(AO133-AN133,1,AN133+1)))))),-1.6364)),0.678))/60)</f>
        <v>10393.060817980886</v>
      </c>
      <c r="AR133" s="15">
        <f t="shared" si="106"/>
        <v>1.6225701056611495</v>
      </c>
      <c r="AT133">
        <v>0.32810598300797156</v>
      </c>
      <c r="AU133">
        <v>70.846143377627115</v>
      </c>
      <c r="AV133">
        <v>3.0241206600094319</v>
      </c>
      <c r="AW133">
        <v>639.96319984628758</v>
      </c>
    </row>
    <row r="134" spans="4:49" ht="17" x14ac:dyDescent="0.2">
      <c r="D134" s="1">
        <f t="shared" si="107"/>
        <v>46155</v>
      </c>
      <c r="E134" s="6">
        <f t="shared" si="74"/>
        <v>0.5</v>
      </c>
      <c r="F134" s="2">
        <f t="shared" si="75"/>
        <v>2461174.3333333335</v>
      </c>
      <c r="G134" s="3">
        <f t="shared" si="76"/>
        <v>0.2636367784622447</v>
      </c>
      <c r="I134">
        <f t="shared" si="77"/>
        <v>51.593461215692514</v>
      </c>
      <c r="J134">
        <f t="shared" si="78"/>
        <v>9848.202745473116</v>
      </c>
      <c r="K134">
        <f t="shared" si="79"/>
        <v>1.6697542694542516E-2</v>
      </c>
      <c r="L134">
        <f t="shared" si="80"/>
        <v>1.4842610836584349</v>
      </c>
      <c r="M134">
        <f t="shared" si="81"/>
        <v>53.077722299350953</v>
      </c>
      <c r="N134">
        <f t="shared" si="82"/>
        <v>9849.6870065567746</v>
      </c>
      <c r="O134">
        <f t="shared" si="83"/>
        <v>1.0104970786862344</v>
      </c>
      <c r="P134">
        <f t="shared" si="84"/>
        <v>53.074042533497341</v>
      </c>
      <c r="Q134">
        <f t="shared" si="85"/>
        <v>23.435862732341654</v>
      </c>
      <c r="R134">
        <f t="shared" si="86"/>
        <v>23.438185340633979</v>
      </c>
      <c r="S134">
        <f t="shared" si="87"/>
        <v>50.678568695929229</v>
      </c>
      <c r="T134" s="19">
        <f t="shared" si="88"/>
        <v>18.540439078723139</v>
      </c>
      <c r="U134">
        <f t="shared" si="89"/>
        <v>4.3030353487769589E-2</v>
      </c>
      <c r="V134">
        <f t="shared" si="90"/>
        <v>3.6411946081676114</v>
      </c>
      <c r="W134">
        <f t="shared" si="91"/>
        <v>106.11889861189967</v>
      </c>
      <c r="X134" s="6">
        <f t="shared" si="92"/>
        <v>0.50289325374432803</v>
      </c>
      <c r="Y134" s="6">
        <f t="shared" si="93"/>
        <v>0.20811853537794009</v>
      </c>
      <c r="Z134" s="6">
        <f t="shared" si="94"/>
        <v>0.79766797211071605</v>
      </c>
      <c r="AA134" s="19">
        <f t="shared" si="95"/>
        <v>848.95118889519733</v>
      </c>
      <c r="AB134">
        <f t="shared" si="96"/>
        <v>715.83371460816761</v>
      </c>
      <c r="AC134">
        <f t="shared" si="97"/>
        <v>-1.0415713479580972</v>
      </c>
      <c r="AD134">
        <f t="shared" si="72"/>
        <v>19.081326078371806</v>
      </c>
      <c r="AE134">
        <f t="shared" si="98"/>
        <v>70.918673921628198</v>
      </c>
      <c r="AF134">
        <f t="shared" si="99"/>
        <v>5.5818965531035285E-3</v>
      </c>
      <c r="AG134">
        <f t="shared" si="100"/>
        <v>70.924255818181308</v>
      </c>
      <c r="AH134">
        <f t="shared" si="73"/>
        <v>176.97801496966838</v>
      </c>
      <c r="AK134">
        <f t="shared" si="101"/>
        <v>0.31797389947818555</v>
      </c>
      <c r="AL134">
        <f t="shared" si="102"/>
        <v>0.94809946696042224</v>
      </c>
      <c r="AM134">
        <f t="shared" si="103"/>
        <v>849</v>
      </c>
      <c r="AN134">
        <f t="shared" si="104"/>
        <v>-424.5</v>
      </c>
      <c r="AO134">
        <f t="shared" si="105"/>
        <v>424.5</v>
      </c>
      <c r="AP134" s="16" cm="1">
        <f t="array" ref="AP134">SUMPRODUCT(1362*POWER(0.7,POWER(1/($AI$2*AK134+$AJ$2*AL134*COS(RADIANS(0.25*(_xlfn.SEQUENCE(AO134-AN134,1,AN134+1))))+0.50572*POWER(96.07995-DEGREES(ACOS($AI$2*AK134+$AJ$2*AL134*COS(RADIANS(0.25*(_xlfn.SEQUENCE(AO134-AN134,1,AN134+1)))))),-1.6364)),0.678))*IF(AL134*COS(RADIANS(0.25*(_xlfn.SEQUENCE(AO134-AN134,1,AN134+1))))&gt;0,AL134*COS(RADIANS(0.25*(_xlfn.SEQUENCE(AO134-AN134,1,AN134+1)))),0)/60)</f>
        <v>6400.7287545663366</v>
      </c>
      <c r="AQ134" s="17" cm="1">
        <f t="array" ref="AQ134">SUMPRODUCT(1362*POWER(0.7,POWER(1/($AI$2*AK134+$AJ$2*AL134*COS(RADIANS(0.25*(_xlfn.SEQUENCE(AO134-AN134,1,AN134+1))))+0.50572*POWER(96.07995-DEGREES(ACOS($AI$2*AK134+$AJ$2*AL134*COS(RADIANS(0.25*(_xlfn.SEQUENCE(AO134-AN134,1,AN134+1)))))),-1.6364)),0.678))/60)</f>
        <v>10418.014127593249</v>
      </c>
      <c r="AR134" s="15">
        <f t="shared" si="106"/>
        <v>1.6276293726961863</v>
      </c>
      <c r="AT134">
        <v>0.33010938186853656</v>
      </c>
      <c r="AU134">
        <v>70.724585342235486</v>
      </c>
      <c r="AV134">
        <v>3.0060911111128901</v>
      </c>
      <c r="AW134">
        <v>641.92191270654473</v>
      </c>
    </row>
    <row r="135" spans="4:49" ht="17" x14ac:dyDescent="0.2">
      <c r="D135" s="1">
        <f t="shared" si="107"/>
        <v>46156</v>
      </c>
      <c r="E135" s="6">
        <f t="shared" si="74"/>
        <v>0.5</v>
      </c>
      <c r="F135" s="2">
        <f t="shared" si="75"/>
        <v>2461175.3333333335</v>
      </c>
      <c r="G135" s="3">
        <f t="shared" si="76"/>
        <v>0.26366415697011603</v>
      </c>
      <c r="I135">
        <f t="shared" si="77"/>
        <v>52.579108580232059</v>
      </c>
      <c r="J135">
        <f t="shared" si="78"/>
        <v>9849.1883457526237</v>
      </c>
      <c r="K135">
        <f t="shared" si="79"/>
        <v>1.669754154180305E-2</v>
      </c>
      <c r="L135">
        <f t="shared" si="80"/>
        <v>1.4635480322862393</v>
      </c>
      <c r="M135">
        <f t="shared" si="81"/>
        <v>54.0426566125183</v>
      </c>
      <c r="N135">
        <f t="shared" si="82"/>
        <v>9850.6518937849105</v>
      </c>
      <c r="O135">
        <f t="shared" si="83"/>
        <v>1.0107165905556028</v>
      </c>
      <c r="P135">
        <f t="shared" si="84"/>
        <v>54.038980853901016</v>
      </c>
      <c r="Q135">
        <f t="shared" si="85"/>
        <v>23.435862376307487</v>
      </c>
      <c r="R135">
        <f t="shared" si="86"/>
        <v>23.438183988585575</v>
      </c>
      <c r="S135">
        <f t="shared" si="87"/>
        <v>51.664870953653718</v>
      </c>
      <c r="T135" s="19">
        <f t="shared" si="88"/>
        <v>18.781082773995028</v>
      </c>
      <c r="U135">
        <f t="shared" si="89"/>
        <v>4.3030348382084825E-2</v>
      </c>
      <c r="V135">
        <f t="shared" si="90"/>
        <v>3.6384643642760142</v>
      </c>
      <c r="W135">
        <f t="shared" si="91"/>
        <v>106.3355618715387</v>
      </c>
      <c r="X135" s="6">
        <f t="shared" si="92"/>
        <v>0.50289514974703053</v>
      </c>
      <c r="Y135" s="6">
        <f t="shared" si="93"/>
        <v>0.20751858899275638</v>
      </c>
      <c r="Z135" s="6">
        <f t="shared" si="94"/>
        <v>0.79827171050130474</v>
      </c>
      <c r="AA135" s="19">
        <f t="shared" si="95"/>
        <v>850.68449497230961</v>
      </c>
      <c r="AB135">
        <f t="shared" si="96"/>
        <v>715.83098436427599</v>
      </c>
      <c r="AC135">
        <f t="shared" si="97"/>
        <v>-1.0422539089310021</v>
      </c>
      <c r="AD135">
        <f t="shared" si="72"/>
        <v>18.840947726028528</v>
      </c>
      <c r="AE135">
        <f t="shared" si="98"/>
        <v>71.159052273971469</v>
      </c>
      <c r="AF135">
        <f t="shared" si="99"/>
        <v>5.5062273508525005E-3</v>
      </c>
      <c r="AG135">
        <f t="shared" si="100"/>
        <v>71.164558501322318</v>
      </c>
      <c r="AH135">
        <f t="shared" si="73"/>
        <v>176.94318769273252</v>
      </c>
      <c r="AK135">
        <f t="shared" si="101"/>
        <v>0.32195312449247165</v>
      </c>
      <c r="AL135">
        <f t="shared" si="102"/>
        <v>0.94675561029736444</v>
      </c>
      <c r="AM135">
        <f t="shared" si="103"/>
        <v>851</v>
      </c>
      <c r="AN135">
        <f t="shared" si="104"/>
        <v>-425.5</v>
      </c>
      <c r="AO135">
        <f t="shared" si="105"/>
        <v>425.5</v>
      </c>
      <c r="AP135" s="16" cm="1">
        <f t="array" ref="AP135">SUMPRODUCT(1362*POWER(0.7,POWER(1/($AI$2*AK135+$AJ$2*AL135*COS(RADIANS(0.25*(_xlfn.SEQUENCE(AO135-AN135,1,AN135+1))))+0.50572*POWER(96.07995-DEGREES(ACOS($AI$2*AK135+$AJ$2*AL135*COS(RADIANS(0.25*(_xlfn.SEQUENCE(AO135-AN135,1,AN135+1)))))),-1.6364)),0.678))*IF(AL135*COS(RADIANS(0.25*(_xlfn.SEQUENCE(AO135-AN135,1,AN135+1))))&gt;0,AL135*COS(RADIANS(0.25*(_xlfn.SEQUENCE(AO135-AN135,1,AN135+1)))),0)/60)</f>
        <v>6396.0691023011241</v>
      </c>
      <c r="AQ135" s="17" cm="1">
        <f t="array" ref="AQ135">SUMPRODUCT(1362*POWER(0.7,POWER(1/($AI$2*AK135+$AJ$2*AL135*COS(RADIANS(0.25*(_xlfn.SEQUENCE(AO135-AN135,1,AN135+1))))+0.50572*POWER(96.07995-DEGREES(ACOS($AI$2*AK135+$AJ$2*AL135*COS(RADIANS(0.25*(_xlfn.SEQUENCE(AO135-AN135,1,AN135+1)))))),-1.6364)),0.678))/60)</f>
        <v>10442.445198003014</v>
      </c>
      <c r="AR135" s="15">
        <f t="shared" si="106"/>
        <v>1.63263483101615</v>
      </c>
      <c r="AT135">
        <v>0.33210196686786009</v>
      </c>
      <c r="AU135">
        <v>70.603593921579943</v>
      </c>
      <c r="AV135">
        <v>2.9883687592786381</v>
      </c>
      <c r="AW135">
        <v>643.85680131383174</v>
      </c>
    </row>
    <row r="136" spans="4:49" ht="17" x14ac:dyDescent="0.2">
      <c r="D136" s="1">
        <f t="shared" si="107"/>
        <v>46157</v>
      </c>
      <c r="E136" s="6">
        <f t="shared" si="74"/>
        <v>0.5</v>
      </c>
      <c r="F136" s="2">
        <f t="shared" si="75"/>
        <v>2461176.3333333335</v>
      </c>
      <c r="G136" s="3">
        <f t="shared" si="76"/>
        <v>0.26369153547798735</v>
      </c>
      <c r="I136">
        <f t="shared" si="77"/>
        <v>53.564755944773424</v>
      </c>
      <c r="J136">
        <f t="shared" si="78"/>
        <v>9850.1739460321278</v>
      </c>
      <c r="K136">
        <f t="shared" si="79"/>
        <v>1.6697540389063393E-2</v>
      </c>
      <c r="L136">
        <f t="shared" si="80"/>
        <v>1.4424189617549719</v>
      </c>
      <c r="M136">
        <f t="shared" si="81"/>
        <v>55.007174906528398</v>
      </c>
      <c r="N136">
        <f t="shared" si="82"/>
        <v>9851.6163649938826</v>
      </c>
      <c r="O136">
        <f t="shared" si="83"/>
        <v>1.0109329515338279</v>
      </c>
      <c r="P136">
        <f t="shared" si="84"/>
        <v>55.003503153426919</v>
      </c>
      <c r="Q136">
        <f t="shared" si="85"/>
        <v>23.435862020273316</v>
      </c>
      <c r="R136">
        <f t="shared" si="86"/>
        <v>23.438182634554096</v>
      </c>
      <c r="S136">
        <f t="shared" si="87"/>
        <v>52.653537013080616</v>
      </c>
      <c r="T136" s="19">
        <f t="shared" si="88"/>
        <v>19.016436254018714</v>
      </c>
      <c r="U136">
        <f t="shared" si="89"/>
        <v>4.3030343268911794E-2</v>
      </c>
      <c r="V136">
        <f t="shared" si="90"/>
        <v>3.626296181706016</v>
      </c>
      <c r="W136">
        <f t="shared" si="91"/>
        <v>106.54831480934362</v>
      </c>
      <c r="X136" s="6">
        <f t="shared" si="92"/>
        <v>0.50290359987381517</v>
      </c>
      <c r="Y136" s="6">
        <f t="shared" si="93"/>
        <v>0.2069360587367495</v>
      </c>
      <c r="Z136" s="6">
        <f t="shared" si="94"/>
        <v>0.79887114101088075</v>
      </c>
      <c r="AA136" s="19">
        <f t="shared" si="95"/>
        <v>852.38651847474898</v>
      </c>
      <c r="AB136">
        <f t="shared" si="96"/>
        <v>715.8188161817061</v>
      </c>
      <c r="AC136">
        <f t="shared" si="97"/>
        <v>-1.0452959545734757</v>
      </c>
      <c r="AD136">
        <f t="shared" si="72"/>
        <v>18.605961666046007</v>
      </c>
      <c r="AE136">
        <f t="shared" si="98"/>
        <v>71.394038333954001</v>
      </c>
      <c r="AF136">
        <f t="shared" si="99"/>
        <v>5.4324639012464536E-3</v>
      </c>
      <c r="AG136">
        <f t="shared" si="100"/>
        <v>71.399470797855244</v>
      </c>
      <c r="AH136">
        <f t="shared" si="73"/>
        <v>176.90126434754927</v>
      </c>
      <c r="AK136">
        <f t="shared" si="101"/>
        <v>0.32583937889772729</v>
      </c>
      <c r="AL136">
        <f t="shared" si="102"/>
        <v>0.94542514201788774</v>
      </c>
      <c r="AM136">
        <f t="shared" si="103"/>
        <v>852</v>
      </c>
      <c r="AN136">
        <f t="shared" si="104"/>
        <v>-426</v>
      </c>
      <c r="AO136">
        <f t="shared" si="105"/>
        <v>426</v>
      </c>
      <c r="AP136" s="16" cm="1">
        <f t="array" ref="AP136">SUMPRODUCT(1362*POWER(0.7,POWER(1/($AI$2*AK136+$AJ$2*AL136*COS(RADIANS(0.25*(_xlfn.SEQUENCE(AO136-AN136,1,AN136+1))))+0.50572*POWER(96.07995-DEGREES(ACOS($AI$2*AK136+$AJ$2*AL136*COS(RADIANS(0.25*(_xlfn.SEQUENCE(AO136-AN136,1,AN136+1)))))),-1.6364)),0.678))*IF(AL136*COS(RADIANS(0.25*(_xlfn.SEQUENCE(AO136-AN136,1,AN136+1))))&gt;0,AL136*COS(RADIANS(0.25*(_xlfn.SEQUENCE(AO136-AN136,1,AN136+1)))),0)/60)</f>
        <v>6391.3340732879496</v>
      </c>
      <c r="AQ136" s="17" cm="1">
        <f t="array" ref="AQ136">SUMPRODUCT(1362*POWER(0.7,POWER(1/($AI$2*AK136+$AJ$2*AL136*COS(RADIANS(0.25*(_xlfn.SEQUENCE(AO136-AN136,1,AN136+1))))+0.50572*POWER(96.07995-DEGREES(ACOS($AI$2*AK136+$AJ$2*AL136*COS(RADIANS(0.25*(_xlfn.SEQUENCE(AO136-AN136,1,AN136+1)))))),-1.6364)),0.678))/60)</f>
        <v>10466.226731104298</v>
      </c>
      <c r="AR136" s="15">
        <f t="shared" si="106"/>
        <v>1.6375652737113249</v>
      </c>
      <c r="AT136">
        <v>0.33408370006999633</v>
      </c>
      <c r="AU136">
        <v>70.483172142549861</v>
      </c>
      <c r="AV136">
        <v>2.9709469485616062</v>
      </c>
      <c r="AW136">
        <v>645.76818288411062</v>
      </c>
    </row>
    <row r="137" spans="4:49" ht="17" x14ac:dyDescent="0.2">
      <c r="D137" s="1">
        <f t="shared" si="107"/>
        <v>46158</v>
      </c>
      <c r="E137" s="6">
        <f t="shared" si="74"/>
        <v>0.5</v>
      </c>
      <c r="F137" s="2">
        <f t="shared" si="75"/>
        <v>2461177.3333333335</v>
      </c>
      <c r="G137" s="3">
        <f t="shared" si="76"/>
        <v>0.26371891398585867</v>
      </c>
      <c r="I137">
        <f t="shared" si="77"/>
        <v>54.550403309316607</v>
      </c>
      <c r="J137">
        <f t="shared" si="78"/>
        <v>9851.1595463116337</v>
      </c>
      <c r="K137">
        <f t="shared" si="79"/>
        <v>1.6697539236323545E-2</v>
      </c>
      <c r="L137">
        <f t="shared" si="80"/>
        <v>1.4208802059108234</v>
      </c>
      <c r="M137">
        <f t="shared" si="81"/>
        <v>55.971283515227434</v>
      </c>
      <c r="N137">
        <f t="shared" si="82"/>
        <v>9852.5804265175448</v>
      </c>
      <c r="O137">
        <f t="shared" si="83"/>
        <v>1.0111461016763867</v>
      </c>
      <c r="P137">
        <f t="shared" si="84"/>
        <v>55.96761576591782</v>
      </c>
      <c r="Q137">
        <f t="shared" si="85"/>
        <v>23.435861664239145</v>
      </c>
      <c r="R137">
        <f t="shared" si="86"/>
        <v>23.438181278540402</v>
      </c>
      <c r="S137">
        <f t="shared" si="87"/>
        <v>53.644553119562751</v>
      </c>
      <c r="T137" s="19">
        <f t="shared" si="88"/>
        <v>19.246423002938222</v>
      </c>
      <c r="U137">
        <f t="shared" si="89"/>
        <v>4.3030338148253695E-2</v>
      </c>
      <c r="V137">
        <f t="shared" si="90"/>
        <v>3.6047447989850494</v>
      </c>
      <c r="W137">
        <f t="shared" si="91"/>
        <v>106.7570459772776</v>
      </c>
      <c r="X137" s="6">
        <f t="shared" si="92"/>
        <v>0.50291856611181596</v>
      </c>
      <c r="Y137" s="6">
        <f t="shared" si="93"/>
        <v>0.20637121617493376</v>
      </c>
      <c r="Z137" s="6">
        <f t="shared" si="94"/>
        <v>0.7994659160486981</v>
      </c>
      <c r="AA137" s="19">
        <f t="shared" si="95"/>
        <v>854.05636781822079</v>
      </c>
      <c r="AB137">
        <f t="shared" si="96"/>
        <v>715.797264798985</v>
      </c>
      <c r="AC137">
        <f t="shared" si="97"/>
        <v>-1.0506838002537506</v>
      </c>
      <c r="AD137">
        <f t="shared" si="72"/>
        <v>18.376447685698771</v>
      </c>
      <c r="AE137">
        <f t="shared" si="98"/>
        <v>71.623552314301236</v>
      </c>
      <c r="AF137">
        <f t="shared" si="99"/>
        <v>5.3606137657800706E-3</v>
      </c>
      <c r="AG137">
        <f t="shared" si="100"/>
        <v>71.62891292806701</v>
      </c>
      <c r="AH137">
        <f t="shared" si="73"/>
        <v>176.85209815501662</v>
      </c>
      <c r="AK137">
        <f t="shared" si="101"/>
        <v>0.32963170478775311</v>
      </c>
      <c r="AL137">
        <f t="shared" si="102"/>
        <v>0.94410960126392085</v>
      </c>
      <c r="AM137">
        <f t="shared" si="103"/>
        <v>854</v>
      </c>
      <c r="AN137">
        <f t="shared" si="104"/>
        <v>-427</v>
      </c>
      <c r="AO137">
        <f t="shared" si="105"/>
        <v>427</v>
      </c>
      <c r="AP137" s="16" cm="1">
        <f t="array" ref="AP137">SUMPRODUCT(1362*POWER(0.7,POWER(1/($AI$2*AK137+$AJ$2*AL137*COS(RADIANS(0.25*(_xlfn.SEQUENCE(AO137-AN137,1,AN137+1))))+0.50572*POWER(96.07995-DEGREES(ACOS($AI$2*AK137+$AJ$2*AL137*COS(RADIANS(0.25*(_xlfn.SEQUENCE(AO137-AN137,1,AN137+1)))))),-1.6364)),0.678))*IF(AL137*COS(RADIANS(0.25*(_xlfn.SEQUENCE(AO137-AN137,1,AN137+1))))&gt;0,AL137*COS(RADIANS(0.25*(_xlfn.SEQUENCE(AO137-AN137,1,AN137+1)))),0)/60)</f>
        <v>6386.553389537642</v>
      </c>
      <c r="AQ137" s="17" cm="1">
        <f t="array" ref="AQ137">SUMPRODUCT(1362*POWER(0.7,POWER(1/($AI$2*AK137+$AJ$2*AL137*COS(RADIANS(0.25*(_xlfn.SEQUENCE(AO137-AN137,1,AN137+1))))+0.50572*POWER(96.07995-DEGREES(ACOS($AI$2*AK137+$AJ$2*AL137*COS(RADIANS(0.25*(_xlfn.SEQUENCE(AO137-AN137,1,AN137+1)))))),-1.6364)),0.678))/60)</f>
        <v>10489.596004017712</v>
      </c>
      <c r="AR137" s="15">
        <f t="shared" si="106"/>
        <v>1.6424502175463864</v>
      </c>
      <c r="AT137">
        <v>0.33605454374560162</v>
      </c>
      <c r="AU137">
        <v>70.36332303805905</v>
      </c>
      <c r="AV137">
        <v>2.9538192207685494</v>
      </c>
      <c r="AW137">
        <v>647.6563682558276</v>
      </c>
    </row>
    <row r="138" spans="4:49" ht="17" x14ac:dyDescent="0.2">
      <c r="D138" s="1">
        <f t="shared" si="107"/>
        <v>46159</v>
      </c>
      <c r="E138" s="6">
        <f t="shared" si="74"/>
        <v>0.5</v>
      </c>
      <c r="F138" s="2">
        <f t="shared" si="75"/>
        <v>2461178.3333333335</v>
      </c>
      <c r="G138" s="3">
        <f t="shared" si="76"/>
        <v>0.26374629249372999</v>
      </c>
      <c r="I138">
        <f t="shared" si="77"/>
        <v>55.536050673859791</v>
      </c>
      <c r="J138">
        <f t="shared" si="78"/>
        <v>9852.1451465911377</v>
      </c>
      <c r="K138">
        <f t="shared" si="79"/>
        <v>1.669753808358351E-2</v>
      </c>
      <c r="L138">
        <f t="shared" si="80"/>
        <v>1.3989382000723734</v>
      </c>
      <c r="M138">
        <f t="shared" si="81"/>
        <v>56.934988873932163</v>
      </c>
      <c r="N138">
        <f t="shared" si="82"/>
        <v>9853.5440847912105</v>
      </c>
      <c r="O138">
        <f t="shared" si="83"/>
        <v>1.0113559820044387</v>
      </c>
      <c r="P138">
        <f t="shared" si="84"/>
        <v>56.931325126687057</v>
      </c>
      <c r="Q138">
        <f t="shared" si="85"/>
        <v>23.435861308204977</v>
      </c>
      <c r="R138">
        <f t="shared" si="86"/>
        <v>23.438179920545348</v>
      </c>
      <c r="S138">
        <f t="shared" si="87"/>
        <v>54.637902165682966</v>
      </c>
      <c r="T138" s="19">
        <f t="shared" si="88"/>
        <v>19.470967689086873</v>
      </c>
      <c r="U138">
        <f t="shared" si="89"/>
        <v>4.3030333020113838E-2</v>
      </c>
      <c r="V138">
        <f t="shared" si="90"/>
        <v>3.5738784782212529</v>
      </c>
      <c r="W138">
        <f t="shared" si="91"/>
        <v>106.96164338935459</v>
      </c>
      <c r="X138" s="6">
        <f t="shared" si="92"/>
        <v>0.50294000105679071</v>
      </c>
      <c r="Y138" s="6">
        <f t="shared" si="93"/>
        <v>0.20582432497525016</v>
      </c>
      <c r="Z138" s="6">
        <f t="shared" si="94"/>
        <v>0.80005567713833126</v>
      </c>
      <c r="AA138" s="19">
        <f t="shared" si="95"/>
        <v>855.69314711483673</v>
      </c>
      <c r="AB138">
        <f t="shared" si="96"/>
        <v>715.76639847822116</v>
      </c>
      <c r="AC138">
        <f t="shared" si="97"/>
        <v>-1.0584003804447093</v>
      </c>
      <c r="AD138">
        <f t="shared" si="72"/>
        <v>18.152484911566759</v>
      </c>
      <c r="AE138">
        <f t="shared" si="98"/>
        <v>71.847515088433241</v>
      </c>
      <c r="AF138">
        <f t="shared" si="99"/>
        <v>5.2906848386135618E-3</v>
      </c>
      <c r="AG138">
        <f t="shared" si="100"/>
        <v>71.852805773271854</v>
      </c>
      <c r="AH138">
        <f t="shared" si="73"/>
        <v>176.7955569572506</v>
      </c>
      <c r="AK138">
        <f t="shared" si="101"/>
        <v>0.33332917108260757</v>
      </c>
      <c r="AL138">
        <f t="shared" si="102"/>
        <v>0.94281051314958386</v>
      </c>
      <c r="AM138">
        <f t="shared" si="103"/>
        <v>856</v>
      </c>
      <c r="AN138">
        <f t="shared" si="104"/>
        <v>-428</v>
      </c>
      <c r="AO138">
        <f t="shared" si="105"/>
        <v>428</v>
      </c>
      <c r="AP138" s="16" cm="1">
        <f t="array" ref="AP138">SUMPRODUCT(1362*POWER(0.7,POWER(1/($AI$2*AK138+$AJ$2*AL138*COS(RADIANS(0.25*(_xlfn.SEQUENCE(AO138-AN138,1,AN138+1))))+0.50572*POWER(96.07995-DEGREES(ACOS($AI$2*AK138+$AJ$2*AL138*COS(RADIANS(0.25*(_xlfn.SEQUENCE(AO138-AN138,1,AN138+1)))))),-1.6364)),0.678))*IF(AL138*COS(RADIANS(0.25*(_xlfn.SEQUENCE(AO138-AN138,1,AN138+1))))&gt;0,AL138*COS(RADIANS(0.25*(_xlfn.SEQUENCE(AO138-AN138,1,AN138+1)))),0)/60)</f>
        <v>6381.732164394266</v>
      </c>
      <c r="AQ138" s="17" cm="1">
        <f t="array" ref="AQ138">SUMPRODUCT(1362*POWER(0.7,POWER(1/($AI$2*AK138+$AJ$2*AL138*COS(RADIANS(0.25*(_xlfn.SEQUENCE(AO138-AN138,1,AN138+1))))+0.50572*POWER(96.07995-DEGREES(ACOS($AI$2*AK138+$AJ$2*AL138*COS(RADIANS(0.25*(_xlfn.SEQUENCE(AO138-AN138,1,AN138+1)))))),-1.6364)),0.678))/60)</f>
        <v>10512.421360693206</v>
      </c>
      <c r="AR138" s="15">
        <f t="shared" si="106"/>
        <v>1.6472677150798309</v>
      </c>
      <c r="AT138">
        <v>0.33801446037265326</v>
      </c>
      <c r="AU138">
        <v>70.244049646855217</v>
      </c>
      <c r="AV138">
        <v>2.9369793083109177</v>
      </c>
      <c r="AW138">
        <v>649.52166203732099</v>
      </c>
    </row>
    <row r="139" spans="4:49" ht="17" x14ac:dyDescent="0.2">
      <c r="D139" s="1">
        <f t="shared" si="107"/>
        <v>46160</v>
      </c>
      <c r="E139" s="6">
        <f t="shared" si="74"/>
        <v>0.5</v>
      </c>
      <c r="F139" s="2">
        <f t="shared" si="75"/>
        <v>2461179.3333333335</v>
      </c>
      <c r="G139" s="3">
        <f t="shared" si="76"/>
        <v>0.26377367100160132</v>
      </c>
      <c r="I139">
        <f t="shared" si="77"/>
        <v>56.521698038402974</v>
      </c>
      <c r="J139">
        <f t="shared" si="78"/>
        <v>9853.1307468706436</v>
      </c>
      <c r="K139">
        <f t="shared" si="79"/>
        <v>1.6697536930843283E-2</v>
      </c>
      <c r="L139">
        <f t="shared" si="80"/>
        <v>1.3765994790969034</v>
      </c>
      <c r="M139">
        <f t="shared" si="81"/>
        <v>57.898297517499877</v>
      </c>
      <c r="N139">
        <f t="shared" si="82"/>
        <v>9854.5073463497411</v>
      </c>
      <c r="O139">
        <f t="shared" si="83"/>
        <v>1.0115625345176129</v>
      </c>
      <c r="P139">
        <f t="shared" si="84"/>
        <v>57.894637770588488</v>
      </c>
      <c r="Q139">
        <f t="shared" si="85"/>
        <v>23.43586095217081</v>
      </c>
      <c r="R139">
        <f t="shared" si="86"/>
        <v>23.438178560569785</v>
      </c>
      <c r="S139">
        <f t="shared" si="87"/>
        <v>55.633563674270079</v>
      </c>
      <c r="T139" s="19">
        <f t="shared" si="88"/>
        <v>19.68999622173148</v>
      </c>
      <c r="U139">
        <f t="shared" si="89"/>
        <v>4.3030327884495387E-2</v>
      </c>
      <c r="V139">
        <f t="shared" si="90"/>
        <v>3.5337790662704305</v>
      </c>
      <c r="W139">
        <f t="shared" si="91"/>
        <v>107.16199468477024</v>
      </c>
      <c r="X139" s="6">
        <f t="shared" si="92"/>
        <v>0.50296784787064552</v>
      </c>
      <c r="Y139" s="6">
        <f t="shared" si="93"/>
        <v>0.2052956404129504</v>
      </c>
      <c r="Z139" s="6">
        <f t="shared" si="94"/>
        <v>0.80064005532834071</v>
      </c>
      <c r="AA139" s="19">
        <f t="shared" si="95"/>
        <v>857.29595747816188</v>
      </c>
      <c r="AB139">
        <f t="shared" si="96"/>
        <v>715.72629906627049</v>
      </c>
      <c r="AC139">
        <f t="shared" si="97"/>
        <v>-1.0684252334323787</v>
      </c>
      <c r="AD139">
        <f t="shared" si="72"/>
        <v>17.934151745587695</v>
      </c>
      <c r="AE139">
        <f t="shared" si="98"/>
        <v>72.065848254412302</v>
      </c>
      <c r="AF139">
        <f t="shared" si="99"/>
        <v>5.2226853219648232E-3</v>
      </c>
      <c r="AG139">
        <f t="shared" si="100"/>
        <v>72.07107093973427</v>
      </c>
      <c r="AH139">
        <f t="shared" si="73"/>
        <v>176.7315247362809</v>
      </c>
      <c r="AK139">
        <f t="shared" si="101"/>
        <v>0.33693087359400264</v>
      </c>
      <c r="AL139">
        <f t="shared" si="102"/>
        <v>0.94152938691215704</v>
      </c>
      <c r="AM139">
        <f t="shared" si="103"/>
        <v>857</v>
      </c>
      <c r="AN139">
        <f t="shared" si="104"/>
        <v>-428.5</v>
      </c>
      <c r="AO139">
        <f t="shared" si="105"/>
        <v>428.5</v>
      </c>
      <c r="AP139" s="16" cm="1">
        <f t="array" ref="AP139">SUMPRODUCT(1362*POWER(0.7,POWER(1/($AI$2*AK139+$AJ$2*AL139*COS(RADIANS(0.25*(_xlfn.SEQUENCE(AO139-AN139,1,AN139+1))))+0.50572*POWER(96.07995-DEGREES(ACOS($AI$2*AK139+$AJ$2*AL139*COS(RADIANS(0.25*(_xlfn.SEQUENCE(AO139-AN139,1,AN139+1)))))),-1.6364)),0.678))*IF(AL139*COS(RADIANS(0.25*(_xlfn.SEQUENCE(AO139-AN139,1,AN139+1))))&gt;0,AL139*COS(RADIANS(0.25*(_xlfn.SEQUENCE(AO139-AN139,1,AN139+1)))),0)/60)</f>
        <v>6376.8918444078781</v>
      </c>
      <c r="AQ139" s="17" cm="1">
        <f t="array" ref="AQ139">SUMPRODUCT(1362*POWER(0.7,POWER(1/($AI$2*AK139+$AJ$2*AL139*COS(RADIANS(0.25*(_xlfn.SEQUENCE(AO139-AN139,1,AN139+1))))+0.50572*POWER(96.07995-DEGREES(ACOS($AI$2*AK139+$AJ$2*AL139*COS(RADIANS(0.25*(_xlfn.SEQUENCE(AO139-AN139,1,AN139+1)))))),-1.6364)),0.678))/60)</f>
        <v>10534.576636428914</v>
      </c>
      <c r="AR139" s="15">
        <f t="shared" si="106"/>
        <v>1.6519923645352488</v>
      </c>
      <c r="AT139">
        <v>0.33996341263716368</v>
      </c>
      <c r="AU139">
        <v>70.125355013325716</v>
      </c>
      <c r="AV139">
        <v>2.9204211273650289</v>
      </c>
      <c r="AW139">
        <v>651.36436275036124</v>
      </c>
    </row>
    <row r="140" spans="4:49" ht="17" x14ac:dyDescent="0.2">
      <c r="D140" s="1">
        <f t="shared" si="107"/>
        <v>46161</v>
      </c>
      <c r="E140" s="6">
        <f t="shared" si="74"/>
        <v>0.5</v>
      </c>
      <c r="F140" s="2">
        <f t="shared" si="75"/>
        <v>2461180.3333333335</v>
      </c>
      <c r="G140" s="3">
        <f t="shared" si="76"/>
        <v>0.26380104950947264</v>
      </c>
      <c r="I140">
        <f t="shared" si="77"/>
        <v>57.507345402947976</v>
      </c>
      <c r="J140">
        <f t="shared" si="78"/>
        <v>9854.1163471501495</v>
      </c>
      <c r="K140">
        <f t="shared" si="79"/>
        <v>1.6697535778102866E-2</v>
      </c>
      <c r="L140">
        <f t="shared" si="80"/>
        <v>1.3538706754400875</v>
      </c>
      <c r="M140">
        <f t="shared" si="81"/>
        <v>58.861216078388061</v>
      </c>
      <c r="N140">
        <f t="shared" si="82"/>
        <v>9855.4702178255902</v>
      </c>
      <c r="O140">
        <f t="shared" si="83"/>
        <v>1.0117657022065045</v>
      </c>
      <c r="P140">
        <f t="shared" si="84"/>
        <v>58.857560330076204</v>
      </c>
      <c r="Q140">
        <f t="shared" si="85"/>
        <v>23.435860596136639</v>
      </c>
      <c r="R140">
        <f t="shared" si="86"/>
        <v>23.438177198614571</v>
      </c>
      <c r="S140">
        <f t="shared" si="87"/>
        <v>56.631513786767691</v>
      </c>
      <c r="T140" s="19">
        <f t="shared" si="88"/>
        <v>19.903435808823033</v>
      </c>
      <c r="U140">
        <f t="shared" si="89"/>
        <v>4.303032274140161E-2</v>
      </c>
      <c r="V140">
        <f t="shared" si="90"/>
        <v>3.4845420319468947</v>
      </c>
      <c r="W140">
        <f t="shared" si="91"/>
        <v>107.35798729975173</v>
      </c>
      <c r="X140" s="6">
        <f t="shared" si="92"/>
        <v>0.50300204025559248</v>
      </c>
      <c r="Y140" s="6">
        <f t="shared" si="93"/>
        <v>0.20478540886739319</v>
      </c>
      <c r="Z140" s="6">
        <f t="shared" si="94"/>
        <v>0.80121867164379179</v>
      </c>
      <c r="AA140" s="19">
        <f t="shared" si="95"/>
        <v>858.86389839801382</v>
      </c>
      <c r="AB140">
        <f t="shared" si="96"/>
        <v>715.67706203194689</v>
      </c>
      <c r="AC140">
        <f t="shared" si="97"/>
        <v>-1.0807344920132778</v>
      </c>
      <c r="AD140">
        <f t="shared" si="72"/>
        <v>17.721525792744288</v>
      </c>
      <c r="AE140">
        <f t="shared" si="98"/>
        <v>72.278474207255712</v>
      </c>
      <c r="AF140">
        <f t="shared" si="99"/>
        <v>5.1566236989736905E-3</v>
      </c>
      <c r="AG140">
        <f t="shared" si="100"/>
        <v>72.283630830954692</v>
      </c>
      <c r="AH140">
        <f t="shared" si="73"/>
        <v>176.65990316677028</v>
      </c>
      <c r="AK140">
        <f t="shared" si="101"/>
        <v>0.34043593508474396</v>
      </c>
      <c r="AL140">
        <f t="shared" si="102"/>
        <v>0.94026771405965859</v>
      </c>
      <c r="AM140">
        <f t="shared" si="103"/>
        <v>859</v>
      </c>
      <c r="AN140">
        <f t="shared" si="104"/>
        <v>-429.5</v>
      </c>
      <c r="AO140">
        <f t="shared" si="105"/>
        <v>429.5</v>
      </c>
      <c r="AP140" s="16" cm="1">
        <f t="array" ref="AP140">SUMPRODUCT(1362*POWER(0.7,POWER(1/($AI$2*AK140+$AJ$2*AL140*COS(RADIANS(0.25*(_xlfn.SEQUENCE(AO140-AN140,1,AN140+1))))+0.50572*POWER(96.07995-DEGREES(ACOS($AI$2*AK140+$AJ$2*AL140*COS(RADIANS(0.25*(_xlfn.SEQUENCE(AO140-AN140,1,AN140+1)))))),-1.6364)),0.678))*IF(AL140*COS(RADIANS(0.25*(_xlfn.SEQUENCE(AO140-AN140,1,AN140+1))))&gt;0,AL140*COS(RADIANS(0.25*(_xlfn.SEQUENCE(AO140-AN140,1,AN140+1)))),0)/60)</f>
        <v>6372.028719860391</v>
      </c>
      <c r="AQ140" s="17" cm="1">
        <f t="array" ref="AQ140">SUMPRODUCT(1362*POWER(0.7,POWER(1/($AI$2*AK140+$AJ$2*AL140*COS(RADIANS(0.25*(_xlfn.SEQUENCE(AO140-AN140,1,AN140+1))))+0.50572*POWER(96.07995-DEGREES(ACOS($AI$2*AK140+$AJ$2*AL140*COS(RADIANS(0.25*(_xlfn.SEQUENCE(AO140-AN140,1,AN140+1)))))),-1.6364)),0.678))/60)</f>
        <v>10556.297776826465</v>
      </c>
      <c r="AR140" s="15">
        <f t="shared" si="106"/>
        <v>1.6566619895990911</v>
      </c>
      <c r="AT140">
        <v>0.34190136343389121</v>
      </c>
      <c r="AU140">
        <v>70.007242187298999</v>
      </c>
      <c r="AV140">
        <v>2.9041387713243387</v>
      </c>
      <c r="AW140">
        <v>653.18476296992321</v>
      </c>
    </row>
    <row r="141" spans="4:49" ht="17" x14ac:dyDescent="0.2">
      <c r="D141" s="1">
        <f t="shared" si="107"/>
        <v>46162</v>
      </c>
      <c r="E141" s="6">
        <f t="shared" si="74"/>
        <v>0.5</v>
      </c>
      <c r="F141" s="2">
        <f t="shared" si="75"/>
        <v>2461181.3333333335</v>
      </c>
      <c r="G141" s="3">
        <f t="shared" si="76"/>
        <v>0.26382842801734396</v>
      </c>
      <c r="I141">
        <f t="shared" si="77"/>
        <v>58.49299276749116</v>
      </c>
      <c r="J141">
        <f t="shared" si="78"/>
        <v>9855.1019474296536</v>
      </c>
      <c r="K141">
        <f t="shared" si="79"/>
        <v>1.6697534625362258E-2</v>
      </c>
      <c r="L141">
        <f t="shared" si="80"/>
        <v>1.3307585172079435</v>
      </c>
      <c r="M141">
        <f t="shared" si="81"/>
        <v>59.8237512846991</v>
      </c>
      <c r="N141">
        <f t="shared" si="82"/>
        <v>9856.4327059468615</v>
      </c>
      <c r="O141">
        <f t="shared" si="83"/>
        <v>1.011965429064875</v>
      </c>
      <c r="P141">
        <f t="shared" si="84"/>
        <v>59.820099533249156</v>
      </c>
      <c r="Q141">
        <f t="shared" si="85"/>
        <v>23.435860240102471</v>
      </c>
      <c r="R141">
        <f t="shared" si="86"/>
        <v>23.438175834680568</v>
      </c>
      <c r="S141">
        <f t="shared" si="87"/>
        <v>57.631725257212075</v>
      </c>
      <c r="T141" s="19">
        <f t="shared" si="88"/>
        <v>20.111215015631689</v>
      </c>
      <c r="U141">
        <f t="shared" si="89"/>
        <v>4.3030317590835719E-2</v>
      </c>
      <c r="V141">
        <f t="shared" si="90"/>
        <v>3.4262764784451742</v>
      </c>
      <c r="W141">
        <f t="shared" si="91"/>
        <v>107.54950864785638</v>
      </c>
      <c r="X141" s="6">
        <f t="shared" si="92"/>
        <v>0.50304250244552418</v>
      </c>
      <c r="Y141" s="6">
        <f t="shared" si="93"/>
        <v>0.20429386731258975</v>
      </c>
      <c r="Z141" s="6">
        <f t="shared" si="94"/>
        <v>0.80179113757845866</v>
      </c>
      <c r="AA141" s="19">
        <f t="shared" si="95"/>
        <v>860.39606918285108</v>
      </c>
      <c r="AB141">
        <f t="shared" si="96"/>
        <v>715.61879647844512</v>
      </c>
      <c r="AC141">
        <f t="shared" si="97"/>
        <v>-1.0953008803887201</v>
      </c>
      <c r="AD141">
        <f t="shared" si="72"/>
        <v>17.514683780054291</v>
      </c>
      <c r="AE141">
        <f t="shared" si="98"/>
        <v>72.485316219945702</v>
      </c>
      <c r="AF141">
        <f t="shared" si="99"/>
        <v>5.0925087039687036E-3</v>
      </c>
      <c r="AG141">
        <f t="shared" si="100"/>
        <v>72.490408728649669</v>
      </c>
      <c r="AH141">
        <f t="shared" si="73"/>
        <v>176.58061319215165</v>
      </c>
      <c r="AK141">
        <f t="shared" si="101"/>
        <v>0.34384350532238583</v>
      </c>
      <c r="AL141">
        <f t="shared" si="102"/>
        <v>0.93902696651779627</v>
      </c>
      <c r="AM141">
        <f t="shared" si="103"/>
        <v>860</v>
      </c>
      <c r="AN141">
        <f t="shared" si="104"/>
        <v>-430</v>
      </c>
      <c r="AO141">
        <f t="shared" si="105"/>
        <v>430</v>
      </c>
      <c r="AP141" s="16" cm="1">
        <f t="array" ref="AP141">SUMPRODUCT(1362*POWER(0.7,POWER(1/($AI$2*AK141+$AJ$2*AL141*COS(RADIANS(0.25*(_xlfn.SEQUENCE(AO141-AN141,1,AN141+1))))+0.50572*POWER(96.07995-DEGREES(ACOS($AI$2*AK141+$AJ$2*AL141*COS(RADIANS(0.25*(_xlfn.SEQUENCE(AO141-AN141,1,AN141+1)))))),-1.6364)),0.678))*IF(AL141*COS(RADIANS(0.25*(_xlfn.SEQUENCE(AO141-AN141,1,AN141+1))))&gt;0,AL141*COS(RADIANS(0.25*(_xlfn.SEQUENCE(AO141-AN141,1,AN141+1)))),0)/60)</f>
        <v>6367.1554055518427</v>
      </c>
      <c r="AQ141" s="17" cm="1">
        <f t="array" ref="AQ141">SUMPRODUCT(1362*POWER(0.7,POWER(1/($AI$2*AK141+$AJ$2*AL141*COS(RADIANS(0.25*(_xlfn.SEQUENCE(AO141-AN141,1,AN141+1))))+0.50572*POWER(96.07995-DEGREES(ACOS($AI$2*AK141+$AJ$2*AL141*COS(RADIANS(0.25*(_xlfn.SEQUENCE(AO141-AN141,1,AN141+1)))))),-1.6364)),0.678))/60)</f>
        <v>10577.332813601977</v>
      </c>
      <c r="AR141" s="15">
        <f t="shared" si="106"/>
        <v>1.6612336498617686</v>
      </c>
      <c r="AT141">
        <v>0.34382827586704634</v>
      </c>
      <c r="AU141">
        <v>69.889714223842162</v>
      </c>
      <c r="AV141">
        <v>2.8881265045294571</v>
      </c>
      <c r="AW141">
        <v>654.98314946028927</v>
      </c>
    </row>
    <row r="142" spans="4:49" ht="17" x14ac:dyDescent="0.2">
      <c r="D142" s="1">
        <f t="shared" si="107"/>
        <v>46163</v>
      </c>
      <c r="E142" s="6">
        <f t="shared" si="74"/>
        <v>0.5</v>
      </c>
      <c r="F142" s="2">
        <f t="shared" si="75"/>
        <v>2461182.3333333335</v>
      </c>
      <c r="G142" s="3">
        <f t="shared" si="76"/>
        <v>0.26385580652521529</v>
      </c>
      <c r="I142">
        <f t="shared" si="77"/>
        <v>59.478640132036162</v>
      </c>
      <c r="J142">
        <f t="shared" si="78"/>
        <v>9856.0875477091577</v>
      </c>
      <c r="K142">
        <f t="shared" si="79"/>
        <v>1.6697533472621463E-2</v>
      </c>
      <c r="L142">
        <f t="shared" si="80"/>
        <v>1.3072698262021878</v>
      </c>
      <c r="M142">
        <f t="shared" si="81"/>
        <v>60.785909958238349</v>
      </c>
      <c r="N142">
        <f t="shared" si="82"/>
        <v>9857.3948175353598</v>
      </c>
      <c r="O142">
        <f t="shared" si="83"/>
        <v>1.0121616601015728</v>
      </c>
      <c r="P142">
        <f t="shared" si="84"/>
        <v>60.78226220190929</v>
      </c>
      <c r="Q142">
        <f t="shared" si="85"/>
        <v>23.435859884068304</v>
      </c>
      <c r="R142">
        <f t="shared" si="86"/>
        <v>23.438174468768636</v>
      </c>
      <c r="S142">
        <f t="shared" si="87"/>
        <v>58.634167452100279</v>
      </c>
      <c r="T142" s="19">
        <f t="shared" si="88"/>
        <v>20.313263824143185</v>
      </c>
      <c r="U142">
        <f t="shared" si="89"/>
        <v>4.3030312432801004E-2</v>
      </c>
      <c r="V142">
        <f t="shared" si="90"/>
        <v>3.3591051302004606</v>
      </c>
      <c r="W142">
        <f t="shared" si="91"/>
        <v>107.73644630839446</v>
      </c>
      <c r="X142" s="6">
        <f t="shared" si="92"/>
        <v>0.50308914921513848</v>
      </c>
      <c r="Y142" s="6">
        <f t="shared" si="93"/>
        <v>0.20382124280293162</v>
      </c>
      <c r="Z142" s="6">
        <f t="shared" si="94"/>
        <v>0.80235705562734538</v>
      </c>
      <c r="AA142" s="19">
        <f t="shared" si="95"/>
        <v>861.8915704671557</v>
      </c>
      <c r="AB142">
        <f t="shared" si="96"/>
        <v>715.55162513020036</v>
      </c>
      <c r="AC142">
        <f t="shared" si="97"/>
        <v>-1.112093717449909</v>
      </c>
      <c r="AD142">
        <f t="shared" si="72"/>
        <v>17.313701466592264</v>
      </c>
      <c r="AE142">
        <f t="shared" si="98"/>
        <v>72.686298533407736</v>
      </c>
      <c r="AF142">
        <f t="shared" si="99"/>
        <v>5.030349290083354E-3</v>
      </c>
      <c r="AG142">
        <f t="shared" si="100"/>
        <v>72.691328882697817</v>
      </c>
      <c r="AH142">
        <f t="shared" si="73"/>
        <v>176.49359661183053</v>
      </c>
      <c r="AK142">
        <f t="shared" si="101"/>
        <v>0.34715276112738175</v>
      </c>
      <c r="AL142">
        <f t="shared" si="102"/>
        <v>0.93780859477914524</v>
      </c>
      <c r="AM142">
        <f t="shared" si="103"/>
        <v>862</v>
      </c>
      <c r="AN142">
        <f t="shared" si="104"/>
        <v>-431</v>
      </c>
      <c r="AO142">
        <f t="shared" si="105"/>
        <v>431</v>
      </c>
      <c r="AP142" s="16" cm="1">
        <f t="array" ref="AP142">SUMPRODUCT(1362*POWER(0.7,POWER(1/($AI$2*AK142+$AJ$2*AL142*COS(RADIANS(0.25*(_xlfn.SEQUENCE(AO142-AN142,1,AN142+1))))+0.50572*POWER(96.07995-DEGREES(ACOS($AI$2*AK142+$AJ$2*AL142*COS(RADIANS(0.25*(_xlfn.SEQUENCE(AO142-AN142,1,AN142+1)))))),-1.6364)),0.678))*IF(AL142*COS(RADIANS(0.25*(_xlfn.SEQUENCE(AO142-AN142,1,AN142+1))))&gt;0,AL142*COS(RADIANS(0.25*(_xlfn.SEQUENCE(AO142-AN142,1,AN142+1)))),0)/60)</f>
        <v>6362.3012878634254</v>
      </c>
      <c r="AQ142" s="17" cm="1">
        <f t="array" ref="AQ142">SUMPRODUCT(1362*POWER(0.7,POWER(1/($AI$2*AK142+$AJ$2*AL142*COS(RADIANS(0.25*(_xlfn.SEQUENCE(AO142-AN142,1,AN142+1))))+0.50572*POWER(96.07995-DEGREES(ACOS($AI$2*AK142+$AJ$2*AL142*COS(RADIANS(0.25*(_xlfn.SEQUENCE(AO142-AN142,1,AN142+1)))))),-1.6364)),0.678))/60)</f>
        <v>10597.921450097851</v>
      </c>
      <c r="AR142" s="15">
        <f t="shared" si="106"/>
        <v>1.665737124130571</v>
      </c>
      <c r="AT142">
        <v>0.34574411325099386</v>
      </c>
      <c r="AU142">
        <v>69.772774183054239</v>
      </c>
      <c r="AV142">
        <v>2.8723787562623495</v>
      </c>
      <c r="AW142">
        <v>656.75980330757795</v>
      </c>
    </row>
    <row r="143" spans="4:49" ht="17" x14ac:dyDescent="0.2">
      <c r="D143" s="1">
        <f t="shared" si="107"/>
        <v>46164</v>
      </c>
      <c r="E143" s="6">
        <f t="shared" si="74"/>
        <v>0.5</v>
      </c>
      <c r="F143" s="2">
        <f t="shared" si="75"/>
        <v>2461183.3333333335</v>
      </c>
      <c r="G143" s="3">
        <f t="shared" si="76"/>
        <v>0.26388318503308661</v>
      </c>
      <c r="I143">
        <f t="shared" si="77"/>
        <v>60.464287496581164</v>
      </c>
      <c r="J143">
        <f t="shared" si="78"/>
        <v>9857.0731479886635</v>
      </c>
      <c r="K143">
        <f t="shared" si="79"/>
        <v>1.6697532319880477E-2</v>
      </c>
      <c r="L143">
        <f t="shared" si="80"/>
        <v>1.283411515959912</v>
      </c>
      <c r="M143">
        <f t="shared" si="81"/>
        <v>61.747699012541077</v>
      </c>
      <c r="N143">
        <f t="shared" si="82"/>
        <v>9858.3565595046239</v>
      </c>
      <c r="O143">
        <f t="shared" si="83"/>
        <v>1.0123543413521643</v>
      </c>
      <c r="P143">
        <f t="shared" si="84"/>
        <v>61.74405524958847</v>
      </c>
      <c r="Q143">
        <f t="shared" si="85"/>
        <v>23.435859528034136</v>
      </c>
      <c r="R143">
        <f t="shared" si="86"/>
        <v>23.438173100879638</v>
      </c>
      <c r="S143">
        <f t="shared" si="87"/>
        <v>59.638806356341171</v>
      </c>
      <c r="T143" s="19">
        <f t="shared" si="88"/>
        <v>20.509513693070321</v>
      </c>
      <c r="U143">
        <f t="shared" si="89"/>
        <v>4.3030307267300727E-2</v>
      </c>
      <c r="V143">
        <f t="shared" si="90"/>
        <v>3.2831642935065979</v>
      </c>
      <c r="W143">
        <f t="shared" si="91"/>
        <v>107.91868822257391</v>
      </c>
      <c r="X143" s="6">
        <f t="shared" si="92"/>
        <v>0.50314188590728703</v>
      </c>
      <c r="Y143" s="6">
        <f t="shared" si="93"/>
        <v>0.20336775195569284</v>
      </c>
      <c r="Z143" s="6">
        <f t="shared" si="94"/>
        <v>0.80291601985888117</v>
      </c>
      <c r="AA143" s="19">
        <f t="shared" si="95"/>
        <v>863.34950578059124</v>
      </c>
      <c r="AB143">
        <f t="shared" si="96"/>
        <v>715.47568429350667</v>
      </c>
      <c r="AC143">
        <f t="shared" si="97"/>
        <v>-1.1310789266233314</v>
      </c>
      <c r="AD143">
        <f t="shared" si="72"/>
        <v>17.118653544365721</v>
      </c>
      <c r="AE143">
        <f t="shared" si="98"/>
        <v>72.881346455634286</v>
      </c>
      <c r="AF143">
        <f t="shared" si="99"/>
        <v>4.9701545941951567E-3</v>
      </c>
      <c r="AG143">
        <f t="shared" si="100"/>
        <v>72.886316610228477</v>
      </c>
      <c r="AH143">
        <f t="shared" si="73"/>
        <v>176.39881766553185</v>
      </c>
      <c r="AK143">
        <f t="shared" si="101"/>
        <v>0.35036290641575024</v>
      </c>
      <c r="AL143">
        <f t="shared" si="102"/>
        <v>0.93661402605764355</v>
      </c>
      <c r="AM143">
        <f t="shared" si="103"/>
        <v>863</v>
      </c>
      <c r="AN143">
        <f t="shared" si="104"/>
        <v>-431.5</v>
      </c>
      <c r="AO143">
        <f t="shared" si="105"/>
        <v>431.5</v>
      </c>
      <c r="AP143" s="16" cm="1">
        <f t="array" ref="AP143">SUMPRODUCT(1362*POWER(0.7,POWER(1/($AI$2*AK143+$AJ$2*AL143*COS(RADIANS(0.25*(_xlfn.SEQUENCE(AO143-AN143,1,AN143+1))))+0.50572*POWER(96.07995-DEGREES(ACOS($AI$2*AK143+$AJ$2*AL143*COS(RADIANS(0.25*(_xlfn.SEQUENCE(AO143-AN143,1,AN143+1)))))),-1.6364)),0.678))*IF(AL143*COS(RADIANS(0.25*(_xlfn.SEQUENCE(AO143-AN143,1,AN143+1))))&gt;0,AL143*COS(RADIANS(0.25*(_xlfn.SEQUENCE(AO143-AN143,1,AN143+1)))),0)/60)</f>
        <v>6357.478838209805</v>
      </c>
      <c r="AQ143" s="17" cm="1">
        <f t="array" ref="AQ143">SUMPRODUCT(1362*POWER(0.7,POWER(1/($AI$2*AK143+$AJ$2*AL143*COS(RADIANS(0.25*(_xlfn.SEQUENCE(AO143-AN143,1,AN143+1))))+0.50572*POWER(96.07995-DEGREES(ACOS($AI$2*AK143+$AJ$2*AL143*COS(RADIANS(0.25*(_xlfn.SEQUENCE(AO143-AN143,1,AN143+1)))))),-1.6364)),0.678))/60)</f>
        <v>10617.809916567448</v>
      </c>
      <c r="AR143" s="15">
        <f t="shared" si="106"/>
        <v>1.6701290223338447</v>
      </c>
      <c r="AT143">
        <v>0.34764883911095146</v>
      </c>
      <c r="AU143">
        <v>69.656425129855549</v>
      </c>
      <c r="AV143">
        <v>2.8568901149919137</v>
      </c>
      <c r="AW143">
        <v>658.51500004879438</v>
      </c>
    </row>
    <row r="144" spans="4:49" ht="17" x14ac:dyDescent="0.2">
      <c r="D144" s="1">
        <f t="shared" si="107"/>
        <v>46165</v>
      </c>
      <c r="E144" s="6">
        <f t="shared" si="74"/>
        <v>0.5</v>
      </c>
      <c r="F144" s="2">
        <f t="shared" si="75"/>
        <v>2461184.3333333335</v>
      </c>
      <c r="G144" s="3">
        <f t="shared" si="76"/>
        <v>0.26391056354095793</v>
      </c>
      <c r="I144">
        <f t="shared" si="77"/>
        <v>61.449934861127986</v>
      </c>
      <c r="J144">
        <f t="shared" si="78"/>
        <v>9858.0587482681658</v>
      </c>
      <c r="K144">
        <f t="shared" si="79"/>
        <v>1.66975311671393E-2</v>
      </c>
      <c r="L144">
        <f t="shared" si="80"/>
        <v>1.2591905897872417</v>
      </c>
      <c r="M144">
        <f t="shared" si="81"/>
        <v>62.709125450915231</v>
      </c>
      <c r="N144">
        <f t="shared" si="82"/>
        <v>9859.3179388579538</v>
      </c>
      <c r="O144">
        <f t="shared" si="83"/>
        <v>1.0125434198902727</v>
      </c>
      <c r="P144">
        <f t="shared" si="84"/>
        <v>62.70548567959122</v>
      </c>
      <c r="Q144">
        <f t="shared" si="85"/>
        <v>23.435859171999969</v>
      </c>
      <c r="R144">
        <f t="shared" si="86"/>
        <v>23.438171731014439</v>
      </c>
      <c r="S144">
        <f t="shared" si="87"/>
        <v>60.645604585562815</v>
      </c>
      <c r="T144" s="19">
        <f t="shared" si="88"/>
        <v>20.699897618345812</v>
      </c>
      <c r="U144">
        <f t="shared" si="89"/>
        <v>4.3030302094338134E-2</v>
      </c>
      <c r="V144">
        <f t="shared" si="90"/>
        <v>3.1986037902855644</v>
      </c>
      <c r="W144">
        <f t="shared" si="91"/>
        <v>108.09612289691952</v>
      </c>
      <c r="X144" s="6">
        <f t="shared" si="92"/>
        <v>0.50320060847896841</v>
      </c>
      <c r="Y144" s="6">
        <f t="shared" si="93"/>
        <v>0.2029336004319697</v>
      </c>
      <c r="Z144" s="6">
        <f t="shared" si="94"/>
        <v>0.8034676165259671</v>
      </c>
      <c r="AA144" s="19">
        <f t="shared" si="95"/>
        <v>864.7689831753562</v>
      </c>
      <c r="AB144">
        <f t="shared" si="96"/>
        <v>715.39112379028552</v>
      </c>
      <c r="AC144">
        <f t="shared" si="97"/>
        <v>-1.1522190524286202</v>
      </c>
      <c r="AD144">
        <f t="shared" si="72"/>
        <v>16.929613529944415</v>
      </c>
      <c r="AE144">
        <f t="shared" si="98"/>
        <v>73.070386470055581</v>
      </c>
      <c r="AF144">
        <f t="shared" si="99"/>
        <v>4.9119338991812636E-3</v>
      </c>
      <c r="AG144">
        <f t="shared" si="100"/>
        <v>73.075298403954761</v>
      </c>
      <c r="AH144">
        <f t="shared" si="73"/>
        <v>176.29626459901567</v>
      </c>
      <c r="AK144">
        <f t="shared" si="101"/>
        <v>0.35347317223659858</v>
      </c>
      <c r="AL144">
        <f t="shared" si="102"/>
        <v>0.93544466245149738</v>
      </c>
      <c r="AM144">
        <f t="shared" si="103"/>
        <v>865</v>
      </c>
      <c r="AN144">
        <f t="shared" si="104"/>
        <v>-432.5</v>
      </c>
      <c r="AO144">
        <f t="shared" si="105"/>
        <v>432.5</v>
      </c>
      <c r="AP144" s="16" cm="1">
        <f t="array" ref="AP144">SUMPRODUCT(1362*POWER(0.7,POWER(1/($AI$2*AK144+$AJ$2*AL144*COS(RADIANS(0.25*(_xlfn.SEQUENCE(AO144-AN144,1,AN144+1))))+0.50572*POWER(96.07995-DEGREES(ACOS($AI$2*AK144+$AJ$2*AL144*COS(RADIANS(0.25*(_xlfn.SEQUENCE(AO144-AN144,1,AN144+1)))))),-1.6364)),0.678))*IF(AL144*COS(RADIANS(0.25*(_xlfn.SEQUENCE(AO144-AN144,1,AN144+1))))&gt;0,AL144*COS(RADIANS(0.25*(_xlfn.SEQUENCE(AO144-AN144,1,AN144+1)))),0)/60)</f>
        <v>6352.6831764032031</v>
      </c>
      <c r="AQ144" s="17" cm="1">
        <f t="array" ref="AQ144">SUMPRODUCT(1362*POWER(0.7,POWER(1/($AI$2*AK144+$AJ$2*AL144*COS(RADIANS(0.25*(_xlfn.SEQUENCE(AO144-AN144,1,AN144+1))))+0.50572*POWER(96.07995-DEGREES(ACOS($AI$2*AK144+$AJ$2*AL144*COS(RADIANS(0.25*(_xlfn.SEQUENCE(AO144-AN144,1,AN144+1)))))),-1.6364)),0.678))/60)</f>
        <v>10637.237600606746</v>
      </c>
      <c r="AR144" s="15">
        <f t="shared" si="106"/>
        <v>1.6744479938993897</v>
      </c>
      <c r="AT144">
        <v>0.3495424171836844</v>
      </c>
      <c r="AU144">
        <v>69.540670133772693</v>
      </c>
      <c r="AV144">
        <v>2.8416553228588235</v>
      </c>
      <c r="AW144">
        <v>660.2490097974943</v>
      </c>
    </row>
    <row r="145" spans="4:49" ht="17" x14ac:dyDescent="0.2">
      <c r="D145" s="1">
        <f t="shared" si="107"/>
        <v>46166</v>
      </c>
      <c r="E145" s="6">
        <f t="shared" si="74"/>
        <v>0.5</v>
      </c>
      <c r="F145" s="2">
        <f t="shared" si="75"/>
        <v>2461185.3333333335</v>
      </c>
      <c r="G145" s="3">
        <f t="shared" si="76"/>
        <v>0.26393794204882925</v>
      </c>
      <c r="I145">
        <f t="shared" si="77"/>
        <v>62.435582225672988</v>
      </c>
      <c r="J145">
        <f t="shared" si="78"/>
        <v>9859.0443485476699</v>
      </c>
      <c r="K145">
        <f t="shared" si="79"/>
        <v>1.6697530014397933E-2</v>
      </c>
      <c r="L145">
        <f t="shared" si="80"/>
        <v>1.2346141387870446</v>
      </c>
      <c r="M145">
        <f t="shared" si="81"/>
        <v>63.670196364460033</v>
      </c>
      <c r="N145">
        <f t="shared" si="82"/>
        <v>9860.2789626864578</v>
      </c>
      <c r="O145">
        <f t="shared" si="83"/>
        <v>1.0127288438386481</v>
      </c>
      <c r="P145">
        <f t="shared" si="84"/>
        <v>63.666560583013357</v>
      </c>
      <c r="Q145">
        <f t="shared" si="85"/>
        <v>23.435858815965801</v>
      </c>
      <c r="R145">
        <f t="shared" si="86"/>
        <v>23.438170359173903</v>
      </c>
      <c r="S145">
        <f t="shared" si="87"/>
        <v>61.654521404943559</v>
      </c>
      <c r="T145" s="19">
        <f t="shared" si="88"/>
        <v>20.884350193937454</v>
      </c>
      <c r="U145">
        <f t="shared" si="89"/>
        <v>4.3030296913916508E-2</v>
      </c>
      <c r="V145">
        <f t="shared" si="90"/>
        <v>3.1055868645019862</v>
      </c>
      <c r="W145">
        <f t="shared" si="91"/>
        <v>108.26863961343685</v>
      </c>
      <c r="X145" s="6">
        <f t="shared" si="92"/>
        <v>0.5032652035663181</v>
      </c>
      <c r="Y145" s="6">
        <f t="shared" si="93"/>
        <v>0.20251898241788241</v>
      </c>
      <c r="Z145" s="6">
        <f t="shared" si="94"/>
        <v>0.80401142471475373</v>
      </c>
      <c r="AA145" s="19">
        <f t="shared" si="95"/>
        <v>866.14911690749477</v>
      </c>
      <c r="AB145">
        <f t="shared" si="96"/>
        <v>715.29810686450196</v>
      </c>
      <c r="AC145">
        <f t="shared" si="97"/>
        <v>-1.1754732838745099</v>
      </c>
      <c r="AD145">
        <f t="shared" si="72"/>
        <v>16.746653646866921</v>
      </c>
      <c r="AE145">
        <f t="shared" si="98"/>
        <v>73.253346353133082</v>
      </c>
      <c r="AF145">
        <f t="shared" si="99"/>
        <v>4.8556965935197286E-3</v>
      </c>
      <c r="AG145">
        <f t="shared" si="100"/>
        <v>73.258202049726606</v>
      </c>
      <c r="AH145">
        <f t="shared" si="73"/>
        <v>176.18595119381564</v>
      </c>
      <c r="AK145">
        <f t="shared" si="101"/>
        <v>0.35648281680454064</v>
      </c>
      <c r="AL145">
        <f t="shared" si="102"/>
        <v>0.93430187911782581</v>
      </c>
      <c r="AM145">
        <f t="shared" si="103"/>
        <v>866</v>
      </c>
      <c r="AN145">
        <f t="shared" si="104"/>
        <v>-433</v>
      </c>
      <c r="AO145">
        <f t="shared" si="105"/>
        <v>433</v>
      </c>
      <c r="AP145" s="16" cm="1">
        <f t="array" ref="AP145">SUMPRODUCT(1362*POWER(0.7,POWER(1/($AI$2*AK145+$AJ$2*AL145*COS(RADIANS(0.25*(_xlfn.SEQUENCE(AO145-AN145,1,AN145+1))))+0.50572*POWER(96.07995-DEGREES(ACOS($AI$2*AK145+$AJ$2*AL145*COS(RADIANS(0.25*(_xlfn.SEQUENCE(AO145-AN145,1,AN145+1)))))),-1.6364)),0.678))*IF(AL145*COS(RADIANS(0.25*(_xlfn.SEQUENCE(AO145-AN145,1,AN145+1))))&gt;0,AL145*COS(RADIANS(0.25*(_xlfn.SEQUENCE(AO145-AN145,1,AN145+1)))),0)/60)</f>
        <v>6347.9260634908596</v>
      </c>
      <c r="AQ145" s="17" cm="1">
        <f t="array" ref="AQ145">SUMPRODUCT(1362*POWER(0.7,POWER(1/($AI$2*AK145+$AJ$2*AL145*COS(RADIANS(0.25*(_xlfn.SEQUENCE(AO145-AN145,1,AN145+1))))+0.50572*POWER(96.07995-DEGREES(ACOS($AI$2*AK145+$AJ$2*AL145*COS(RADIANS(0.25*(_xlfn.SEQUENCE(AO145-AN145,1,AN145+1)))))),-1.6364)),0.678))/60)</f>
        <v>10655.953149289764</v>
      </c>
      <c r="AR145" s="15">
        <f t="shared" si="106"/>
        <v>1.6786511126170598</v>
      </c>
      <c r="AT145">
        <v>0.35142481141819581</v>
      </c>
      <c r="AU145">
        <v>69.42551226871953</v>
      </c>
      <c r="AV145">
        <v>2.8266692703881957</v>
      </c>
      <c r="AW145">
        <v>661.96209736614981</v>
      </c>
    </row>
    <row r="146" spans="4:49" ht="17" x14ac:dyDescent="0.2">
      <c r="D146" s="1">
        <f t="shared" si="107"/>
        <v>46167</v>
      </c>
      <c r="E146" s="6">
        <f t="shared" si="74"/>
        <v>0.5</v>
      </c>
      <c r="F146" s="2">
        <f t="shared" si="75"/>
        <v>2461186.3333333335</v>
      </c>
      <c r="G146" s="3">
        <f t="shared" si="76"/>
        <v>0.26396532055670058</v>
      </c>
      <c r="I146">
        <f t="shared" si="77"/>
        <v>63.421229590219809</v>
      </c>
      <c r="J146">
        <f t="shared" si="78"/>
        <v>9860.0299488271739</v>
      </c>
      <c r="K146">
        <f t="shared" si="79"/>
        <v>1.6697528861656378E-2</v>
      </c>
      <c r="L146">
        <f t="shared" si="80"/>
        <v>1.2096893398828039</v>
      </c>
      <c r="M146">
        <f t="shared" si="81"/>
        <v>64.630918930102609</v>
      </c>
      <c r="N146">
        <f t="shared" si="82"/>
        <v>9861.2396381670569</v>
      </c>
      <c r="O146">
        <f t="shared" si="83"/>
        <v>1.0129105623799393</v>
      </c>
      <c r="P146">
        <f t="shared" si="84"/>
        <v>64.627287136778605</v>
      </c>
      <c r="Q146">
        <f t="shared" si="85"/>
        <v>23.435858459931637</v>
      </c>
      <c r="R146">
        <f t="shared" si="86"/>
        <v>23.438168985358899</v>
      </c>
      <c r="S146">
        <f t="shared" si="87"/>
        <v>62.665512754800446</v>
      </c>
      <c r="T146" s="19">
        <f t="shared" si="88"/>
        <v>21.062807672836882</v>
      </c>
      <c r="U146">
        <f t="shared" si="89"/>
        <v>4.3030291726039116E-2</v>
      </c>
      <c r="V146">
        <f t="shared" si="90"/>
        <v>3.0042900607851672</v>
      </c>
      <c r="W146">
        <f t="shared" si="91"/>
        <v>108.43612864594144</v>
      </c>
      <c r="X146" s="6">
        <f t="shared" si="92"/>
        <v>0.50333554856889906</v>
      </c>
      <c r="Y146" s="6">
        <f t="shared" si="93"/>
        <v>0.20212408010795066</v>
      </c>
      <c r="Z146" s="6">
        <f t="shared" si="94"/>
        <v>0.80454701702984754</v>
      </c>
      <c r="AA146" s="19">
        <f t="shared" si="95"/>
        <v>867.4890291675315</v>
      </c>
      <c r="AB146">
        <f t="shared" si="96"/>
        <v>715.19681006078508</v>
      </c>
      <c r="AC146">
        <f t="shared" si="97"/>
        <v>-1.2007974848037293</v>
      </c>
      <c r="AD146">
        <f t="shared" si="72"/>
        <v>16.569844698954263</v>
      </c>
      <c r="AE146">
        <f t="shared" si="98"/>
        <v>73.430155301045744</v>
      </c>
      <c r="AF146">
        <f t="shared" si="99"/>
        <v>4.801452128294398E-3</v>
      </c>
      <c r="AG146">
        <f t="shared" si="100"/>
        <v>73.434956753174035</v>
      </c>
      <c r="AH146">
        <f t="shared" si="73"/>
        <v>176.06791824201218</v>
      </c>
      <c r="AK146">
        <f t="shared" si="101"/>
        <v>0.3593911255273195</v>
      </c>
      <c r="AL146">
        <f t="shared" si="102"/>
        <v>0.93318702246238217</v>
      </c>
      <c r="AM146">
        <f t="shared" si="103"/>
        <v>867</v>
      </c>
      <c r="AN146">
        <f t="shared" si="104"/>
        <v>-433.5</v>
      </c>
      <c r="AO146">
        <f t="shared" si="105"/>
        <v>433.5</v>
      </c>
      <c r="AP146" s="16" cm="1">
        <f t="array" ref="AP146">SUMPRODUCT(1362*POWER(0.7,POWER(1/($AI$2*AK146+$AJ$2*AL146*COS(RADIANS(0.25*(_xlfn.SEQUENCE(AO146-AN146,1,AN146+1))))+0.50572*POWER(96.07995-DEGREES(ACOS($AI$2*AK146+$AJ$2*AL146*COS(RADIANS(0.25*(_xlfn.SEQUENCE(AO146-AN146,1,AN146+1)))))),-1.6364)),0.678))*IF(AL146*COS(RADIANS(0.25*(_xlfn.SEQUENCE(AO146-AN146,1,AN146+1))))&gt;0,AL146*COS(RADIANS(0.25*(_xlfn.SEQUENCE(AO146-AN146,1,AN146+1)))),0)/60)</f>
        <v>6343.2448978237308</v>
      </c>
      <c r="AQ146" s="17" cm="1">
        <f t="array" ref="AQ146">SUMPRODUCT(1362*POWER(0.7,POWER(1/($AI$2*AK146+$AJ$2*AL146*COS(RADIANS(0.25*(_xlfn.SEQUENCE(AO146-AN146,1,AN146+1))))+0.50572*POWER(96.07995-DEGREES(ACOS($AI$2*AK146+$AJ$2*AL146*COS(RADIANS(0.25*(_xlfn.SEQUENCE(AO146-AN146,1,AN146+1)))))),-1.6364)),0.678))/60)</f>
        <v>10674.070000437849</v>
      </c>
      <c r="AR146" s="15">
        <f t="shared" si="106"/>
        <v>1.6827460034059156</v>
      </c>
      <c r="AT146">
        <v>0.35329598597641276</v>
      </c>
      <c r="AU146">
        <v>69.310954612773997</v>
      </c>
      <c r="AV146">
        <v>2.8119269914192504</v>
      </c>
      <c r="AW146">
        <v>663.65452238530816</v>
      </c>
    </row>
    <row r="147" spans="4:49" ht="17" x14ac:dyDescent="0.2">
      <c r="D147" s="1">
        <f t="shared" si="107"/>
        <v>46168</v>
      </c>
      <c r="E147" s="6">
        <f t="shared" si="74"/>
        <v>0.5</v>
      </c>
      <c r="F147" s="2">
        <f t="shared" si="75"/>
        <v>2461187.3333333335</v>
      </c>
      <c r="G147" s="3">
        <f t="shared" si="76"/>
        <v>0.2639926990645719</v>
      </c>
      <c r="I147">
        <f t="shared" si="77"/>
        <v>64.406876954766631</v>
      </c>
      <c r="J147">
        <f t="shared" si="78"/>
        <v>9861.0155491066762</v>
      </c>
      <c r="K147">
        <f t="shared" si="79"/>
        <v>1.6697527708914632E-2</v>
      </c>
      <c r="L147">
        <f t="shared" si="80"/>
        <v>1.1844234538369298</v>
      </c>
      <c r="M147">
        <f t="shared" si="81"/>
        <v>65.591300408603558</v>
      </c>
      <c r="N147">
        <f t="shared" si="82"/>
        <v>9862.1999725605128</v>
      </c>
      <c r="O147">
        <f t="shared" si="83"/>
        <v>1.0130885257671947</v>
      </c>
      <c r="P147">
        <f t="shared" si="84"/>
        <v>65.587672601644158</v>
      </c>
      <c r="Q147">
        <f t="shared" si="85"/>
        <v>23.43585810389747</v>
      </c>
      <c r="R147">
        <f t="shared" si="86"/>
        <v>23.438167609570293</v>
      </c>
      <c r="S147">
        <f t="shared" si="87"/>
        <v>63.678531283053758</v>
      </c>
      <c r="T147" s="19">
        <f t="shared" si="88"/>
        <v>21.235208028049101</v>
      </c>
      <c r="U147">
        <f t="shared" si="89"/>
        <v>4.3030286530709234E-2</v>
      </c>
      <c r="V147">
        <f t="shared" si="90"/>
        <v>2.8949030749477944</v>
      </c>
      <c r="W147">
        <f t="shared" si="91"/>
        <v>108.59848148189238</v>
      </c>
      <c r="X147" s="6">
        <f t="shared" si="92"/>
        <v>0.50341151175350851</v>
      </c>
      <c r="Y147" s="6">
        <f t="shared" si="93"/>
        <v>0.20174906319269634</v>
      </c>
      <c r="Z147" s="6">
        <f t="shared" si="94"/>
        <v>0.80507396031432055</v>
      </c>
      <c r="AA147" s="19">
        <f t="shared" si="95"/>
        <v>868.78785185513902</v>
      </c>
      <c r="AB147">
        <f t="shared" si="96"/>
        <v>715.08742307494776</v>
      </c>
      <c r="AC147">
        <f t="shared" si="97"/>
        <v>-1.2281442312630588</v>
      </c>
      <c r="AD147">
        <f t="shared" si="72"/>
        <v>16.399255934813546</v>
      </c>
      <c r="AE147">
        <f t="shared" si="98"/>
        <v>73.600744065186461</v>
      </c>
      <c r="AF147">
        <f t="shared" si="99"/>
        <v>4.7492099717044234E-3</v>
      </c>
      <c r="AG147">
        <f t="shared" si="100"/>
        <v>73.605493275158167</v>
      </c>
      <c r="AH147">
        <f t="shared" si="73"/>
        <v>175.94223494565244</v>
      </c>
      <c r="AK147">
        <f t="shared" si="101"/>
        <v>0.36219741102864372</v>
      </c>
      <c r="AL147">
        <f t="shared" si="102"/>
        <v>0.93210140834790489</v>
      </c>
      <c r="AM147">
        <f t="shared" si="103"/>
        <v>869</v>
      </c>
      <c r="AN147">
        <f t="shared" si="104"/>
        <v>-434.5</v>
      </c>
      <c r="AO147">
        <f t="shared" si="105"/>
        <v>434.5</v>
      </c>
      <c r="AP147" s="16" cm="1">
        <f t="array" ref="AP147">SUMPRODUCT(1362*POWER(0.7,POWER(1/($AI$2*AK147+$AJ$2*AL147*COS(RADIANS(0.25*(_xlfn.SEQUENCE(AO147-AN147,1,AN147+1))))+0.50572*POWER(96.07995-DEGREES(ACOS($AI$2*AK147+$AJ$2*AL147*COS(RADIANS(0.25*(_xlfn.SEQUENCE(AO147-AN147,1,AN147+1)))))),-1.6364)),0.678))*IF(AL147*COS(RADIANS(0.25*(_xlfn.SEQUENCE(AO147-AN147,1,AN147+1))))&gt;0,AL147*COS(RADIANS(0.25*(_xlfn.SEQUENCE(AO147-AN147,1,AN147+1)))),0)/60)</f>
        <v>6338.6252483767257</v>
      </c>
      <c r="AQ147" s="17" cm="1">
        <f t="array" ref="AQ147">SUMPRODUCT(1362*POWER(0.7,POWER(1/($AI$2*AK147+$AJ$2*AL147*COS(RADIANS(0.25*(_xlfn.SEQUENCE(AO147-AN147,1,AN147+1))))+0.50572*POWER(96.07995-DEGREES(ACOS($AI$2*AK147+$AJ$2*AL147*COS(RADIANS(0.25*(_xlfn.SEQUENCE(AO147-AN147,1,AN147+1)))))),-1.6364)),0.678))/60)</f>
        <v>10691.707804610127</v>
      </c>
      <c r="AR147" s="15">
        <f t="shared" si="106"/>
        <v>1.6867549958641572</v>
      </c>
      <c r="AT147">
        <v>0.35515590523386908</v>
      </c>
      <c r="AU147">
        <v>69.197000247950598</v>
      </c>
      <c r="AV147">
        <v>2.7974236582417111</v>
      </c>
      <c r="AW147">
        <v>665.32653941962883</v>
      </c>
    </row>
    <row r="148" spans="4:49" ht="17" x14ac:dyDescent="0.2">
      <c r="D148" s="1">
        <f t="shared" si="107"/>
        <v>46169</v>
      </c>
      <c r="E148" s="6">
        <f t="shared" si="74"/>
        <v>0.5</v>
      </c>
      <c r="F148" s="2">
        <f t="shared" si="75"/>
        <v>2461188.3333333335</v>
      </c>
      <c r="G148" s="3">
        <f t="shared" si="76"/>
        <v>0.26402007757244322</v>
      </c>
      <c r="I148">
        <f t="shared" si="77"/>
        <v>65.392524319313452</v>
      </c>
      <c r="J148">
        <f t="shared" si="78"/>
        <v>9862.0011493861803</v>
      </c>
      <c r="K148">
        <f t="shared" si="79"/>
        <v>1.6697526556172695E-2</v>
      </c>
      <c r="L148">
        <f t="shared" si="80"/>
        <v>1.1588238232647903</v>
      </c>
      <c r="M148">
        <f t="shared" si="81"/>
        <v>66.551348142578249</v>
      </c>
      <c r="N148">
        <f t="shared" si="82"/>
        <v>9863.1599732094455</v>
      </c>
      <c r="O148">
        <f t="shared" si="83"/>
        <v>1.0132626853340834</v>
      </c>
      <c r="P148">
        <f t="shared" si="84"/>
        <v>66.54772432022196</v>
      </c>
      <c r="Q148">
        <f t="shared" si="85"/>
        <v>23.435857747863306</v>
      </c>
      <c r="R148">
        <f t="shared" si="86"/>
        <v>23.438166231808964</v>
      </c>
      <c r="S148">
        <f t="shared" si="87"/>
        <v>64.693526384763913</v>
      </c>
      <c r="T148" s="19">
        <f t="shared" si="88"/>
        <v>21.40149101342341</v>
      </c>
      <c r="U148">
        <f t="shared" si="89"/>
        <v>4.3030281327930187E-2</v>
      </c>
      <c r="V148">
        <f t="shared" si="90"/>
        <v>2.777628576157066</v>
      </c>
      <c r="W148">
        <f t="shared" si="91"/>
        <v>108.75559104902267</v>
      </c>
      <c r="X148" s="6">
        <f t="shared" si="92"/>
        <v>0.50349295237766867</v>
      </c>
      <c r="Y148" s="6">
        <f t="shared" si="93"/>
        <v>0.20139408835260567</v>
      </c>
      <c r="Z148" s="6">
        <f t="shared" si="94"/>
        <v>0.8055918164027317</v>
      </c>
      <c r="AA148" s="19">
        <f t="shared" si="95"/>
        <v>870.04472839218136</v>
      </c>
      <c r="AB148">
        <f t="shared" si="96"/>
        <v>714.97014857615704</v>
      </c>
      <c r="AC148">
        <f t="shared" si="97"/>
        <v>-1.257462855960739</v>
      </c>
      <c r="AD148">
        <f t="shared" si="72"/>
        <v>16.234954903944942</v>
      </c>
      <c r="AE148">
        <f t="shared" si="98"/>
        <v>73.765045096055061</v>
      </c>
      <c r="AF148">
        <f t="shared" si="99"/>
        <v>4.6989795612151497E-3</v>
      </c>
      <c r="AG148">
        <f t="shared" si="100"/>
        <v>73.769744075616273</v>
      </c>
      <c r="AH148">
        <f t="shared" si="73"/>
        <v>175.80900021903699</v>
      </c>
      <c r="AK148">
        <f t="shared" si="101"/>
        <v>0.36490101316655404</v>
      </c>
      <c r="AL148">
        <f t="shared" si="102"/>
        <v>0.93104632032462398</v>
      </c>
      <c r="AM148">
        <f t="shared" si="103"/>
        <v>870</v>
      </c>
      <c r="AN148">
        <f t="shared" si="104"/>
        <v>-435</v>
      </c>
      <c r="AO148">
        <f t="shared" si="105"/>
        <v>435</v>
      </c>
      <c r="AP148" s="16" cm="1">
        <f t="array" ref="AP148">SUMPRODUCT(1362*POWER(0.7,POWER(1/($AI$2*AK148+$AJ$2*AL148*COS(RADIANS(0.25*(_xlfn.SEQUENCE(AO148-AN148,1,AN148+1))))+0.50572*POWER(96.07995-DEGREES(ACOS($AI$2*AK148+$AJ$2*AL148*COS(RADIANS(0.25*(_xlfn.SEQUENCE(AO148-AN148,1,AN148+1)))))),-1.6364)),0.678))*IF(AL148*COS(RADIANS(0.25*(_xlfn.SEQUENCE(AO148-AN148,1,AN148+1))))&gt;0,AL148*COS(RADIANS(0.25*(_xlfn.SEQUENCE(AO148-AN148,1,AN148+1)))),0)/60)</f>
        <v>6334.0780784464187</v>
      </c>
      <c r="AQ148" s="17" cm="1">
        <f t="array" ref="AQ148">SUMPRODUCT(1362*POWER(0.7,POWER(1/($AI$2*AK148+$AJ$2*AL148*COS(RADIANS(0.25*(_xlfn.SEQUENCE(AO148-AN148,1,AN148+1))))+0.50572*POWER(96.07995-DEGREES(ACOS($AI$2*AK148+$AJ$2*AL148*COS(RADIANS(0.25*(_xlfn.SEQUENCE(AO148-AN148,1,AN148+1)))))),-1.6364)),0.678))/60)</f>
        <v>10708.613063736731</v>
      </c>
      <c r="AR148" s="15">
        <f t="shared" si="106"/>
        <v>1.6906348376373772</v>
      </c>
      <c r="AT148">
        <v>0.35700453378038288</v>
      </c>
      <c r="AU148">
        <v>69.083652259968915</v>
      </c>
      <c r="AV148">
        <v>2.7831545769292543</v>
      </c>
      <c r="AW148">
        <v>666.97839808088156</v>
      </c>
    </row>
    <row r="149" spans="4:49" ht="17" x14ac:dyDescent="0.2">
      <c r="D149" s="1">
        <f t="shared" si="107"/>
        <v>46170</v>
      </c>
      <c r="E149" s="6">
        <f t="shared" si="74"/>
        <v>0.5</v>
      </c>
      <c r="F149" s="2">
        <f t="shared" si="75"/>
        <v>2461189.3333333335</v>
      </c>
      <c r="G149" s="3">
        <f t="shared" si="76"/>
        <v>0.26404745608031455</v>
      </c>
      <c r="I149">
        <f t="shared" si="77"/>
        <v>66.378171683862092</v>
      </c>
      <c r="J149">
        <f t="shared" si="78"/>
        <v>9862.9867496656825</v>
      </c>
      <c r="K149">
        <f t="shared" si="79"/>
        <v>1.6697525403430568E-2</v>
      </c>
      <c r="L149">
        <f t="shared" si="80"/>
        <v>1.1328978706456037</v>
      </c>
      <c r="M149">
        <f t="shared" si="81"/>
        <v>67.511069554507699</v>
      </c>
      <c r="N149">
        <f t="shared" si="82"/>
        <v>9864.1196475363286</v>
      </c>
      <c r="O149">
        <f t="shared" si="83"/>
        <v>1.0134329935048338</v>
      </c>
      <c r="P149">
        <f t="shared" si="84"/>
        <v>67.507449714989647</v>
      </c>
      <c r="Q149">
        <f t="shared" si="85"/>
        <v>23.435857391829138</v>
      </c>
      <c r="R149">
        <f t="shared" si="86"/>
        <v>23.438164852075772</v>
      </c>
      <c r="S149">
        <f t="shared" si="87"/>
        <v>65.71044424883668</v>
      </c>
      <c r="T149" s="19">
        <f t="shared" si="88"/>
        <v>21.56159822414719</v>
      </c>
      <c r="U149">
        <f t="shared" si="89"/>
        <v>4.3030276117705213E-2</v>
      </c>
      <c r="V149">
        <f t="shared" si="90"/>
        <v>2.6526820006280367</v>
      </c>
      <c r="W149">
        <f t="shared" si="91"/>
        <v>108.90735194598318</v>
      </c>
      <c r="X149" s="6">
        <f t="shared" si="92"/>
        <v>0.50357972083289704</v>
      </c>
      <c r="Y149" s="6">
        <f t="shared" si="93"/>
        <v>0.20105929876072151</v>
      </c>
      <c r="Z149" s="6">
        <f t="shared" si="94"/>
        <v>0.80610014290507259</v>
      </c>
      <c r="AA149" s="19">
        <f t="shared" si="95"/>
        <v>871.25881556786544</v>
      </c>
      <c r="AB149">
        <f t="shared" si="96"/>
        <v>714.84520200062798</v>
      </c>
      <c r="AC149">
        <f t="shared" si="97"/>
        <v>-1.2886994998430055</v>
      </c>
      <c r="AD149">
        <f t="shared" si="72"/>
        <v>16.077007305036073</v>
      </c>
      <c r="AE149">
        <f t="shared" si="98"/>
        <v>73.922992694963924</v>
      </c>
      <c r="AF149">
        <f t="shared" si="99"/>
        <v>4.650770253535161E-3</v>
      </c>
      <c r="AG149">
        <f t="shared" si="100"/>
        <v>73.927643465217457</v>
      </c>
      <c r="AH149">
        <f t="shared" si="73"/>
        <v>175.66834387123492</v>
      </c>
      <c r="AK149">
        <f t="shared" si="101"/>
        <v>0.36750129904739748</v>
      </c>
      <c r="AL149">
        <f t="shared" si="102"/>
        <v>0.93002300788661962</v>
      </c>
      <c r="AM149">
        <f t="shared" si="103"/>
        <v>871</v>
      </c>
      <c r="AN149">
        <f t="shared" si="104"/>
        <v>-435.5</v>
      </c>
      <c r="AO149">
        <f t="shared" si="105"/>
        <v>435.5</v>
      </c>
      <c r="AP149" s="16" cm="1">
        <f t="array" ref="AP149">SUMPRODUCT(1362*POWER(0.7,POWER(1/($AI$2*AK149+$AJ$2*AL149*COS(RADIANS(0.25*(_xlfn.SEQUENCE(AO149-AN149,1,AN149+1))))+0.50572*POWER(96.07995-DEGREES(ACOS($AI$2*AK149+$AJ$2*AL149*COS(RADIANS(0.25*(_xlfn.SEQUENCE(AO149-AN149,1,AN149+1)))))),-1.6364)),0.678))*IF(AL149*COS(RADIANS(0.25*(_xlfn.SEQUENCE(AO149-AN149,1,AN149+1))))&gt;0,AL149*COS(RADIANS(0.25*(_xlfn.SEQUENCE(AO149-AN149,1,AN149+1)))),0)/60)</f>
        <v>6329.6402262448173</v>
      </c>
      <c r="AQ149" s="17" cm="1">
        <f t="array" ref="AQ149">SUMPRODUCT(1362*POWER(0.7,POWER(1/($AI$2*AK149+$AJ$2*AL149*COS(RADIANS(0.25*(_xlfn.SEQUENCE(AO149-AN149,1,AN149+1))))+0.50572*POWER(96.07995-DEGREES(ACOS($AI$2*AK149+$AJ$2*AL149*COS(RADIANS(0.25*(_xlfn.SEQUENCE(AO149-AN149,1,AN149+1)))))),-1.6364)),0.678))/60)</f>
        <v>10724.901331871371</v>
      </c>
      <c r="AR149" s="15">
        <f t="shared" si="106"/>
        <v>1.6943935118780249</v>
      </c>
      <c r="AT149">
        <v>0.35884183642073164</v>
      </c>
      <c r="AU149">
        <v>68.970913738017572</v>
      </c>
      <c r="AV149">
        <v>2.7691151828608129</v>
      </c>
      <c r="AW149">
        <v>668.61034313799212</v>
      </c>
    </row>
    <row r="150" spans="4:49" ht="17" x14ac:dyDescent="0.2">
      <c r="D150" s="1">
        <f t="shared" si="107"/>
        <v>46171</v>
      </c>
      <c r="E150" s="6">
        <f t="shared" si="74"/>
        <v>0.5</v>
      </c>
      <c r="F150" s="2">
        <f t="shared" si="75"/>
        <v>2461190.3333333335</v>
      </c>
      <c r="G150" s="3">
        <f t="shared" si="76"/>
        <v>0.26407483458818587</v>
      </c>
      <c r="I150">
        <f t="shared" si="77"/>
        <v>67.363819048410733</v>
      </c>
      <c r="J150">
        <f t="shared" si="78"/>
        <v>9863.9723499451848</v>
      </c>
      <c r="K150">
        <f t="shared" si="79"/>
        <v>1.6697524250688253E-2</v>
      </c>
      <c r="L150">
        <f t="shared" si="80"/>
        <v>1.1066530963284333</v>
      </c>
      <c r="M150">
        <f t="shared" si="81"/>
        <v>68.470472144739162</v>
      </c>
      <c r="N150">
        <f t="shared" si="82"/>
        <v>9865.0790030415137</v>
      </c>
      <c r="O150">
        <f t="shared" si="83"/>
        <v>1.0135994038039029</v>
      </c>
      <c r="P150">
        <f t="shared" si="84"/>
        <v>68.466856286291048</v>
      </c>
      <c r="Q150">
        <f t="shared" si="85"/>
        <v>23.435857035794974</v>
      </c>
      <c r="R150">
        <f t="shared" si="86"/>
        <v>23.438163470371606</v>
      </c>
      <c r="S150">
        <f t="shared" si="87"/>
        <v>66.729227911993789</v>
      </c>
      <c r="T150" s="19">
        <f t="shared" si="88"/>
        <v>21.715473156725253</v>
      </c>
      <c r="U150">
        <f t="shared" si="89"/>
        <v>4.3030270900037693E-2</v>
      </c>
      <c r="V150">
        <f t="shared" si="90"/>
        <v>2.5202913168171768</v>
      </c>
      <c r="W150">
        <f t="shared" si="91"/>
        <v>109.05366067616232</v>
      </c>
      <c r="X150" s="6">
        <f t="shared" si="92"/>
        <v>0.50367165880776588</v>
      </c>
      <c r="Y150" s="6">
        <f t="shared" si="93"/>
        <v>0.20074482359620388</v>
      </c>
      <c r="Z150" s="6">
        <f t="shared" si="94"/>
        <v>0.80659849401932793</v>
      </c>
      <c r="AA150" s="19">
        <f t="shared" si="95"/>
        <v>872.42928540929859</v>
      </c>
      <c r="AB150">
        <f t="shared" si="96"/>
        <v>714.71281131681712</v>
      </c>
      <c r="AC150">
        <f t="shared" si="97"/>
        <v>-1.321797170795719</v>
      </c>
      <c r="AD150">
        <f t="shared" si="72"/>
        <v>15.925476827192581</v>
      </c>
      <c r="AE150">
        <f t="shared" si="98"/>
        <v>74.074523172807417</v>
      </c>
      <c r="AF150">
        <f t="shared" si="99"/>
        <v>4.6045912726499338E-3</v>
      </c>
      <c r="AG150">
        <f t="shared" si="100"/>
        <v>74.07912776408007</v>
      </c>
      <c r="AH150">
        <f t="shared" si="73"/>
        <v>175.52042764529688</v>
      </c>
      <c r="AK150">
        <f t="shared" si="101"/>
        <v>0.36999766303557219</v>
      </c>
      <c r="AL150">
        <f t="shared" si="102"/>
        <v>0.92903268475776202</v>
      </c>
      <c r="AM150">
        <f t="shared" si="103"/>
        <v>872</v>
      </c>
      <c r="AN150">
        <f t="shared" si="104"/>
        <v>-436</v>
      </c>
      <c r="AO150">
        <f t="shared" si="105"/>
        <v>436</v>
      </c>
      <c r="AP150" s="16" cm="1">
        <f t="array" ref="AP150">SUMPRODUCT(1362*POWER(0.7,POWER(1/($AI$2*AK150+$AJ$2*AL150*COS(RADIANS(0.25*(_xlfn.SEQUENCE(AO150-AN150,1,AN150+1))))+0.50572*POWER(96.07995-DEGREES(ACOS($AI$2*AK150+$AJ$2*AL150*COS(RADIANS(0.25*(_xlfn.SEQUENCE(AO150-AN150,1,AN150+1)))))),-1.6364)),0.678))*IF(AL150*COS(RADIANS(0.25*(_xlfn.SEQUENCE(AO150-AN150,1,AN150+1))))&gt;0,AL150*COS(RADIANS(0.25*(_xlfn.SEQUENCE(AO150-AN150,1,AN150+1)))),0)/60)</f>
        <v>6325.2873147134524</v>
      </c>
      <c r="AQ150" s="17" cm="1">
        <f t="array" ref="AQ150">SUMPRODUCT(1362*POWER(0.7,POWER(1/($AI$2*AK150+$AJ$2*AL150*COS(RADIANS(0.25*(_xlfn.SEQUENCE(AO150-AN150,1,AN150+1))))+0.50572*POWER(96.07995-DEGREES(ACOS($AI$2*AK150+$AJ$2*AL150*COS(RADIANS(0.25*(_xlfn.SEQUENCE(AO150-AN150,1,AN150+1)))))),-1.6364)),0.678))/60)</f>
        <v>10740.566800535285</v>
      </c>
      <c r="AR150" s="15">
        <f t="shared" si="106"/>
        <v>1.6980361944272968</v>
      </c>
      <c r="AT150">
        <v>0.36066777817532125</v>
      </c>
      <c r="AU150">
        <v>68.858787774514397</v>
      </c>
      <c r="AV150">
        <v>2.7553010364210446</v>
      </c>
      <c r="AW150">
        <v>670.22261462421079</v>
      </c>
    </row>
    <row r="151" spans="4:49" ht="17" x14ac:dyDescent="0.2">
      <c r="D151" s="1">
        <f t="shared" si="107"/>
        <v>46172</v>
      </c>
      <c r="E151" s="6">
        <f t="shared" si="74"/>
        <v>0.5</v>
      </c>
      <c r="F151" s="2">
        <f t="shared" si="75"/>
        <v>2461191.3333333335</v>
      </c>
      <c r="G151" s="3">
        <f t="shared" si="76"/>
        <v>0.26410221309605719</v>
      </c>
      <c r="I151">
        <f t="shared" si="77"/>
        <v>68.349466412959373</v>
      </c>
      <c r="J151">
        <f t="shared" si="78"/>
        <v>9864.957950224687</v>
      </c>
      <c r="K151">
        <f t="shared" si="79"/>
        <v>1.6697523097945748E-2</v>
      </c>
      <c r="L151">
        <f t="shared" si="80"/>
        <v>1.0800970765359437</v>
      </c>
      <c r="M151">
        <f t="shared" si="81"/>
        <v>69.429563489495322</v>
      </c>
      <c r="N151">
        <f t="shared" si="82"/>
        <v>9866.0380473012228</v>
      </c>
      <c r="O151">
        <f t="shared" si="83"/>
        <v>1.0137618708653664</v>
      </c>
      <c r="P151">
        <f t="shared" si="84"/>
        <v>69.425951610345479</v>
      </c>
      <c r="Q151">
        <f t="shared" si="85"/>
        <v>23.435856679760811</v>
      </c>
      <c r="R151">
        <f t="shared" si="86"/>
        <v>23.438162086697332</v>
      </c>
      <c r="S151">
        <f t="shared" si="87"/>
        <v>67.749817320098501</v>
      </c>
      <c r="T151" s="19">
        <f t="shared" si="88"/>
        <v>21.863061268267032</v>
      </c>
      <c r="U151">
        <f t="shared" si="89"/>
        <v>4.3030265674930887E-2</v>
      </c>
      <c r="V151">
        <f t="shared" si="90"/>
        <v>2.380696762174098</v>
      </c>
      <c r="W151">
        <f t="shared" si="91"/>
        <v>109.19441588378911</v>
      </c>
      <c r="X151" s="6">
        <f t="shared" si="92"/>
        <v>0.5037685994707124</v>
      </c>
      <c r="Y151" s="6">
        <f t="shared" si="93"/>
        <v>0.2004507775712982</v>
      </c>
      <c r="Z151" s="6">
        <f t="shared" si="94"/>
        <v>0.80708642137012654</v>
      </c>
      <c r="AA151" s="19">
        <f t="shared" si="95"/>
        <v>873.55532707031284</v>
      </c>
      <c r="AB151">
        <f t="shared" si="96"/>
        <v>714.57321676217407</v>
      </c>
      <c r="AC151">
        <f t="shared" si="97"/>
        <v>-1.3566958094564825</v>
      </c>
      <c r="AD151">
        <f t="shared" si="72"/>
        <v>15.780424985022297</v>
      </c>
      <c r="AE151">
        <f t="shared" si="98"/>
        <v>74.219575014977707</v>
      </c>
      <c r="AF151">
        <f t="shared" si="99"/>
        <v>4.5604516561893954E-3</v>
      </c>
      <c r="AG151">
        <f t="shared" si="100"/>
        <v>74.224135466633896</v>
      </c>
      <c r="AH151">
        <f t="shared" si="73"/>
        <v>175.36544609040607</v>
      </c>
      <c r="AK151">
        <f t="shared" si="101"/>
        <v>0.37238952675925197</v>
      </c>
      <c r="AL151">
        <f t="shared" si="102"/>
        <v>0.92807652721099476</v>
      </c>
      <c r="AM151">
        <f t="shared" si="103"/>
        <v>874</v>
      </c>
      <c r="AN151">
        <f t="shared" si="104"/>
        <v>-437</v>
      </c>
      <c r="AO151">
        <f t="shared" si="105"/>
        <v>437</v>
      </c>
      <c r="AP151" s="16" cm="1">
        <f t="array" ref="AP151">SUMPRODUCT(1362*POWER(0.7,POWER(1/($AI$2*AK151+$AJ$2*AL151*COS(RADIANS(0.25*(_xlfn.SEQUENCE(AO151-AN151,1,AN151+1))))+0.50572*POWER(96.07995-DEGREES(ACOS($AI$2*AK151+$AJ$2*AL151*COS(RADIANS(0.25*(_xlfn.SEQUENCE(AO151-AN151,1,AN151+1)))))),-1.6364)),0.678))*IF(AL151*COS(RADIANS(0.25*(_xlfn.SEQUENCE(AO151-AN151,1,AN151+1))))&gt;0,AL151*COS(RADIANS(0.25*(_xlfn.SEQUENCE(AO151-AN151,1,AN151+1)))),0)/60)</f>
        <v>6321.0556297163503</v>
      </c>
      <c r="AQ151" s="17" cm="1">
        <f t="array" ref="AQ151">SUMPRODUCT(1362*POWER(0.7,POWER(1/($AI$2*AK151+$AJ$2*AL151*COS(RADIANS(0.25*(_xlfn.SEQUENCE(AO151-AN151,1,AN151+1))))+0.50572*POWER(96.07995-DEGREES(ACOS($AI$2*AK151+$AJ$2*AL151*COS(RADIANS(0.25*(_xlfn.SEQUENCE(AO151-AN151,1,AN151+1)))))),-1.6364)),0.678))/60)</f>
        <v>10755.726099472033</v>
      </c>
      <c r="AR151" s="15">
        <f t="shared" si="106"/>
        <v>1.7015711820202226</v>
      </c>
      <c r="AT151">
        <v>0.36248232428085292</v>
      </c>
      <c r="AU151">
        <v>68.747277464861952</v>
      </c>
      <c r="AV151">
        <v>2.7417078188717072</v>
      </c>
      <c r="AW151">
        <v>671.8154479414851</v>
      </c>
    </row>
    <row r="152" spans="4:49" ht="17" x14ac:dyDescent="0.2">
      <c r="D152" s="1">
        <f t="shared" si="107"/>
        <v>46173</v>
      </c>
      <c r="E152" s="6">
        <f t="shared" si="74"/>
        <v>0.5</v>
      </c>
      <c r="F152" s="2">
        <f t="shared" si="75"/>
        <v>2461192.3333333335</v>
      </c>
      <c r="G152" s="3">
        <f t="shared" si="76"/>
        <v>0.26412959160392852</v>
      </c>
      <c r="I152">
        <f t="shared" si="77"/>
        <v>69.335113777508013</v>
      </c>
      <c r="J152">
        <f t="shared" si="78"/>
        <v>9865.9435505041893</v>
      </c>
      <c r="K152">
        <f t="shared" si="79"/>
        <v>1.6697521945203051E-2</v>
      </c>
      <c r="L152">
        <f t="shared" si="80"/>
        <v>1.0532374613641433</v>
      </c>
      <c r="M152">
        <f t="shared" si="81"/>
        <v>70.388351238872161</v>
      </c>
      <c r="N152">
        <f t="shared" si="82"/>
        <v>9866.9967879655542</v>
      </c>
      <c r="O152">
        <f t="shared" si="83"/>
        <v>1.0139203504420398</v>
      </c>
      <c r="P152">
        <f t="shared" si="84"/>
        <v>70.384743337245496</v>
      </c>
      <c r="Q152">
        <f t="shared" si="85"/>
        <v>23.435856323726647</v>
      </c>
      <c r="R152">
        <f t="shared" si="86"/>
        <v>23.438160701053832</v>
      </c>
      <c r="S152">
        <f t="shared" si="87"/>
        <v>68.772149396855099</v>
      </c>
      <c r="T152" s="19">
        <f t="shared" si="88"/>
        <v>22.004310034894534</v>
      </c>
      <c r="U152">
        <f t="shared" si="89"/>
        <v>4.3030260442388134E-2</v>
      </c>
      <c r="V152">
        <f t="shared" si="90"/>
        <v>2.234150551639849</v>
      </c>
      <c r="W152">
        <f t="shared" si="91"/>
        <v>109.32951859136874</v>
      </c>
      <c r="X152" s="6">
        <f t="shared" si="92"/>
        <v>0.50387036767247229</v>
      </c>
      <c r="Y152" s="6">
        <f t="shared" si="93"/>
        <v>0.20017726047422582</v>
      </c>
      <c r="Z152" s="6">
        <f t="shared" si="94"/>
        <v>0.80756347487071878</v>
      </c>
      <c r="AA152" s="19">
        <f t="shared" si="95"/>
        <v>874.63614873094991</v>
      </c>
      <c r="AB152">
        <f t="shared" si="96"/>
        <v>714.42667055163975</v>
      </c>
      <c r="AC152">
        <f t="shared" si="97"/>
        <v>-1.3933323620900637</v>
      </c>
      <c r="AD152">
        <f t="shared" si="72"/>
        <v>15.641910948674671</v>
      </c>
      <c r="AE152">
        <f t="shared" si="98"/>
        <v>74.358089051325322</v>
      </c>
      <c r="AF152">
        <f t="shared" si="99"/>
        <v>4.5183602004582706E-3</v>
      </c>
      <c r="AG152">
        <f t="shared" si="100"/>
        <v>74.362607411525786</v>
      </c>
      <c r="AH152">
        <f t="shared" si="73"/>
        <v>175.20362724322842</v>
      </c>
      <c r="AK152">
        <f t="shared" si="101"/>
        <v>0.37467633911218612</v>
      </c>
      <c r="AL152">
        <f t="shared" si="102"/>
        <v>0.92715567242480379</v>
      </c>
      <c r="AM152">
        <f t="shared" si="103"/>
        <v>875</v>
      </c>
      <c r="AN152">
        <f t="shared" si="104"/>
        <v>-437.5</v>
      </c>
      <c r="AO152">
        <f t="shared" si="105"/>
        <v>437.5</v>
      </c>
      <c r="AP152" s="16" cm="1">
        <f t="array" ref="AP152">SUMPRODUCT(1362*POWER(0.7,POWER(1/($AI$2*AK152+$AJ$2*AL152*COS(RADIANS(0.25*(_xlfn.SEQUENCE(AO152-AN152,1,AN152+1))))+0.50572*POWER(96.07995-DEGREES(ACOS($AI$2*AK152+$AJ$2*AL152*COS(RADIANS(0.25*(_xlfn.SEQUENCE(AO152-AN152,1,AN152+1)))))),-1.6364)),0.678))*IF(AL152*COS(RADIANS(0.25*(_xlfn.SEQUENCE(AO152-AN152,1,AN152+1))))&gt;0,AL152*COS(RADIANS(0.25*(_xlfn.SEQUENCE(AO152-AN152,1,AN152+1)))),0)/60)</f>
        <v>6316.9550311629464</v>
      </c>
      <c r="AQ152" s="17" cm="1">
        <f t="array" ref="AQ152">SUMPRODUCT(1362*POWER(0.7,POWER(1/($AI$2*AK152+$AJ$2*AL152*COS(RADIANS(0.25*(_xlfn.SEQUENCE(AO152-AN152,1,AN152+1))))+0.50572*POWER(96.07995-DEGREES(ACOS($AI$2*AK152+$AJ$2*AL152*COS(RADIANS(0.25*(_xlfn.SEQUENCE(AO152-AN152,1,AN152+1)))))),-1.6364)),0.678))/60)</f>
        <v>10770.130008250582</v>
      </c>
      <c r="AR152" s="15">
        <f t="shared" si="106"/>
        <v>1.7049559408162844</v>
      </c>
      <c r="AT152">
        <v>0.36428544019098441</v>
      </c>
      <c r="AU152">
        <v>68.636385907199084</v>
      </c>
      <c r="AV152">
        <v>2.7283313283861363</v>
      </c>
      <c r="AW152">
        <v>673.38907396211391</v>
      </c>
    </row>
    <row r="153" spans="4:49" ht="17" x14ac:dyDescent="0.2">
      <c r="D153" s="1">
        <f t="shared" si="107"/>
        <v>46174</v>
      </c>
      <c r="E153" s="6">
        <f t="shared" si="74"/>
        <v>0.5</v>
      </c>
      <c r="F153" s="2">
        <f t="shared" si="75"/>
        <v>2461193.3333333335</v>
      </c>
      <c r="G153" s="3">
        <f t="shared" si="76"/>
        <v>0.26415697011179984</v>
      </c>
      <c r="I153">
        <f t="shared" si="77"/>
        <v>70.320761142058473</v>
      </c>
      <c r="J153">
        <f t="shared" si="78"/>
        <v>9866.9291507836897</v>
      </c>
      <c r="K153">
        <f t="shared" si="79"/>
        <v>1.6697520792460164E-2</v>
      </c>
      <c r="L153">
        <f t="shared" si="80"/>
        <v>1.026081972780063</v>
      </c>
      <c r="M153">
        <f t="shared" si="81"/>
        <v>71.346843114838535</v>
      </c>
      <c r="N153">
        <f t="shared" si="82"/>
        <v>9867.9552327564707</v>
      </c>
      <c r="O153">
        <f t="shared" si="83"/>
        <v>1.0140747994143264</v>
      </c>
      <c r="P153">
        <f t="shared" si="84"/>
        <v>71.343239188956559</v>
      </c>
      <c r="Q153">
        <f t="shared" si="85"/>
        <v>23.435855967692483</v>
      </c>
      <c r="R153">
        <f t="shared" si="86"/>
        <v>23.438159313441986</v>
      </c>
      <c r="S153">
        <f t="shared" si="87"/>
        <v>69.796158119905797</v>
      </c>
      <c r="T153" s="19">
        <f t="shared" si="88"/>
        <v>22.139169009087759</v>
      </c>
      <c r="U153">
        <f t="shared" si="89"/>
        <v>4.3030255202412743E-2</v>
      </c>
      <c r="V153">
        <f t="shared" si="90"/>
        <v>2.0809165581615039</v>
      </c>
      <c r="W153">
        <f t="shared" si="91"/>
        <v>109.45887243745629</v>
      </c>
      <c r="X153" s="6">
        <f t="shared" si="92"/>
        <v>0.50397678016794334</v>
      </c>
      <c r="Y153" s="6">
        <f t="shared" si="93"/>
        <v>0.19992435673056472</v>
      </c>
      <c r="Z153" s="6">
        <f t="shared" si="94"/>
        <v>0.80802920360532193</v>
      </c>
      <c r="AA153" s="19">
        <f t="shared" si="95"/>
        <v>875.67097949965034</v>
      </c>
      <c r="AB153">
        <f t="shared" si="96"/>
        <v>714.27343655816139</v>
      </c>
      <c r="AC153">
        <f t="shared" si="97"/>
        <v>-1.4316408604596518</v>
      </c>
      <c r="AD153">
        <f t="shared" si="72"/>
        <v>15.509991370106841</v>
      </c>
      <c r="AE153">
        <f t="shared" si="98"/>
        <v>74.490008629893154</v>
      </c>
      <c r="AF153">
        <f t="shared" si="99"/>
        <v>4.4783254045052418E-3</v>
      </c>
      <c r="AG153">
        <f t="shared" si="100"/>
        <v>74.49448695529766</v>
      </c>
      <c r="AH153">
        <f t="shared" si="73"/>
        <v>175.03523309529442</v>
      </c>
      <c r="AK153">
        <f t="shared" si="101"/>
        <v>0.37685757625175831</v>
      </c>
      <c r="AL153">
        <f t="shared" si="102"/>
        <v>0.92627121688069858</v>
      </c>
      <c r="AM153">
        <f t="shared" si="103"/>
        <v>876</v>
      </c>
      <c r="AN153">
        <f t="shared" si="104"/>
        <v>-438</v>
      </c>
      <c r="AO153">
        <f t="shared" si="105"/>
        <v>438</v>
      </c>
      <c r="AP153" s="16" cm="1">
        <f t="array" ref="AP153">SUMPRODUCT(1362*POWER(0.7,POWER(1/($AI$2*AK153+$AJ$2*AL153*COS(RADIANS(0.25*(_xlfn.SEQUENCE(AO153-AN153,1,AN153+1))))+0.50572*POWER(96.07995-DEGREES(ACOS($AI$2*AK153+$AJ$2*AL153*COS(RADIANS(0.25*(_xlfn.SEQUENCE(AO153-AN153,1,AN153+1)))))),-1.6364)),0.678))*IF(AL153*COS(RADIANS(0.25*(_xlfn.SEQUENCE(AO153-AN153,1,AN153+1))))&gt;0,AL153*COS(RADIANS(0.25*(_xlfn.SEQUENCE(AO153-AN153,1,AN153+1)))),0)/60)</f>
        <v>6312.9685419442212</v>
      </c>
      <c r="AQ153" s="17" cm="1">
        <f t="array" ref="AQ153">SUMPRODUCT(1362*POWER(0.7,POWER(1/($AI$2*AK153+$AJ$2*AL153*COS(RADIANS(0.25*(_xlfn.SEQUENCE(AO153-AN153,1,AN153+1))))+0.50572*POWER(96.07995-DEGREES(ACOS($AI$2*AK153+$AJ$2*AL153*COS(RADIANS(0.25*(_xlfn.SEQUENCE(AO153-AN153,1,AN153+1)))))),-1.6364)),0.678))/60)</f>
        <v>10783.893580700935</v>
      </c>
      <c r="AR153" s="15">
        <f t="shared" si="106"/>
        <v>1.7082127859581875</v>
      </c>
      <c r="AT153">
        <v>0.36607709157698776</v>
      </c>
      <c r="AU153">
        <v>68.526116202148131</v>
      </c>
      <c r="AV153">
        <v>2.7151674762394093</v>
      </c>
      <c r="AW153">
        <v>674.94371912775455</v>
      </c>
    </row>
    <row r="154" spans="4:49" ht="17" x14ac:dyDescent="0.2">
      <c r="D154" s="1">
        <f t="shared" si="107"/>
        <v>46175</v>
      </c>
      <c r="E154" s="6">
        <f t="shared" si="74"/>
        <v>0.5</v>
      </c>
      <c r="F154" s="2">
        <f t="shared" si="75"/>
        <v>2461194.3333333335</v>
      </c>
      <c r="G154" s="3">
        <f t="shared" si="76"/>
        <v>0.26418434861967116</v>
      </c>
      <c r="I154">
        <f t="shared" si="77"/>
        <v>71.306408506608932</v>
      </c>
      <c r="J154">
        <f t="shared" si="78"/>
        <v>9867.9147510631938</v>
      </c>
      <c r="K154">
        <f t="shared" si="79"/>
        <v>1.6697519639717089E-2</v>
      </c>
      <c r="L154">
        <f t="shared" si="80"/>
        <v>0.9986384026158478</v>
      </c>
      <c r="M154">
        <f t="shared" si="81"/>
        <v>72.305046909224785</v>
      </c>
      <c r="N154">
        <f t="shared" si="82"/>
        <v>9868.9133894658098</v>
      </c>
      <c r="O154">
        <f t="shared" si="83"/>
        <v>1.0142251757987986</v>
      </c>
      <c r="P154">
        <f t="shared" si="84"/>
        <v>72.301446957305629</v>
      </c>
      <c r="Q154">
        <f t="shared" si="85"/>
        <v>23.435855611658319</v>
      </c>
      <c r="R154">
        <f t="shared" si="86"/>
        <v>23.438157923862672</v>
      </c>
      <c r="S154">
        <f t="shared" si="87"/>
        <v>70.821774604288663</v>
      </c>
      <c r="T154" s="19">
        <f t="shared" si="88"/>
        <v>22.267589875779411</v>
      </c>
      <c r="U154">
        <f t="shared" si="89"/>
        <v>4.3030249955008024E-2</v>
      </c>
      <c r="V154">
        <f t="shared" si="90"/>
        <v>1.9212699656169179</v>
      </c>
      <c r="W154">
        <f t="shared" si="91"/>
        <v>109.5823839137279</v>
      </c>
      <c r="X154" s="6">
        <f t="shared" si="92"/>
        <v>0.50408764585721044</v>
      </c>
      <c r="Y154" s="6">
        <f t="shared" si="93"/>
        <v>0.19969213498574404</v>
      </c>
      <c r="Z154" s="6">
        <f t="shared" si="94"/>
        <v>0.80848315672867688</v>
      </c>
      <c r="AA154" s="19">
        <f t="shared" si="95"/>
        <v>876.65907130982316</v>
      </c>
      <c r="AB154">
        <f t="shared" si="96"/>
        <v>714.11378996561689</v>
      </c>
      <c r="AC154">
        <f t="shared" si="97"/>
        <v>-1.4715525085957779</v>
      </c>
      <c r="AD154">
        <f t="shared" si="72"/>
        <v>15.384720207022568</v>
      </c>
      <c r="AE154">
        <f t="shared" si="98"/>
        <v>74.615279792977432</v>
      </c>
      <c r="AF154">
        <f t="shared" si="99"/>
        <v>4.4403554136556661E-3</v>
      </c>
      <c r="AG154">
        <f t="shared" si="100"/>
        <v>74.619720148391082</v>
      </c>
      <c r="AH154">
        <f t="shared" si="73"/>
        <v>174.86055982432538</v>
      </c>
      <c r="AK154">
        <f t="shared" si="101"/>
        <v>0.37893274159342055</v>
      </c>
      <c r="AL154">
        <f t="shared" si="102"/>
        <v>0.92542421480556358</v>
      </c>
      <c r="AM154">
        <f t="shared" si="103"/>
        <v>877</v>
      </c>
      <c r="AN154">
        <f t="shared" si="104"/>
        <v>-438.5</v>
      </c>
      <c r="AO154">
        <f t="shared" si="105"/>
        <v>438.5</v>
      </c>
      <c r="AP154" s="16" cm="1">
        <f t="array" ref="AP154">SUMPRODUCT(1362*POWER(0.7,POWER(1/($AI$2*AK154+$AJ$2*AL154*COS(RADIANS(0.25*(_xlfn.SEQUENCE(AO154-AN154,1,AN154+1))))+0.50572*POWER(96.07995-DEGREES(ACOS($AI$2*AK154+$AJ$2*AL154*COS(RADIANS(0.25*(_xlfn.SEQUENCE(AO154-AN154,1,AN154+1)))))),-1.6364)),0.678))*IF(AL154*COS(RADIANS(0.25*(_xlfn.SEQUENCE(AO154-AN154,1,AN154+1))))&gt;0,AL154*COS(RADIANS(0.25*(_xlfn.SEQUENCE(AO154-AN154,1,AN154+1)))),0)/60)</f>
        <v>6309.1404731084776</v>
      </c>
      <c r="AQ154" s="17" cm="1">
        <f t="array" ref="AQ154">SUMPRODUCT(1362*POWER(0.7,POWER(1/($AI$2*AK154+$AJ$2*AL154*COS(RADIANS(0.25*(_xlfn.SEQUENCE(AO154-AN154,1,AN154+1))))+0.50572*POWER(96.07995-DEGREES(ACOS($AI$2*AK154+$AJ$2*AL154*COS(RADIANS(0.25*(_xlfn.SEQUENCE(AO154-AN154,1,AN154+1)))))),-1.6364)),0.678))/60)</f>
        <v>10797.011350832905</v>
      </c>
      <c r="AR154" s="15">
        <f t="shared" si="106"/>
        <v>1.7113284126186652</v>
      </c>
      <c r="AT154">
        <v>0.36785724432840339</v>
      </c>
      <c r="AU154">
        <v>68.416471452557801</v>
      </c>
      <c r="AV154">
        <v>2.7022122831471616</v>
      </c>
      <c r="AW154">
        <v>676.47960554585791</v>
      </c>
    </row>
    <row r="155" spans="4:49" ht="17" x14ac:dyDescent="0.2">
      <c r="D155" s="1">
        <f t="shared" si="107"/>
        <v>46176</v>
      </c>
      <c r="E155" s="6">
        <f t="shared" si="74"/>
        <v>0.5</v>
      </c>
      <c r="F155" s="2">
        <f t="shared" si="75"/>
        <v>2461195.3333333335</v>
      </c>
      <c r="G155" s="3">
        <f t="shared" si="76"/>
        <v>0.26421172712754248</v>
      </c>
      <c r="I155">
        <f t="shared" si="77"/>
        <v>72.292055871159391</v>
      </c>
      <c r="J155">
        <f t="shared" si="78"/>
        <v>9868.9003513426924</v>
      </c>
      <c r="K155">
        <f t="shared" si="79"/>
        <v>1.6697518486973824E-2</v>
      </c>
      <c r="L155">
        <f t="shared" si="80"/>
        <v>0.9709146105619515</v>
      </c>
      <c r="M155">
        <f t="shared" si="81"/>
        <v>73.262970481721339</v>
      </c>
      <c r="N155">
        <f t="shared" si="82"/>
        <v>9869.8712659532539</v>
      </c>
      <c r="O155">
        <f t="shared" si="83"/>
        <v>1.0143714387565077</v>
      </c>
      <c r="P155">
        <f t="shared" si="84"/>
        <v>73.259374501979735</v>
      </c>
      <c r="Q155">
        <f t="shared" si="85"/>
        <v>23.435855255624155</v>
      </c>
      <c r="R155">
        <f t="shared" si="86"/>
        <v>23.438156532316771</v>
      </c>
      <c r="S155">
        <f t="shared" si="87"/>
        <v>71.848927193223915</v>
      </c>
      <c r="T155" s="19">
        <f t="shared" si="88"/>
        <v>22.389526507015319</v>
      </c>
      <c r="U155">
        <f t="shared" si="89"/>
        <v>4.3030244700177335E-2</v>
      </c>
      <c r="V155">
        <f t="shared" si="90"/>
        <v>1.7554968946211924</v>
      </c>
      <c r="W155">
        <f t="shared" si="91"/>
        <v>109.69996260027642</v>
      </c>
      <c r="X155" s="6">
        <f t="shared" si="92"/>
        <v>0.50420276604540182</v>
      </c>
      <c r="Y155" s="6">
        <f t="shared" si="93"/>
        <v>0.19948064771130067</v>
      </c>
      <c r="Z155" s="6">
        <f t="shared" si="94"/>
        <v>0.80892488437950305</v>
      </c>
      <c r="AA155" s="19">
        <f t="shared" si="95"/>
        <v>877.59970080221137</v>
      </c>
      <c r="AB155">
        <f t="shared" si="96"/>
        <v>713.94801689462111</v>
      </c>
      <c r="AC155">
        <f t="shared" si="97"/>
        <v>-1.5129957763447237</v>
      </c>
      <c r="AD155">
        <f t="shared" si="72"/>
        <v>15.266148546086356</v>
      </c>
      <c r="AE155">
        <f t="shared" si="98"/>
        <v>74.733851453913644</v>
      </c>
      <c r="AF155">
        <f t="shared" si="99"/>
        <v>4.4044579629759833E-3</v>
      </c>
      <c r="AG155">
        <f t="shared" si="100"/>
        <v>74.738255911876621</v>
      </c>
      <c r="AH155">
        <f t="shared" si="73"/>
        <v>174.67993776907508</v>
      </c>
      <c r="AK155">
        <f t="shared" si="101"/>
        <v>0.38090136580169071</v>
      </c>
      <c r="AL155">
        <f t="shared" si="102"/>
        <v>0.92461567666269129</v>
      </c>
      <c r="AM155">
        <f t="shared" si="103"/>
        <v>878</v>
      </c>
      <c r="AN155">
        <f t="shared" si="104"/>
        <v>-439</v>
      </c>
      <c r="AO155">
        <f t="shared" si="105"/>
        <v>439</v>
      </c>
      <c r="AP155" s="16" cm="1">
        <f t="array" ref="AP155">SUMPRODUCT(1362*POWER(0.7,POWER(1/($AI$2*AK155+$AJ$2*AL155*COS(RADIANS(0.25*(_xlfn.SEQUENCE(AO155-AN155,1,AN155+1))))+0.50572*POWER(96.07995-DEGREES(ACOS($AI$2*AK155+$AJ$2*AL155*COS(RADIANS(0.25*(_xlfn.SEQUENCE(AO155-AN155,1,AN155+1)))))),-1.6364)),0.678))*IF(AL155*COS(RADIANS(0.25*(_xlfn.SEQUENCE(AO155-AN155,1,AN155+1))))&gt;0,AL155*COS(RADIANS(0.25*(_xlfn.SEQUENCE(AO155-AN155,1,AN155+1)))),0)/60)</f>
        <v>6305.4441645218221</v>
      </c>
      <c r="AQ155" s="17" cm="1">
        <f t="array" ref="AQ155">SUMPRODUCT(1362*POWER(0.7,POWER(1/($AI$2*AK155+$AJ$2*AL155*COS(RADIANS(0.25*(_xlfn.SEQUENCE(AO155-AN155,1,AN155+1))))+0.50572*POWER(96.07995-DEGREES(ACOS($AI$2*AK155+$AJ$2*AL155*COS(RADIANS(0.25*(_xlfn.SEQUENCE(AO155-AN155,1,AN155+1)))))),-1.6364)),0.678))/60)</f>
        <v>10809.477964540194</v>
      </c>
      <c r="AR155" s="15">
        <f t="shared" si="106"/>
        <v>1.7143087279022695</v>
      </c>
      <c r="AT155">
        <v>0.36962586455368884</v>
      </c>
      <c r="AU155">
        <v>68.307454763242063</v>
      </c>
      <c r="AV155">
        <v>2.689461875746392</v>
      </c>
      <c r="AW155">
        <v>677.99695108360106</v>
      </c>
    </row>
    <row r="156" spans="4:49" ht="17" x14ac:dyDescent="0.2">
      <c r="D156" s="1">
        <f t="shared" si="107"/>
        <v>46177</v>
      </c>
      <c r="E156" s="6">
        <f t="shared" si="74"/>
        <v>0.5</v>
      </c>
      <c r="F156" s="2">
        <f t="shared" si="75"/>
        <v>2461196.3333333335</v>
      </c>
      <c r="G156" s="3">
        <f t="shared" si="76"/>
        <v>0.26423910563541381</v>
      </c>
      <c r="I156">
        <f t="shared" si="77"/>
        <v>73.277703235709851</v>
      </c>
      <c r="J156">
        <f t="shared" si="78"/>
        <v>9869.8859516221946</v>
      </c>
      <c r="K156">
        <f t="shared" si="79"/>
        <v>1.6697517334230368E-2</v>
      </c>
      <c r="L156">
        <f t="shared" si="80"/>
        <v>0.94291852215613481</v>
      </c>
      <c r="M156">
        <f t="shared" si="81"/>
        <v>74.220621757865985</v>
      </c>
      <c r="N156">
        <f t="shared" si="82"/>
        <v>9870.8288701443507</v>
      </c>
      <c r="O156">
        <f t="shared" si="83"/>
        <v>1.0145135486010346</v>
      </c>
      <c r="P156">
        <f t="shared" si="84"/>
        <v>74.217029748513255</v>
      </c>
      <c r="Q156">
        <f t="shared" si="85"/>
        <v>23.435854899589994</v>
      </c>
      <c r="R156">
        <f t="shared" si="86"/>
        <v>23.438155138805179</v>
      </c>
      <c r="S156">
        <f t="shared" si="87"/>
        <v>72.877541556116441</v>
      </c>
      <c r="T156" s="19">
        <f t="shared" si="88"/>
        <v>22.504935014992007</v>
      </c>
      <c r="U156">
        <f t="shared" si="89"/>
        <v>4.3030239437924035E-2</v>
      </c>
      <c r="V156">
        <f t="shared" si="90"/>
        <v>1.5838940018241878</v>
      </c>
      <c r="W156">
        <f t="shared" si="91"/>
        <v>109.81152139802334</v>
      </c>
      <c r="X156" s="6">
        <f t="shared" si="92"/>
        <v>0.50432193472095543</v>
      </c>
      <c r="Y156" s="6">
        <f t="shared" si="93"/>
        <v>0.19928993083755728</v>
      </c>
      <c r="Z156" s="6">
        <f t="shared" si="94"/>
        <v>0.80935393860435356</v>
      </c>
      <c r="AA156" s="19">
        <f t="shared" si="95"/>
        <v>878.49217118418676</v>
      </c>
      <c r="AB156">
        <f t="shared" si="96"/>
        <v>713.77641400182415</v>
      </c>
      <c r="AC156">
        <f t="shared" si="97"/>
        <v>-1.5558964995439624</v>
      </c>
      <c r="AD156">
        <f t="shared" si="72"/>
        <v>15.154324427165845</v>
      </c>
      <c r="AE156">
        <f t="shared" si="98"/>
        <v>74.845675572834153</v>
      </c>
      <c r="AF156">
        <f t="shared" si="99"/>
        <v>4.3706403211799224E-3</v>
      </c>
      <c r="AG156">
        <f t="shared" si="100"/>
        <v>74.850046213155338</v>
      </c>
      <c r="AH156">
        <f t="shared" si="73"/>
        <v>174.49373112955391</v>
      </c>
      <c r="AK156">
        <f t="shared" si="101"/>
        <v>0.38276300677780195</v>
      </c>
      <c r="AL156">
        <f t="shared" si="102"/>
        <v>0.92384656769531615</v>
      </c>
      <c r="AM156">
        <f t="shared" si="103"/>
        <v>878</v>
      </c>
      <c r="AN156">
        <f t="shared" si="104"/>
        <v>-439</v>
      </c>
      <c r="AO156">
        <f t="shared" si="105"/>
        <v>439</v>
      </c>
      <c r="AP156" s="16" cm="1">
        <f t="array" ref="AP156">SUMPRODUCT(1362*POWER(0.7,POWER(1/($AI$2*AK156+$AJ$2*AL156*COS(RADIANS(0.25*(_xlfn.SEQUENCE(AO156-AN156,1,AN156+1))))+0.50572*POWER(96.07995-DEGREES(ACOS($AI$2*AK156+$AJ$2*AL156*COS(RADIANS(0.25*(_xlfn.SEQUENCE(AO156-AN156,1,AN156+1)))))),-1.6364)),0.678))*IF(AL156*COS(RADIANS(0.25*(_xlfn.SEQUENCE(AO156-AN156,1,AN156+1))))&gt;0,AL156*COS(RADIANS(0.25*(_xlfn.SEQUENCE(AO156-AN156,1,AN156+1)))),0)/60)</f>
        <v>6301.9144489383352</v>
      </c>
      <c r="AQ156" s="17" cm="1">
        <f t="array" ref="AQ156">SUMPRODUCT(1362*POWER(0.7,POWER(1/($AI$2*AK156+$AJ$2*AL156*COS(RADIANS(0.25*(_xlfn.SEQUENCE(AO156-AN156,1,AN156+1))))+0.50572*POWER(96.07995-DEGREES(ACOS($AI$2*AK156+$AJ$2*AL156*COS(RADIANS(0.25*(_xlfn.SEQUENCE(AO156-AN156,1,AN156+1)))))),-1.6364)),0.678))/60)</f>
        <v>10821.166716586427</v>
      </c>
      <c r="AR156" s="15">
        <f t="shared" si="106"/>
        <v>1.7171237096703902</v>
      </c>
      <c r="AT156">
        <v>0.37138291858086447</v>
      </c>
      <c r="AU156">
        <v>68.199069240714394</v>
      </c>
      <c r="AV156">
        <v>2.676912483211924</v>
      </c>
      <c r="AW156">
        <v>679.49596945938617</v>
      </c>
    </row>
    <row r="157" spans="4:49" ht="17" x14ac:dyDescent="0.2">
      <c r="D157" s="1">
        <f t="shared" si="107"/>
        <v>46178</v>
      </c>
      <c r="E157" s="6">
        <f t="shared" si="74"/>
        <v>0.5</v>
      </c>
      <c r="F157" s="2">
        <f t="shared" si="75"/>
        <v>2461197.3333333335</v>
      </c>
      <c r="G157" s="3">
        <f t="shared" si="76"/>
        <v>0.26426648414328513</v>
      </c>
      <c r="I157">
        <f t="shared" si="77"/>
        <v>74.26335060026031</v>
      </c>
      <c r="J157">
        <f t="shared" si="78"/>
        <v>9870.8715519016969</v>
      </c>
      <c r="K157">
        <f t="shared" si="79"/>
        <v>1.6697516181486721E-2</v>
      </c>
      <c r="L157">
        <f t="shared" si="80"/>
        <v>0.91465812677254477</v>
      </c>
      <c r="M157">
        <f t="shared" si="81"/>
        <v>75.178008727032861</v>
      </c>
      <c r="N157">
        <f t="shared" si="82"/>
        <v>9871.7862100284692</v>
      </c>
      <c r="O157">
        <f t="shared" si="83"/>
        <v>1.0146514668062698</v>
      </c>
      <c r="P157">
        <f t="shared" si="84"/>
        <v>75.17442068627696</v>
      </c>
      <c r="Q157">
        <f t="shared" si="85"/>
        <v>23.435854543555831</v>
      </c>
      <c r="R157">
        <f t="shared" si="86"/>
        <v>23.438153743328765</v>
      </c>
      <c r="S157">
        <f t="shared" si="87"/>
        <v>73.907540793664538</v>
      </c>
      <c r="T157" s="19">
        <f t="shared" si="88"/>
        <v>22.613773803289583</v>
      </c>
      <c r="U157">
        <f t="shared" si="89"/>
        <v>4.3030234168251427E-2</v>
      </c>
      <c r="V157">
        <f t="shared" si="90"/>
        <v>1.4067680533696469</v>
      </c>
      <c r="W157">
        <f t="shared" si="91"/>
        <v>109.91697675712068</v>
      </c>
      <c r="X157" s="6">
        <f t="shared" si="92"/>
        <v>0.50444493885182662</v>
      </c>
      <c r="Y157" s="6">
        <f t="shared" si="93"/>
        <v>0.19912000341538025</v>
      </c>
      <c r="Z157" s="6">
        <f t="shared" si="94"/>
        <v>0.80976987428827285</v>
      </c>
      <c r="AA157" s="19">
        <f t="shared" si="95"/>
        <v>879.33581405696543</v>
      </c>
      <c r="AB157">
        <f t="shared" si="96"/>
        <v>713.59928805336972</v>
      </c>
      <c r="AC157">
        <f t="shared" si="97"/>
        <v>-1.6001779866575703</v>
      </c>
      <c r="AD157">
        <f t="shared" si="72"/>
        <v>15.049292670480066</v>
      </c>
      <c r="AE157">
        <f t="shared" si="98"/>
        <v>74.950707329519929</v>
      </c>
      <c r="AF157">
        <f t="shared" si="99"/>
        <v>4.3389092355211704E-3</v>
      </c>
      <c r="AG157">
        <f t="shared" si="100"/>
        <v>74.955046238755443</v>
      </c>
      <c r="AH157">
        <f t="shared" si="73"/>
        <v>174.30233737720107</v>
      </c>
      <c r="AK157">
        <f t="shared" si="101"/>
        <v>0.38451724964416673</v>
      </c>
      <c r="AL157">
        <f t="shared" si="102"/>
        <v>0.92311780652638564</v>
      </c>
      <c r="AM157">
        <f t="shared" si="103"/>
        <v>879</v>
      </c>
      <c r="AN157">
        <f t="shared" si="104"/>
        <v>-439.5</v>
      </c>
      <c r="AO157">
        <f t="shared" si="105"/>
        <v>439.5</v>
      </c>
      <c r="AP157" s="16" cm="1">
        <f t="array" ref="AP157">SUMPRODUCT(1362*POWER(0.7,POWER(1/($AI$2*AK157+$AJ$2*AL157*COS(RADIANS(0.25*(_xlfn.SEQUENCE(AO157-AN157,1,AN157+1))))+0.50572*POWER(96.07995-DEGREES(ACOS($AI$2*AK157+$AJ$2*AL157*COS(RADIANS(0.25*(_xlfn.SEQUENCE(AO157-AN157,1,AN157+1)))))),-1.6364)),0.678))*IF(AL157*COS(RADIANS(0.25*(_xlfn.SEQUENCE(AO157-AN157,1,AN157+1))))&gt;0,AL157*COS(RADIANS(0.25*(_xlfn.SEQUENCE(AO157-AN157,1,AN157+1)))),0)/60)</f>
        <v>6298.5592751751365</v>
      </c>
      <c r="AQ157" s="17" cm="1">
        <f t="array" ref="AQ157">SUMPRODUCT(1362*POWER(0.7,POWER(1/($AI$2*AK157+$AJ$2*AL157*COS(RADIANS(0.25*(_xlfn.SEQUENCE(AO157-AN157,1,AN157+1))))+0.50572*POWER(96.07995-DEGREES(ACOS($AI$2*AK157+$AJ$2*AL157*COS(RADIANS(0.25*(_xlfn.SEQUENCE(AO157-AN157,1,AN157+1)))))),-1.6364)),0.678))/60)</f>
        <v>10832.317556326441</v>
      </c>
      <c r="AR157" s="15">
        <f t="shared" si="106"/>
        <v>1.7198087821480794</v>
      </c>
      <c r="AT157">
        <v>0.37312837295815426</v>
      </c>
      <c r="AU157">
        <v>68.091317992918093</v>
      </c>
      <c r="AV157">
        <v>2.6645604340025044</v>
      </c>
      <c r="AW157">
        <v>680.97687033197292</v>
      </c>
    </row>
    <row r="158" spans="4:49" ht="17" x14ac:dyDescent="0.2">
      <c r="D158" s="1">
        <f t="shared" si="107"/>
        <v>46179</v>
      </c>
      <c r="E158" s="6">
        <f t="shared" si="74"/>
        <v>0.5</v>
      </c>
      <c r="F158" s="2">
        <f t="shared" si="75"/>
        <v>2461198.3333333335</v>
      </c>
      <c r="G158" s="3">
        <f t="shared" si="76"/>
        <v>0.26429386265115645</v>
      </c>
      <c r="I158">
        <f t="shared" si="77"/>
        <v>75.248997964812588</v>
      </c>
      <c r="J158">
        <f t="shared" si="78"/>
        <v>9871.8571521811955</v>
      </c>
      <c r="K158">
        <f t="shared" si="79"/>
        <v>1.6697515028742886E-2</v>
      </c>
      <c r="L158">
        <f t="shared" si="80"/>
        <v>0.88614147560793932</v>
      </c>
      <c r="M158">
        <f t="shared" si="81"/>
        <v>76.135139440420531</v>
      </c>
      <c r="N158">
        <f t="shared" si="82"/>
        <v>9872.7432936568039</v>
      </c>
      <c r="O158">
        <f t="shared" si="83"/>
        <v>1.0147851560139336</v>
      </c>
      <c r="P158">
        <f t="shared" si="84"/>
        <v>76.131555366466003</v>
      </c>
      <c r="Q158">
        <f t="shared" si="85"/>
        <v>23.43585418752167</v>
      </c>
      <c r="R158">
        <f t="shared" si="86"/>
        <v>23.438152345888433</v>
      </c>
      <c r="S158">
        <f t="shared" si="87"/>
        <v>74.938845549913992</v>
      </c>
      <c r="T158" s="19">
        <f t="shared" si="88"/>
        <v>22.716003616118691</v>
      </c>
      <c r="U158">
        <f t="shared" si="89"/>
        <v>4.3030228891162904E-2</v>
      </c>
      <c r="V158">
        <f t="shared" si="90"/>
        <v>1.224435473318831</v>
      </c>
      <c r="W158">
        <f t="shared" si="91"/>
        <v>110.01624890020079</v>
      </c>
      <c r="X158" s="6">
        <f t="shared" si="92"/>
        <v>0.5045715586990841</v>
      </c>
      <c r="Y158" s="6">
        <f t="shared" si="93"/>
        <v>0.19897086730963742</v>
      </c>
      <c r="Z158" s="6">
        <f t="shared" si="94"/>
        <v>0.81017225008853078</v>
      </c>
      <c r="AA158" s="19">
        <f t="shared" si="95"/>
        <v>880.12999120160634</v>
      </c>
      <c r="AB158">
        <f t="shared" si="96"/>
        <v>713.41695547331892</v>
      </c>
      <c r="AC158">
        <f t="shared" si="97"/>
        <v>-1.6457611316702696</v>
      </c>
      <c r="AD158">
        <f t="shared" si="72"/>
        <v>14.951094708629784</v>
      </c>
      <c r="AE158">
        <f t="shared" si="98"/>
        <v>75.048905291370218</v>
      </c>
      <c r="AF158">
        <f t="shared" si="99"/>
        <v>4.3092708782442877E-3</v>
      </c>
      <c r="AG158">
        <f t="shared" si="100"/>
        <v>75.053214562248456</v>
      </c>
      <c r="AH158">
        <f t="shared" si="73"/>
        <v>174.10618636320442</v>
      </c>
      <c r="AK158">
        <f t="shared" si="101"/>
        <v>0.3861637067257791</v>
      </c>
      <c r="AL158">
        <f t="shared" si="102"/>
        <v>0.92243026381825011</v>
      </c>
      <c r="AM158">
        <f t="shared" si="103"/>
        <v>880</v>
      </c>
      <c r="AN158">
        <f t="shared" si="104"/>
        <v>-440</v>
      </c>
      <c r="AO158">
        <f t="shared" si="105"/>
        <v>440</v>
      </c>
      <c r="AP158" s="16" cm="1">
        <f t="array" ref="AP158">SUMPRODUCT(1362*POWER(0.7,POWER(1/($AI$2*AK158+$AJ$2*AL158*COS(RADIANS(0.25*(_xlfn.SEQUENCE(AO158-AN158,1,AN158+1))))+0.50572*POWER(96.07995-DEGREES(ACOS($AI$2*AK158+$AJ$2*AL158*COS(RADIANS(0.25*(_xlfn.SEQUENCE(AO158-AN158,1,AN158+1)))))),-1.6364)),0.678))*IF(AL158*COS(RADIANS(0.25*(_xlfn.SEQUENCE(AO158-AN158,1,AN158+1))))&gt;0,AL158*COS(RADIANS(0.25*(_xlfn.SEQUENCE(AO158-AN158,1,AN158+1)))),0)/60)</f>
        <v>6295.3594059068691</v>
      </c>
      <c r="AQ158" s="17" cm="1">
        <f t="array" ref="AQ158">SUMPRODUCT(1362*POWER(0.7,POWER(1/($AI$2*AK158+$AJ$2*AL158*COS(RADIANS(0.25*(_xlfn.SEQUENCE(AO158-AN158,1,AN158+1))))+0.50572*POWER(96.07995-DEGREES(ACOS($AI$2*AK158+$AJ$2*AL158*COS(RADIANS(0.25*(_xlfn.SEQUENCE(AO158-AN158,1,AN158+1)))))),-1.6364)),0.678))/60)</f>
        <v>10842.802554262853</v>
      </c>
      <c r="AR158" s="15">
        <f t="shared" si="106"/>
        <v>1.7223484562436842</v>
      </c>
      <c r="AT158">
        <v>0.37486219445462299</v>
      </c>
      <c r="AU158">
        <v>67.984204128952257</v>
      </c>
      <c r="AV158">
        <v>2.6524021527308319</v>
      </c>
      <c r="AW158">
        <v>682.43985938731032</v>
      </c>
    </row>
    <row r="159" spans="4:49" ht="17" x14ac:dyDescent="0.2">
      <c r="D159" s="1">
        <f t="shared" si="107"/>
        <v>46180</v>
      </c>
      <c r="E159" s="6">
        <f t="shared" si="74"/>
        <v>0.5</v>
      </c>
      <c r="F159" s="2">
        <f t="shared" si="75"/>
        <v>2461199.3333333335</v>
      </c>
      <c r="G159" s="3">
        <f t="shared" si="76"/>
        <v>0.26432124115902778</v>
      </c>
      <c r="I159">
        <f t="shared" si="77"/>
        <v>76.234645329366685</v>
      </c>
      <c r="J159">
        <f t="shared" si="78"/>
        <v>9872.8427524606977</v>
      </c>
      <c r="K159">
        <f t="shared" si="79"/>
        <v>1.6697513875998861E-2</v>
      </c>
      <c r="L159">
        <f t="shared" si="80"/>
        <v>0.85737667966587927</v>
      </c>
      <c r="M159">
        <f t="shared" si="81"/>
        <v>77.092022009032561</v>
      </c>
      <c r="N159">
        <f t="shared" si="82"/>
        <v>9873.7001291403631</v>
      </c>
      <c r="O159">
        <f t="shared" si="83"/>
        <v>1.014914580040839</v>
      </c>
      <c r="P159">
        <f t="shared" si="84"/>
        <v>77.088441900080568</v>
      </c>
      <c r="Q159">
        <f t="shared" si="85"/>
        <v>23.435853831487506</v>
      </c>
      <c r="R159">
        <f t="shared" si="86"/>
        <v>23.438150946485059</v>
      </c>
      <c r="S159">
        <f t="shared" si="87"/>
        <v>75.971374131056962</v>
      </c>
      <c r="T159" s="19">
        <f t="shared" si="88"/>
        <v>22.811587585403842</v>
      </c>
      <c r="U159">
        <f t="shared" si="89"/>
        <v>4.3030223606661797E-2</v>
      </c>
      <c r="V159">
        <f t="shared" si="90"/>
        <v>1.0372218679244236</v>
      </c>
      <c r="W159">
        <f t="shared" si="91"/>
        <v>110.1092620393254</v>
      </c>
      <c r="X159" s="6">
        <f t="shared" si="92"/>
        <v>0.50470156814727463</v>
      </c>
      <c r="Y159" s="6">
        <f t="shared" si="93"/>
        <v>0.19884250692692629</v>
      </c>
      <c r="Z159" s="6">
        <f t="shared" si="94"/>
        <v>0.81056062936762296</v>
      </c>
      <c r="AA159" s="19">
        <f t="shared" si="95"/>
        <v>880.87409631460321</v>
      </c>
      <c r="AB159">
        <f t="shared" si="96"/>
        <v>713.22974186792453</v>
      </c>
      <c r="AC159">
        <f t="shared" si="97"/>
        <v>-1.6925645330188672</v>
      </c>
      <c r="AD159">
        <f t="shared" si="72"/>
        <v>14.859768425561667</v>
      </c>
      <c r="AE159">
        <f t="shared" si="98"/>
        <v>75.140231574438332</v>
      </c>
      <c r="AF159">
        <f t="shared" si="99"/>
        <v>4.2817307951865764E-3</v>
      </c>
      <c r="AG159">
        <f t="shared" si="100"/>
        <v>75.144513305233517</v>
      </c>
      <c r="AH159">
        <f t="shared" si="73"/>
        <v>173.90573911695913</v>
      </c>
      <c r="AK159">
        <f t="shared" si="101"/>
        <v>0.3877020175286679</v>
      </c>
      <c r="AL159">
        <f t="shared" si="102"/>
        <v>0.92178476099586315</v>
      </c>
      <c r="AM159">
        <f t="shared" si="103"/>
        <v>881</v>
      </c>
      <c r="AN159">
        <f t="shared" si="104"/>
        <v>-440.5</v>
      </c>
      <c r="AO159">
        <f t="shared" si="105"/>
        <v>440.5</v>
      </c>
      <c r="AP159" s="16" cm="1">
        <f t="array" ref="AP159">SUMPRODUCT(1362*POWER(0.7,POWER(1/($AI$2*AK159+$AJ$2*AL159*COS(RADIANS(0.25*(_xlfn.SEQUENCE(AO159-AN159,1,AN159+1))))+0.50572*POWER(96.07995-DEGREES(ACOS($AI$2*AK159+$AJ$2*AL159*COS(RADIANS(0.25*(_xlfn.SEQUENCE(AO159-AN159,1,AN159+1)))))),-1.6364)),0.678))*IF(AL159*COS(RADIANS(0.25*(_xlfn.SEQUENCE(AO159-AN159,1,AN159+1))))&gt;0,AL159*COS(RADIANS(0.25*(_xlfn.SEQUENCE(AO159-AN159,1,AN159+1)))),0)/60)</f>
        <v>6292.3575506038678</v>
      </c>
      <c r="AQ159" s="17" cm="1">
        <f t="array" ref="AQ159">SUMPRODUCT(1362*POWER(0.7,POWER(1/($AI$2*AK159+$AJ$2*AL159*COS(RADIANS(0.25*(_xlfn.SEQUENCE(AO159-AN159,1,AN159+1))))+0.50572*POWER(96.07995-DEGREES(ACOS($AI$2*AK159+$AJ$2*AL159*COS(RADIANS(0.25*(_xlfn.SEQUENCE(AO159-AN159,1,AN159+1)))))),-1.6364)),0.678))/60)</f>
        <v>10852.616883414054</v>
      </c>
      <c r="AR159" s="15">
        <f t="shared" si="106"/>
        <v>1.7247298482541802</v>
      </c>
      <c r="AT159">
        <v>0.37658435006080859</v>
      </c>
      <c r="AU159">
        <v>67.877730758793362</v>
      </c>
      <c r="AV159">
        <v>2.6404341571521002</v>
      </c>
      <c r="AW159">
        <v>683.88513842312898</v>
      </c>
    </row>
    <row r="160" spans="4:49" ht="17" x14ac:dyDescent="0.2">
      <c r="D160" s="1">
        <f t="shared" si="107"/>
        <v>46181</v>
      </c>
      <c r="E160" s="6">
        <f t="shared" si="74"/>
        <v>0.5</v>
      </c>
      <c r="F160" s="2">
        <f t="shared" si="75"/>
        <v>2461200.3333333335</v>
      </c>
      <c r="G160" s="3">
        <f t="shared" si="76"/>
        <v>0.26434861966689904</v>
      </c>
      <c r="I160">
        <f t="shared" si="77"/>
        <v>77.220292693917145</v>
      </c>
      <c r="J160">
        <f t="shared" si="78"/>
        <v>9873.8283527401964</v>
      </c>
      <c r="K160">
        <f t="shared" si="79"/>
        <v>1.6697512723254645E-2</v>
      </c>
      <c r="L160">
        <f t="shared" si="80"/>
        <v>0.82837190774113867</v>
      </c>
      <c r="M160">
        <f t="shared" si="81"/>
        <v>78.048664601658288</v>
      </c>
      <c r="N160">
        <f t="shared" si="82"/>
        <v>9874.6567246479372</v>
      </c>
      <c r="O160">
        <f t="shared" si="83"/>
        <v>1.0150397038858892</v>
      </c>
      <c r="P160">
        <f t="shared" si="84"/>
        <v>78.045088455906622</v>
      </c>
      <c r="Q160">
        <f t="shared" si="85"/>
        <v>23.435853475453346</v>
      </c>
      <c r="R160">
        <f t="shared" si="86"/>
        <v>23.438149545119547</v>
      </c>
      <c r="S160">
        <f t="shared" si="87"/>
        <v>77.005042630755881</v>
      </c>
      <c r="T160" s="19">
        <f t="shared" si="88"/>
        <v>22.900491275532115</v>
      </c>
      <c r="U160">
        <f t="shared" si="89"/>
        <v>4.3030218314751519E-2</v>
      </c>
      <c r="V160">
        <f t="shared" si="90"/>
        <v>0.8454615267243456</v>
      </c>
      <c r="W160">
        <f t="shared" si="91"/>
        <v>110.19594458549123</v>
      </c>
      <c r="X160" s="6">
        <f t="shared" si="92"/>
        <v>0.50483473505088583</v>
      </c>
      <c r="Y160" s="6">
        <f t="shared" si="93"/>
        <v>0.19873488898007688</v>
      </c>
      <c r="Z160" s="6">
        <f t="shared" si="94"/>
        <v>0.81093458112169481</v>
      </c>
      <c r="AA160" s="19">
        <f t="shared" si="95"/>
        <v>881.56755668392987</v>
      </c>
      <c r="AB160">
        <f t="shared" si="96"/>
        <v>713.03798152672425</v>
      </c>
      <c r="AC160">
        <f t="shared" si="97"/>
        <v>-1.740504618318937</v>
      </c>
      <c r="AD160">
        <f t="shared" si="72"/>
        <v>14.775348004551093</v>
      </c>
      <c r="AE160">
        <f t="shared" si="98"/>
        <v>75.224651995448909</v>
      </c>
      <c r="AF160">
        <f t="shared" si="99"/>
        <v>4.2562938571322744E-3</v>
      </c>
      <c r="AG160">
        <f t="shared" si="100"/>
        <v>75.228908289306048</v>
      </c>
      <c r="AH160">
        <f t="shared" si="73"/>
        <v>173.70148633119823</v>
      </c>
      <c r="AK160">
        <f t="shared" si="101"/>
        <v>0.3891318487155388</v>
      </c>
      <c r="AL160">
        <f t="shared" si="102"/>
        <v>0.92118206903696676</v>
      </c>
      <c r="AM160">
        <f t="shared" si="103"/>
        <v>882</v>
      </c>
      <c r="AN160">
        <f t="shared" si="104"/>
        <v>-441</v>
      </c>
      <c r="AO160">
        <f t="shared" si="105"/>
        <v>441</v>
      </c>
      <c r="AP160" s="16" cm="1">
        <f t="array" ref="AP160">SUMPRODUCT(1362*POWER(0.7,POWER(1/($AI$2*AK160+$AJ$2*AL160*COS(RADIANS(0.25*(_xlfn.SEQUENCE(AO160-AN160,1,AN160+1))))+0.50572*POWER(96.07995-DEGREES(ACOS($AI$2*AK160+$AJ$2*AL160*COS(RADIANS(0.25*(_xlfn.SEQUENCE(AO160-AN160,1,AN160+1)))))),-1.6364)),0.678))*IF(AL160*COS(RADIANS(0.25*(_xlfn.SEQUENCE(AO160-AN160,1,AN160+1))))&gt;0,AL160*COS(RADIANS(0.25*(_xlfn.SEQUENCE(AO160-AN160,1,AN160+1)))),0)/60)</f>
        <v>6289.5246151709234</v>
      </c>
      <c r="AQ160" s="17" cm="1">
        <f t="array" ref="AQ160">SUMPRODUCT(1362*POWER(0.7,POWER(1/($AI$2*AK160+$AJ$2*AL160*COS(RADIANS(0.25*(_xlfn.SEQUENCE(AO160-AN160,1,AN160+1))))+0.50572*POWER(96.07995-DEGREES(ACOS($AI$2*AK160+$AJ$2*AL160*COS(RADIANS(0.25*(_xlfn.SEQUENCE(AO160-AN160,1,AN160+1)))))),-1.6364)),0.678))/60)</f>
        <v>10861.755892406485</v>
      </c>
      <c r="AR160" s="15">
        <f t="shared" si="106"/>
        <v>1.7269597556239642</v>
      </c>
      <c r="AT160">
        <v>0.3782948069893507</v>
      </c>
      <c r="AU160">
        <v>67.771900993012849</v>
      </c>
      <c r="AV160">
        <v>2.6286530552658811</v>
      </c>
      <c r="AW160">
        <v>685.31290543135754</v>
      </c>
    </row>
    <row r="161" spans="4:49" ht="17" x14ac:dyDescent="0.2">
      <c r="D161" s="1">
        <f t="shared" si="107"/>
        <v>46182</v>
      </c>
      <c r="E161" s="6">
        <f t="shared" si="74"/>
        <v>0.5</v>
      </c>
      <c r="F161" s="2">
        <f t="shared" si="75"/>
        <v>2461201.3333333335</v>
      </c>
      <c r="G161" s="3">
        <f t="shared" si="76"/>
        <v>0.26437599817477037</v>
      </c>
      <c r="I161">
        <f t="shared" si="77"/>
        <v>78.205940058471242</v>
      </c>
      <c r="J161">
        <f t="shared" si="78"/>
        <v>9874.813953019695</v>
      </c>
      <c r="K161">
        <f t="shared" si="79"/>
        <v>1.6697511570510238E-2</v>
      </c>
      <c r="L161">
        <f t="shared" si="80"/>
        <v>0.79913538440080811</v>
      </c>
      <c r="M161">
        <f t="shared" si="81"/>
        <v>79.005075442872055</v>
      </c>
      <c r="N161">
        <f t="shared" si="82"/>
        <v>9875.6130884040958</v>
      </c>
      <c r="O161">
        <f t="shared" si="83"/>
        <v>1.0151604937368208</v>
      </c>
      <c r="P161">
        <f t="shared" si="84"/>
        <v>79.0015032585151</v>
      </c>
      <c r="Q161">
        <f t="shared" si="85"/>
        <v>23.435853119419185</v>
      </c>
      <c r="R161">
        <f t="shared" si="86"/>
        <v>23.438148141792784</v>
      </c>
      <c r="S161">
        <f t="shared" si="87"/>
        <v>78.039765061749904</v>
      </c>
      <c r="T161" s="19">
        <f t="shared" si="88"/>
        <v>22.982682725602285</v>
      </c>
      <c r="U161">
        <f t="shared" si="89"/>
        <v>4.3030213015435401E-2</v>
      </c>
      <c r="V161">
        <f t="shared" si="90"/>
        <v>0.64949690153488682</v>
      </c>
      <c r="W161">
        <f t="shared" si="91"/>
        <v>110.27622934956212</v>
      </c>
      <c r="X161" s="6">
        <f t="shared" si="92"/>
        <v>0.50497082159615636</v>
      </c>
      <c r="Y161" s="6">
        <f t="shared" si="93"/>
        <v>0.19864796229181714</v>
      </c>
      <c r="Z161" s="6">
        <f t="shared" si="94"/>
        <v>0.81129368090049558</v>
      </c>
      <c r="AA161" s="19">
        <f t="shared" si="95"/>
        <v>882.20983479649692</v>
      </c>
      <c r="AB161">
        <f t="shared" si="96"/>
        <v>712.84201690153486</v>
      </c>
      <c r="AC161">
        <f t="shared" si="97"/>
        <v>-1.7894957746162845</v>
      </c>
      <c r="AD161">
        <f t="shared" si="72"/>
        <v>14.697863787285511</v>
      </c>
      <c r="AE161">
        <f t="shared" si="98"/>
        <v>75.302136212714487</v>
      </c>
      <c r="AF161">
        <f t="shared" si="99"/>
        <v>4.2329642145191434E-3</v>
      </c>
      <c r="AG161">
        <f t="shared" si="100"/>
        <v>75.30636917692901</v>
      </c>
      <c r="AH161">
        <f t="shared" si="73"/>
        <v>173.49394653525053</v>
      </c>
      <c r="AK161">
        <f t="shared" si="101"/>
        <v>0.39045289407874267</v>
      </c>
      <c r="AL161">
        <f t="shared" si="102"/>
        <v>0.92062290733260277</v>
      </c>
      <c r="AM161">
        <f t="shared" si="103"/>
        <v>882</v>
      </c>
      <c r="AN161">
        <f t="shared" si="104"/>
        <v>-441</v>
      </c>
      <c r="AO161">
        <f t="shared" si="105"/>
        <v>441</v>
      </c>
      <c r="AP161" s="16" cm="1">
        <f t="array" ref="AP161">SUMPRODUCT(1362*POWER(0.7,POWER(1/($AI$2*AK161+$AJ$2*AL161*COS(RADIANS(0.25*(_xlfn.SEQUENCE(AO161-AN161,1,AN161+1))))+0.50572*POWER(96.07995-DEGREES(ACOS($AI$2*AK161+$AJ$2*AL161*COS(RADIANS(0.25*(_xlfn.SEQUENCE(AO161-AN161,1,AN161+1)))))),-1.6364)),0.678))*IF(AL161*COS(RADIANS(0.25*(_xlfn.SEQUENCE(AO161-AN161,1,AN161+1))))&gt;0,AL161*COS(RADIANS(0.25*(_xlfn.SEQUENCE(AO161-AN161,1,AN161+1)))),0)/60)</f>
        <v>6286.8935954502931</v>
      </c>
      <c r="AQ161" s="17" cm="1">
        <f t="array" ref="AQ161">SUMPRODUCT(1362*POWER(0.7,POWER(1/($AI$2*AK161+$AJ$2*AL161*COS(RADIANS(0.25*(_xlfn.SEQUENCE(AO161-AN161,1,AN161+1))))+0.50572*POWER(96.07995-DEGREES(ACOS($AI$2*AK161+$AJ$2*AL161*COS(RADIANS(0.25*(_xlfn.SEQUENCE(AO161-AN161,1,AN161+1)))))),-1.6364)),0.678))/60)</f>
        <v>10870.097409526721</v>
      </c>
      <c r="AR161" s="15">
        <f t="shared" si="106"/>
        <v>1.7290092864611557</v>
      </c>
      <c r="AT161">
        <v>0.37999353267561509</v>
      </c>
      <c r="AU161">
        <v>67.666717942490237</v>
      </c>
      <c r="AV161">
        <v>2.6170555425264608</v>
      </c>
      <c r="AW161">
        <v>686.72335467842345</v>
      </c>
    </row>
    <row r="162" spans="4:49" ht="17" x14ac:dyDescent="0.2">
      <c r="D162" s="1">
        <f t="shared" si="107"/>
        <v>46183</v>
      </c>
      <c r="E162" s="6">
        <f t="shared" si="74"/>
        <v>0.5</v>
      </c>
      <c r="F162" s="2">
        <f t="shared" si="75"/>
        <v>2461202.3333333335</v>
      </c>
      <c r="G162" s="3">
        <f t="shared" si="76"/>
        <v>0.26440337668264169</v>
      </c>
      <c r="I162">
        <f t="shared" si="77"/>
        <v>79.191587423025339</v>
      </c>
      <c r="J162">
        <f t="shared" si="78"/>
        <v>9875.7995532991954</v>
      </c>
      <c r="K162">
        <f t="shared" si="79"/>
        <v>1.6697510417765644E-2</v>
      </c>
      <c r="L162">
        <f t="shared" si="80"/>
        <v>0.76967538796572688</v>
      </c>
      <c r="M162">
        <f t="shared" si="81"/>
        <v>79.961262810991073</v>
      </c>
      <c r="N162">
        <f t="shared" si="82"/>
        <v>9876.5692286871617</v>
      </c>
      <c r="O162">
        <f t="shared" si="83"/>
        <v>1.015276916976694</v>
      </c>
      <c r="P162">
        <f t="shared" si="84"/>
        <v>79.95769458621983</v>
      </c>
      <c r="Q162">
        <f t="shared" si="85"/>
        <v>23.435852763385025</v>
      </c>
      <c r="R162">
        <f t="shared" si="86"/>
        <v>23.438146736505661</v>
      </c>
      <c r="S162">
        <f t="shared" si="87"/>
        <v>79.07545349338352</v>
      </c>
      <c r="T162" s="19">
        <f t="shared" si="88"/>
        <v>23.058132489009811</v>
      </c>
      <c r="U162">
        <f t="shared" si="89"/>
        <v>4.3030207708716843E-2</v>
      </c>
      <c r="V162">
        <f t="shared" si="90"/>
        <v>0.44967806450633319</v>
      </c>
      <c r="W162">
        <f t="shared" si="91"/>
        <v>110.35005373351382</v>
      </c>
      <c r="X162" s="6">
        <f t="shared" si="92"/>
        <v>0.50510958467742617</v>
      </c>
      <c r="Y162" s="6">
        <f t="shared" si="93"/>
        <v>0.19858165763988783</v>
      </c>
      <c r="Z162" s="6">
        <f t="shared" si="94"/>
        <v>0.81163751171496457</v>
      </c>
      <c r="AA162" s="19">
        <f t="shared" si="95"/>
        <v>882.80042986811054</v>
      </c>
      <c r="AB162">
        <f t="shared" si="96"/>
        <v>712.64219806450637</v>
      </c>
      <c r="AC162">
        <f t="shared" si="97"/>
        <v>-1.8394504838734065</v>
      </c>
      <c r="AD162">
        <f t="shared" si="72"/>
        <v>14.627342146095502</v>
      </c>
      <c r="AE162">
        <f t="shared" si="98"/>
        <v>75.372657853904499</v>
      </c>
      <c r="AF162">
        <f t="shared" si="99"/>
        <v>4.211745256087379E-3</v>
      </c>
      <c r="AG162">
        <f t="shared" si="100"/>
        <v>75.376869599160585</v>
      </c>
      <c r="AH162">
        <f t="shared" si="73"/>
        <v>173.28366396298759</v>
      </c>
      <c r="AK162">
        <f t="shared" si="101"/>
        <v>0.39166487451059789</v>
      </c>
      <c r="AL162">
        <f t="shared" si="102"/>
        <v>0.92010794262118922</v>
      </c>
      <c r="AM162">
        <f t="shared" si="103"/>
        <v>883</v>
      </c>
      <c r="AN162">
        <f t="shared" si="104"/>
        <v>-441.5</v>
      </c>
      <c r="AO162">
        <f t="shared" si="105"/>
        <v>441.5</v>
      </c>
      <c r="AP162" s="16" cm="1">
        <f t="array" ref="AP162">SUMPRODUCT(1362*POWER(0.7,POWER(1/($AI$2*AK162+$AJ$2*AL162*COS(RADIANS(0.25*(_xlfn.SEQUENCE(AO162-AN162,1,AN162+1))))+0.50572*POWER(96.07995-DEGREES(ACOS($AI$2*AK162+$AJ$2*AL162*COS(RADIANS(0.25*(_xlfn.SEQUENCE(AO162-AN162,1,AN162+1)))))),-1.6364)),0.678))*IF(AL162*COS(RADIANS(0.25*(_xlfn.SEQUENCE(AO162-AN162,1,AN162+1))))&gt;0,AL162*COS(RADIANS(0.25*(_xlfn.SEQUENCE(AO162-AN162,1,AN162+1)))),0)/60)</f>
        <v>6284.4702641648291</v>
      </c>
      <c r="AQ162" s="17" cm="1">
        <f t="array" ref="AQ162">SUMPRODUCT(1362*POWER(0.7,POWER(1/($AI$2*AK162+$AJ$2*AL162*COS(RADIANS(0.25*(_xlfn.SEQUENCE(AO162-AN162,1,AN162+1))))+0.50572*POWER(96.07995-DEGREES(ACOS($AI$2*AK162+$AJ$2*AL162*COS(RADIANS(0.25*(_xlfn.SEQUENCE(AO162-AN162,1,AN162+1)))))),-1.6364)),0.678))/60)</f>
        <v>10877.877838968665</v>
      </c>
      <c r="AR162" s="15">
        <f t="shared" si="106"/>
        <v>1.7309140439403883</v>
      </c>
      <c r="AT162">
        <v>0.38168049477831312</v>
      </c>
      <c r="AU162">
        <v>67.562184718122296</v>
      </c>
      <c r="AV162">
        <v>2.6056383991569612</v>
      </c>
      <c r="AW162">
        <v>688.11667678349318</v>
      </c>
    </row>
    <row r="163" spans="4:49" ht="17" x14ac:dyDescent="0.2">
      <c r="D163" s="1">
        <f t="shared" si="107"/>
        <v>46184</v>
      </c>
      <c r="E163" s="6">
        <f t="shared" si="74"/>
        <v>0.5</v>
      </c>
      <c r="F163" s="2">
        <f t="shared" si="75"/>
        <v>2461203.3333333335</v>
      </c>
      <c r="G163" s="3">
        <f t="shared" si="76"/>
        <v>0.26443075519051301</v>
      </c>
      <c r="I163">
        <f t="shared" si="77"/>
        <v>80.177234787579437</v>
      </c>
      <c r="J163">
        <f t="shared" si="78"/>
        <v>9876.7851535786958</v>
      </c>
      <c r="K163">
        <f t="shared" si="79"/>
        <v>1.6697509265020859E-2</v>
      </c>
      <c r="L163">
        <f t="shared" si="80"/>
        <v>0.74000024849063806</v>
      </c>
      <c r="M163">
        <f t="shared" si="81"/>
        <v>80.917235036070082</v>
      </c>
      <c r="N163">
        <f t="shared" si="82"/>
        <v>9877.5251538271859</v>
      </c>
      <c r="O163">
        <f t="shared" si="83"/>
        <v>1.0153889421901214</v>
      </c>
      <c r="P163">
        <f t="shared" si="84"/>
        <v>80.913670769072183</v>
      </c>
      <c r="Q163">
        <f t="shared" si="85"/>
        <v>23.435852407350865</v>
      </c>
      <c r="R163">
        <f t="shared" si="86"/>
        <v>23.438145329259076</v>
      </c>
      <c r="S163">
        <f t="shared" si="87"/>
        <v>80.112018194813402</v>
      </c>
      <c r="T163" s="19">
        <f t="shared" si="88"/>
        <v>23.126813670223285</v>
      </c>
      <c r="U163">
        <f t="shared" si="89"/>
        <v>4.3030202394599197E-2</v>
      </c>
      <c r="V163">
        <f t="shared" si="90"/>
        <v>0.24636214646349031</v>
      </c>
      <c r="W163">
        <f t="shared" si="91"/>
        <v>110.41735991092224</v>
      </c>
      <c r="X163" s="6">
        <f t="shared" si="92"/>
        <v>0.50525077628717807</v>
      </c>
      <c r="Y163" s="6">
        <f t="shared" si="93"/>
        <v>0.19853588764572738</v>
      </c>
      <c r="Z163" s="6">
        <f t="shared" si="94"/>
        <v>0.81196566492862876</v>
      </c>
      <c r="AA163" s="19">
        <f t="shared" si="95"/>
        <v>883.33887928737795</v>
      </c>
      <c r="AB163">
        <f t="shared" si="96"/>
        <v>712.43888214646358</v>
      </c>
      <c r="AC163">
        <f t="shared" si="97"/>
        <v>-1.890279463384104</v>
      </c>
      <c r="AD163">
        <f t="shared" si="72"/>
        <v>14.563805371280592</v>
      </c>
      <c r="AE163">
        <f t="shared" si="98"/>
        <v>75.436194628719406</v>
      </c>
      <c r="AF163">
        <f t="shared" si="99"/>
        <v>4.1926395720318331E-3</v>
      </c>
      <c r="AG163">
        <f t="shared" si="100"/>
        <v>75.440387268291431</v>
      </c>
      <c r="AH163">
        <f t="shared" si="73"/>
        <v>173.07120612746951</v>
      </c>
      <c r="AK163">
        <f t="shared" si="101"/>
        <v>0.39276753797128783</v>
      </c>
      <c r="AL163">
        <f t="shared" si="102"/>
        <v>0.91963778799915186</v>
      </c>
      <c r="AM163">
        <f t="shared" si="103"/>
        <v>883</v>
      </c>
      <c r="AN163">
        <f t="shared" si="104"/>
        <v>-441.5</v>
      </c>
      <c r="AO163">
        <f t="shared" si="105"/>
        <v>441.5</v>
      </c>
      <c r="AP163" s="16" cm="1">
        <f t="array" ref="AP163">SUMPRODUCT(1362*POWER(0.7,POWER(1/($AI$2*AK163+$AJ$2*AL163*COS(RADIANS(0.25*(_xlfn.SEQUENCE(AO163-AN163,1,AN163+1))))+0.50572*POWER(96.07995-DEGREES(ACOS($AI$2*AK163+$AJ$2*AL163*COS(RADIANS(0.25*(_xlfn.SEQUENCE(AO163-AN163,1,AN163+1)))))),-1.6364)),0.678))*IF(AL163*COS(RADIANS(0.25*(_xlfn.SEQUENCE(AO163-AN163,1,AN163+1))))&gt;0,AL163*COS(RADIANS(0.25*(_xlfn.SEQUENCE(AO163-AN163,1,AN163+1)))),0)/60)</f>
        <v>6282.2419537032138</v>
      </c>
      <c r="AQ163" s="17" cm="1">
        <f t="array" ref="AQ163">SUMPRODUCT(1362*POWER(0.7,POWER(1/($AI$2*AK163+$AJ$2*AL163*COS(RADIANS(0.25*(_xlfn.SEQUENCE(AO163-AN163,1,AN163+1))))+0.50572*POWER(96.07995-DEGREES(ACOS($AI$2*AK163+$AJ$2*AL163*COS(RADIANS(0.25*(_xlfn.SEQUENCE(AO163-AN163,1,AN163+1)))))),-1.6364)),0.678))/60)</f>
        <v>10884.851210556168</v>
      </c>
      <c r="AR163" s="15">
        <f t="shared" si="106"/>
        <v>1.7326380121574017</v>
      </c>
      <c r="AT163">
        <v>0.38335566118011832</v>
      </c>
      <c r="AU163">
        <v>67.458304430527605</v>
      </c>
      <c r="AV163">
        <v>2.594398487562807</v>
      </c>
      <c r="AW163">
        <v>689.49305879471319</v>
      </c>
    </row>
    <row r="164" spans="4:49" ht="17" x14ac:dyDescent="0.2">
      <c r="D164" s="1">
        <f t="shared" si="107"/>
        <v>46185</v>
      </c>
      <c r="E164" s="6">
        <f t="shared" si="74"/>
        <v>0.5</v>
      </c>
      <c r="F164" s="2">
        <f t="shared" si="75"/>
        <v>2461204.3333333335</v>
      </c>
      <c r="G164" s="3">
        <f t="shared" si="76"/>
        <v>0.26445813369838433</v>
      </c>
      <c r="I164">
        <f t="shared" si="77"/>
        <v>81.162882152133534</v>
      </c>
      <c r="J164">
        <f t="shared" si="78"/>
        <v>9877.7707538581926</v>
      </c>
      <c r="K164">
        <f t="shared" si="79"/>
        <v>1.6697508112275883E-2</v>
      </c>
      <c r="L164">
        <f t="shared" si="80"/>
        <v>0.71011834574292199</v>
      </c>
      <c r="M164">
        <f t="shared" si="81"/>
        <v>81.873000497876461</v>
      </c>
      <c r="N164">
        <f t="shared" si="82"/>
        <v>9878.4808722039361</v>
      </c>
      <c r="O164">
        <f t="shared" si="83"/>
        <v>1.015496539169251</v>
      </c>
      <c r="P164">
        <f t="shared" si="84"/>
        <v>81.869440186836158</v>
      </c>
      <c r="Q164">
        <f t="shared" si="85"/>
        <v>23.435852051316704</v>
      </c>
      <c r="R164">
        <f t="shared" si="86"/>
        <v>23.438143920053932</v>
      </c>
      <c r="S164">
        <f t="shared" si="87"/>
        <v>81.149367783472997</v>
      </c>
      <c r="T164" s="19">
        <f t="shared" si="88"/>
        <v>23.188701958604515</v>
      </c>
      <c r="U164">
        <f t="shared" si="89"/>
        <v>4.3030197073085905E-2</v>
      </c>
      <c r="V164">
        <f t="shared" si="90"/>
        <v>3.9912756869117251E-2</v>
      </c>
      <c r="W164">
        <f t="shared" si="91"/>
        <v>110.47809499565568</v>
      </c>
      <c r="X164" s="6">
        <f t="shared" si="92"/>
        <v>0.50539414391884085</v>
      </c>
      <c r="Y164" s="6">
        <f t="shared" si="93"/>
        <v>0.19851054670868623</v>
      </c>
      <c r="Z164" s="6">
        <f t="shared" si="94"/>
        <v>0.81227774112899553</v>
      </c>
      <c r="AA164" s="19">
        <f t="shared" si="95"/>
        <v>883.82475996524545</v>
      </c>
      <c r="AB164">
        <f t="shared" si="96"/>
        <v>712.23243275686923</v>
      </c>
      <c r="AC164">
        <f t="shared" si="97"/>
        <v>-1.9418918107826926</v>
      </c>
      <c r="AD164">
        <f t="shared" si="72"/>
        <v>14.507271575358358</v>
      </c>
      <c r="AE164">
        <f t="shared" si="98"/>
        <v>75.492728424641641</v>
      </c>
      <c r="AF164">
        <f t="shared" si="99"/>
        <v>4.1756489221848889E-3</v>
      </c>
      <c r="AG164">
        <f t="shared" si="100"/>
        <v>75.496904073563826</v>
      </c>
      <c r="AH164">
        <f t="shared" si="73"/>
        <v>172.85716111973579</v>
      </c>
      <c r="AK164">
        <f t="shared" si="101"/>
        <v>0.39376065945435507</v>
      </c>
      <c r="AL164">
        <f t="shared" si="102"/>
        <v>0.9192130020109982</v>
      </c>
      <c r="AM164">
        <f t="shared" si="103"/>
        <v>884</v>
      </c>
      <c r="AN164">
        <f t="shared" si="104"/>
        <v>-442</v>
      </c>
      <c r="AO164">
        <f t="shared" si="105"/>
        <v>442</v>
      </c>
      <c r="AP164" s="16" cm="1">
        <f t="array" ref="AP164">SUMPRODUCT(1362*POWER(0.7,POWER(1/($AI$2*AK164+$AJ$2*AL164*COS(RADIANS(0.25*(_xlfn.SEQUENCE(AO164-AN164,1,AN164+1))))+0.50572*POWER(96.07995-DEGREES(ACOS($AI$2*AK164+$AJ$2*AL164*COS(RADIANS(0.25*(_xlfn.SEQUENCE(AO164-AN164,1,AN164+1)))))),-1.6364)),0.678))*IF(AL164*COS(RADIANS(0.25*(_xlfn.SEQUENCE(AO164-AN164,1,AN164+1))))&gt;0,AL164*COS(RADIANS(0.25*(_xlfn.SEQUENCE(AO164-AN164,1,AN164+1)))),0)/60)</f>
        <v>6280.2134425857448</v>
      </c>
      <c r="AQ164" s="17" cm="1">
        <f t="array" ref="AQ164">SUMPRODUCT(1362*POWER(0.7,POWER(1/($AI$2*AK164+$AJ$2*AL164*COS(RADIANS(0.25*(_xlfn.SEQUENCE(AO164-AN164,1,AN164+1))))+0.50572*POWER(96.07995-DEGREES(ACOS($AI$2*AK164+$AJ$2*AL164*COS(RADIANS(0.25*(_xlfn.SEQUENCE(AO164-AN164,1,AN164+1)))))),-1.6364)),0.678))/60)</f>
        <v>10891.259146467999</v>
      </c>
      <c r="AR164" s="15">
        <f t="shared" si="106"/>
        <v>1.7342179921171204</v>
      </c>
      <c r="AT164">
        <v>0.38501899998827693</v>
      </c>
      <c r="AU164">
        <v>67.355080189747355</v>
      </c>
      <c r="AV164">
        <v>2.5833327498403342</v>
      </c>
      <c r="AW164">
        <v>690.85268426350206</v>
      </c>
    </row>
    <row r="165" spans="4:49" ht="17" x14ac:dyDescent="0.2">
      <c r="D165" s="1">
        <f t="shared" si="107"/>
        <v>46186</v>
      </c>
      <c r="E165" s="6">
        <f t="shared" si="74"/>
        <v>0.5</v>
      </c>
      <c r="F165" s="2">
        <f t="shared" si="75"/>
        <v>2461205.3333333335</v>
      </c>
      <c r="G165" s="3">
        <f t="shared" si="76"/>
        <v>0.26448551220625566</v>
      </c>
      <c r="I165">
        <f t="shared" si="77"/>
        <v>82.14852951668945</v>
      </c>
      <c r="J165">
        <f t="shared" si="78"/>
        <v>9878.7563541376931</v>
      </c>
      <c r="K165">
        <f t="shared" si="79"/>
        <v>1.669750695953072E-2</v>
      </c>
      <c r="L165">
        <f t="shared" si="80"/>
        <v>0.68003810718074076</v>
      </c>
      <c r="M165">
        <f t="shared" si="81"/>
        <v>82.828567623870185</v>
      </c>
      <c r="N165">
        <f t="shared" si="82"/>
        <v>9879.4363922448738</v>
      </c>
      <c r="O165">
        <f t="shared" si="83"/>
        <v>1.0155996789194932</v>
      </c>
      <c r="P165">
        <f t="shared" si="84"/>
        <v>82.825011266968346</v>
      </c>
      <c r="Q165">
        <f t="shared" si="85"/>
        <v>23.435851695282544</v>
      </c>
      <c r="R165">
        <f t="shared" si="86"/>
        <v>23.438142508891122</v>
      </c>
      <c r="S165">
        <f t="shared" si="87"/>
        <v>82.187409378431852</v>
      </c>
      <c r="T165" s="19">
        <f t="shared" si="88"/>
        <v>23.243775659141356</v>
      </c>
      <c r="U165">
        <f t="shared" si="89"/>
        <v>4.3030191744180338E-2</v>
      </c>
      <c r="V165">
        <f t="shared" si="90"/>
        <v>-0.16930061320802869</v>
      </c>
      <c r="W165">
        <f t="shared" si="91"/>
        <v>110.53221119779049</v>
      </c>
      <c r="X165" s="6">
        <f t="shared" si="92"/>
        <v>0.50553943098139442</v>
      </c>
      <c r="Y165" s="6">
        <f t="shared" si="93"/>
        <v>0.19850551098753197</v>
      </c>
      <c r="Z165" s="6">
        <f t="shared" si="94"/>
        <v>0.81257335097525685</v>
      </c>
      <c r="AA165" s="19">
        <f t="shared" si="95"/>
        <v>884.25768958232391</v>
      </c>
      <c r="AB165">
        <f t="shared" si="96"/>
        <v>712.02321938679188</v>
      </c>
      <c r="AC165">
        <f t="shared" si="97"/>
        <v>-1.9941951533020301</v>
      </c>
      <c r="AD165">
        <f t="shared" si="72"/>
        <v>14.457754615884303</v>
      </c>
      <c r="AE165">
        <f t="shared" si="98"/>
        <v>75.542245384115702</v>
      </c>
      <c r="AF165">
        <f t="shared" si="99"/>
        <v>4.1607742097057405E-3</v>
      </c>
      <c r="AG165">
        <f t="shared" si="100"/>
        <v>75.546406158325411</v>
      </c>
      <c r="AH165">
        <f t="shared" si="73"/>
        <v>172.64213465454213</v>
      </c>
      <c r="AK165">
        <f t="shared" si="101"/>
        <v>0.39464404094992384</v>
      </c>
      <c r="AL165">
        <f t="shared" si="102"/>
        <v>0.91883408782147102</v>
      </c>
      <c r="AM165">
        <f t="shared" si="103"/>
        <v>884</v>
      </c>
      <c r="AN165">
        <f t="shared" si="104"/>
        <v>-442</v>
      </c>
      <c r="AO165">
        <f t="shared" si="105"/>
        <v>442</v>
      </c>
      <c r="AP165" s="16" cm="1">
        <f t="array" ref="AP165">SUMPRODUCT(1362*POWER(0.7,POWER(1/($AI$2*AK165+$AJ$2*AL165*COS(RADIANS(0.25*(_xlfn.SEQUENCE(AO165-AN165,1,AN165+1))))+0.50572*POWER(96.07995-DEGREES(ACOS($AI$2*AK165+$AJ$2*AL165*COS(RADIANS(0.25*(_xlfn.SEQUENCE(AO165-AN165,1,AN165+1)))))),-1.6364)),0.678))*IF(AL165*COS(RADIANS(0.25*(_xlfn.SEQUENCE(AO165-AN165,1,AN165+1))))&gt;0,AL165*COS(RADIANS(0.25*(_xlfn.SEQUENCE(AO165-AN165,1,AN165+1)))),0)/60)</f>
        <v>6278.4070569222158</v>
      </c>
      <c r="AQ165" s="17" cm="1">
        <f t="array" ref="AQ165">SUMPRODUCT(1362*POWER(0.7,POWER(1/($AI$2*AK165+$AJ$2*AL165*COS(RADIANS(0.25*(_xlfn.SEQUENCE(AO165-AN165,1,AN165+1))))+0.50572*POWER(96.07995-DEGREES(ACOS($AI$2*AK165+$AJ$2*AL165*COS(RADIANS(0.25*(_xlfn.SEQUENCE(AO165-AN165,1,AN165+1)))))),-1.6364)),0.678))/60)</f>
        <v>10896.854002780832</v>
      </c>
      <c r="AR165" s="15">
        <f t="shared" si="106"/>
        <v>1.7356080776518907</v>
      </c>
      <c r="AT165">
        <v>0.38667047953521583</v>
      </c>
      <c r="AU165">
        <v>67.252515104941679</v>
      </c>
      <c r="AV165">
        <v>2.5724382053765016</v>
      </c>
      <c r="AW165">
        <v>692.1957333169504</v>
      </c>
    </row>
    <row r="166" spans="4:49" ht="17" x14ac:dyDescent="0.2">
      <c r="D166" s="1">
        <f t="shared" si="107"/>
        <v>46187</v>
      </c>
      <c r="E166" s="6">
        <f t="shared" si="74"/>
        <v>0.5</v>
      </c>
      <c r="F166" s="2">
        <f t="shared" si="75"/>
        <v>2461206.3333333335</v>
      </c>
      <c r="G166" s="3">
        <f t="shared" si="76"/>
        <v>0.26451289071412698</v>
      </c>
      <c r="I166">
        <f t="shared" si="77"/>
        <v>83.134176881243548</v>
      </c>
      <c r="J166">
        <f t="shared" si="78"/>
        <v>9879.7419544171935</v>
      </c>
      <c r="K166">
        <f t="shared" si="79"/>
        <v>1.6697505806785362E-2</v>
      </c>
      <c r="L166">
        <f t="shared" si="80"/>
        <v>0.64976800593115858</v>
      </c>
      <c r="M166">
        <f t="shared" si="81"/>
        <v>83.783944887174712</v>
      </c>
      <c r="N166">
        <f t="shared" si="82"/>
        <v>9880.3917224231245</v>
      </c>
      <c r="O166">
        <f t="shared" si="83"/>
        <v>1.0156983336649998</v>
      </c>
      <c r="P166">
        <f t="shared" si="84"/>
        <v>83.780392482588823</v>
      </c>
      <c r="Q166">
        <f t="shared" si="85"/>
        <v>23.435851339248384</v>
      </c>
      <c r="R166">
        <f t="shared" si="86"/>
        <v>23.438141095771549</v>
      </c>
      <c r="S166">
        <f t="shared" si="87"/>
        <v>83.226048758217587</v>
      </c>
      <c r="T166" s="19">
        <f t="shared" si="88"/>
        <v>23.292015719969985</v>
      </c>
      <c r="U166">
        <f t="shared" si="89"/>
        <v>4.3030186407885876E-2</v>
      </c>
      <c r="V166">
        <f t="shared" si="90"/>
        <v>-0.38090320365693925</v>
      </c>
      <c r="W166">
        <f t="shared" si="91"/>
        <v>110.57966596582766</v>
      </c>
      <c r="X166" s="6">
        <f t="shared" si="92"/>
        <v>0.50568637722476173</v>
      </c>
      <c r="Y166" s="6">
        <f t="shared" si="93"/>
        <v>0.19852063843079604</v>
      </c>
      <c r="Z166" s="6">
        <f t="shared" si="94"/>
        <v>0.81285211601872742</v>
      </c>
      <c r="AA166" s="19">
        <f t="shared" si="95"/>
        <v>884.63732772662127</v>
      </c>
      <c r="AB166">
        <f t="shared" si="96"/>
        <v>711.81161679634306</v>
      </c>
      <c r="AC166">
        <f t="shared" si="97"/>
        <v>-2.047095800914235</v>
      </c>
      <c r="AD166">
        <f t="shared" si="72"/>
        <v>14.415264038278403</v>
      </c>
      <c r="AE166">
        <f t="shared" si="98"/>
        <v>75.584735961721591</v>
      </c>
      <c r="AF166">
        <f t="shared" si="99"/>
        <v>4.1480154606917735E-3</v>
      </c>
      <c r="AG166">
        <f t="shared" si="100"/>
        <v>75.588883977182277</v>
      </c>
      <c r="AH166">
        <f t="shared" si="73"/>
        <v>172.42674689090313</v>
      </c>
      <c r="AK166">
        <f t="shared" si="101"/>
        <v>0.39541751140573261</v>
      </c>
      <c r="AL166">
        <f t="shared" si="102"/>
        <v>0.9185014924722209</v>
      </c>
      <c r="AM166">
        <f t="shared" si="103"/>
        <v>885</v>
      </c>
      <c r="AN166">
        <f t="shared" si="104"/>
        <v>-442.5</v>
      </c>
      <c r="AO166">
        <f t="shared" si="105"/>
        <v>442.5</v>
      </c>
      <c r="AP166" s="16" cm="1">
        <f t="array" ref="AP166">SUMPRODUCT(1362*POWER(0.7,POWER(1/($AI$2*AK166+$AJ$2*AL166*COS(RADIANS(0.25*(_xlfn.SEQUENCE(AO166-AN166,1,AN166+1))))+0.50572*POWER(96.07995-DEGREES(ACOS($AI$2*AK166+$AJ$2*AL166*COS(RADIANS(0.25*(_xlfn.SEQUENCE(AO166-AN166,1,AN166+1)))))),-1.6364)),0.678))*IF(AL166*COS(RADIANS(0.25*(_xlfn.SEQUENCE(AO166-AN166,1,AN166+1))))&gt;0,AL166*COS(RADIANS(0.25*(_xlfn.SEQUENCE(AO166-AN166,1,AN166+1)))),0)/60)</f>
        <v>6276.8266846069992</v>
      </c>
      <c r="AQ166" s="17" cm="1">
        <f t="array" ref="AQ166">SUMPRODUCT(1362*POWER(0.7,POWER(1/($AI$2*AK166+$AJ$2*AL166*COS(RADIANS(0.25*(_xlfn.SEQUENCE(AO166-AN166,1,AN166+1))))+0.50572*POWER(96.07995-DEGREES(ACOS($AI$2*AK166+$AJ$2*AL166*COS(RADIANS(0.25*(_xlfn.SEQUENCE(AO166-AN166,1,AN166+1)))))),-1.6364)),0.678))/60)</f>
        <v>10901.877019437905</v>
      </c>
      <c r="AR166" s="15">
        <f t="shared" si="106"/>
        <v>1.7368453148743404</v>
      </c>
      <c r="AT166">
        <v>0.38831006837914483</v>
      </c>
      <c r="AU166">
        <v>67.150612284081916</v>
      </c>
      <c r="AV166">
        <v>2.5617119485359026</v>
      </c>
      <c r="AW166">
        <v>693.52238272837872</v>
      </c>
    </row>
    <row r="167" spans="4:49" ht="17" x14ac:dyDescent="0.2">
      <c r="D167" s="1">
        <f t="shared" si="107"/>
        <v>46188</v>
      </c>
      <c r="E167" s="6">
        <f t="shared" si="74"/>
        <v>0.5</v>
      </c>
      <c r="F167" s="2">
        <f t="shared" si="75"/>
        <v>2461207.3333333335</v>
      </c>
      <c r="G167" s="3">
        <f t="shared" si="76"/>
        <v>0.2645402692219983</v>
      </c>
      <c r="I167">
        <f t="shared" si="77"/>
        <v>84.119824245799464</v>
      </c>
      <c r="J167">
        <f t="shared" si="78"/>
        <v>9880.7275546966903</v>
      </c>
      <c r="K167">
        <f t="shared" si="79"/>
        <v>1.6697504654039817E-2</v>
      </c>
      <c r="L167">
        <f t="shared" si="80"/>
        <v>0.61931655876709324</v>
      </c>
      <c r="M167">
        <f t="shared" si="81"/>
        <v>84.73914080456656</v>
      </c>
      <c r="N167">
        <f t="shared" si="82"/>
        <v>9881.3468712554568</v>
      </c>
      <c r="O167">
        <f t="shared" si="83"/>
        <v>1.015792476853894</v>
      </c>
      <c r="P167">
        <f t="shared" si="84"/>
        <v>84.735592350470725</v>
      </c>
      <c r="Q167">
        <f t="shared" si="85"/>
        <v>23.435850983214227</v>
      </c>
      <c r="R167">
        <f t="shared" si="86"/>
        <v>23.438139680696121</v>
      </c>
      <c r="S167">
        <f t="shared" si="87"/>
        <v>84.265190522687547</v>
      </c>
      <c r="T167" s="19">
        <f t="shared" si="88"/>
        <v>23.333405756576997</v>
      </c>
      <c r="U167">
        <f t="shared" si="89"/>
        <v>4.3030181064205988E-2</v>
      </c>
      <c r="V167">
        <f t="shared" si="90"/>
        <v>-0.59451561190124314</v>
      </c>
      <c r="W167">
        <f t="shared" si="91"/>
        <v>110.62042211436011</v>
      </c>
      <c r="X167" s="6">
        <f t="shared" si="92"/>
        <v>0.50583471917493139</v>
      </c>
      <c r="Y167" s="6">
        <f t="shared" si="93"/>
        <v>0.19855576885726439</v>
      </c>
      <c r="Z167" s="6">
        <f t="shared" si="94"/>
        <v>0.81311366949259833</v>
      </c>
      <c r="AA167" s="19">
        <f t="shared" si="95"/>
        <v>884.96337691488088</v>
      </c>
      <c r="AB167">
        <f t="shared" si="96"/>
        <v>711.59800438809884</v>
      </c>
      <c r="AC167">
        <f t="shared" si="97"/>
        <v>-2.1004989029752892</v>
      </c>
      <c r="AD167">
        <f t="shared" si="72"/>
        <v>14.37980503983664</v>
      </c>
      <c r="AE167">
        <f t="shared" si="98"/>
        <v>75.62019496016336</v>
      </c>
      <c r="AF167">
        <f t="shared" si="99"/>
        <v>4.1373718100546136E-3</v>
      </c>
      <c r="AG167">
        <f t="shared" si="100"/>
        <v>75.62433233197342</v>
      </c>
      <c r="AH167">
        <f t="shared" si="73"/>
        <v>172.21162906008431</v>
      </c>
      <c r="AK167">
        <f t="shared" si="101"/>
        <v>0.39608092668608896</v>
      </c>
      <c r="AL167">
        <f t="shared" si="102"/>
        <v>0.91821560622518772</v>
      </c>
      <c r="AM167">
        <f t="shared" si="103"/>
        <v>885</v>
      </c>
      <c r="AN167">
        <f t="shared" si="104"/>
        <v>-442.5</v>
      </c>
      <c r="AO167">
        <f t="shared" si="105"/>
        <v>442.5</v>
      </c>
      <c r="AP167" s="16" cm="1">
        <f t="array" ref="AP167">SUMPRODUCT(1362*POWER(0.7,POWER(1/($AI$2*AK167+$AJ$2*AL167*COS(RADIANS(0.25*(_xlfn.SEQUENCE(AO167-AN167,1,AN167+1))))+0.50572*POWER(96.07995-DEGREES(ACOS($AI$2*AK167+$AJ$2*AL167*COS(RADIANS(0.25*(_xlfn.SEQUENCE(AO167-AN167,1,AN167+1)))))),-1.6364)),0.678))*IF(AL167*COS(RADIANS(0.25*(_xlfn.SEQUENCE(AO167-AN167,1,AN167+1))))&gt;0,AL167*COS(RADIANS(0.25*(_xlfn.SEQUENCE(AO167-AN167,1,AN167+1)))),0)/60)</f>
        <v>6275.4576845877755</v>
      </c>
      <c r="AQ167" s="17" cm="1">
        <f t="array" ref="AQ167">SUMPRODUCT(1362*POWER(0.7,POWER(1/($AI$2*AK167+$AJ$2*AL167*COS(RADIANS(0.25*(_xlfn.SEQUENCE(AO167-AN167,1,AN167+1))))+0.50572*POWER(96.07995-DEGREES(ACOS($AI$2*AK167+$AJ$2*AL167*COS(RADIANS(0.25*(_xlfn.SEQUENCE(AO167-AN167,1,AN167+1)))))),-1.6364)),0.678))/60)</f>
        <v>10906.084569881519</v>
      </c>
      <c r="AR167" s="15">
        <f t="shared" si="106"/>
        <v>1.7378946872140246</v>
      </c>
      <c r="AT167">
        <v>0.38993773530465592</v>
      </c>
      <c r="AU167">
        <v>67.049374833638737</v>
      </c>
      <c r="AV167">
        <v>2.5511511464314167</v>
      </c>
      <c r="AW167">
        <v>694.83280598610486</v>
      </c>
    </row>
    <row r="168" spans="4:49" ht="17" x14ac:dyDescent="0.2">
      <c r="D168" s="1">
        <f t="shared" si="107"/>
        <v>46189</v>
      </c>
      <c r="E168" s="6">
        <f t="shared" si="74"/>
        <v>0.5</v>
      </c>
      <c r="F168" s="2">
        <f t="shared" si="75"/>
        <v>2461208.3333333335</v>
      </c>
      <c r="G168" s="3">
        <f t="shared" si="76"/>
        <v>0.26456764772986963</v>
      </c>
      <c r="I168">
        <f t="shared" si="77"/>
        <v>85.10547161035538</v>
      </c>
      <c r="J168">
        <f t="shared" si="78"/>
        <v>9881.7131549761889</v>
      </c>
      <c r="K168">
        <f t="shared" si="79"/>
        <v>1.6697503501294082E-2</v>
      </c>
      <c r="L168">
        <f t="shared" si="80"/>
        <v>0.58869232408331218</v>
      </c>
      <c r="M168">
        <f t="shared" si="81"/>
        <v>85.694163934438691</v>
      </c>
      <c r="N168">
        <f t="shared" si="82"/>
        <v>9882.3018473002721</v>
      </c>
      <c r="O168">
        <f t="shared" si="83"/>
        <v>1.015882083163254</v>
      </c>
      <c r="P168">
        <f t="shared" si="84"/>
        <v>85.690619429003661</v>
      </c>
      <c r="Q168">
        <f t="shared" si="85"/>
        <v>23.435850627180066</v>
      </c>
      <c r="R168">
        <f t="shared" si="86"/>
        <v>23.438138263665738</v>
      </c>
      <c r="S168">
        <f t="shared" si="87"/>
        <v>85.304738258434838</v>
      </c>
      <c r="T168" s="19">
        <f t="shared" si="88"/>
        <v>23.367932072579769</v>
      </c>
      <c r="U168">
        <f t="shared" si="89"/>
        <v>4.3030175713144062E-2</v>
      </c>
      <c r="V168">
        <f t="shared" si="90"/>
        <v>-0.80975443189358387</v>
      </c>
      <c r="W168">
        <f t="shared" si="91"/>
        <v>110.65444793641443</v>
      </c>
      <c r="X168" s="6">
        <f t="shared" si="92"/>
        <v>0.50598419057770394</v>
      </c>
      <c r="Y168" s="6">
        <f t="shared" si="93"/>
        <v>0.19861072408766384</v>
      </c>
      <c r="Z168" s="6">
        <f t="shared" si="94"/>
        <v>0.81335765706774399</v>
      </c>
      <c r="AA168" s="19">
        <f t="shared" si="95"/>
        <v>885.23558349131542</v>
      </c>
      <c r="AB168">
        <f t="shared" si="96"/>
        <v>711.38276556810638</v>
      </c>
      <c r="AC168">
        <f t="shared" si="97"/>
        <v>-2.1543086079734053</v>
      </c>
      <c r="AD168">
        <f t="shared" si="72"/>
        <v>14.351378455825509</v>
      </c>
      <c r="AE168">
        <f t="shared" si="98"/>
        <v>75.648621544174489</v>
      </c>
      <c r="AF168">
        <f t="shared" si="99"/>
        <v>4.128841493924131E-3</v>
      </c>
      <c r="AG168">
        <f t="shared" si="100"/>
        <v>75.652750385668412</v>
      </c>
      <c r="AH168">
        <f t="shared" si="73"/>
        <v>171.99741993777195</v>
      </c>
      <c r="AK168">
        <f t="shared" si="101"/>
        <v>0.39663416952879238</v>
      </c>
      <c r="AL168">
        <f t="shared" si="102"/>
        <v>0.91797676199466249</v>
      </c>
      <c r="AM168">
        <f t="shared" si="103"/>
        <v>885</v>
      </c>
      <c r="AN168">
        <f t="shared" si="104"/>
        <v>-442.5</v>
      </c>
      <c r="AO168">
        <f t="shared" si="105"/>
        <v>442.5</v>
      </c>
      <c r="AP168" s="16" cm="1">
        <f t="array" ref="AP168">SUMPRODUCT(1362*POWER(0.7,POWER(1/($AI$2*AK168+$AJ$2*AL168*COS(RADIANS(0.25*(_xlfn.SEQUENCE(AO168-AN168,1,AN168+1))))+0.50572*POWER(96.07995-DEGREES(ACOS($AI$2*AK168+$AJ$2*AL168*COS(RADIANS(0.25*(_xlfn.SEQUENCE(AO168-AN168,1,AN168+1)))))),-1.6364)),0.678))*IF(AL168*COS(RADIANS(0.25*(_xlfn.SEQUENCE(AO168-AN168,1,AN168+1))))&gt;0,AL168*COS(RADIANS(0.25*(_xlfn.SEQUENCE(AO168-AN168,1,AN168+1)))),0)/60)</f>
        <v>6274.3119556192923</v>
      </c>
      <c r="AQ168" s="17" cm="1">
        <f t="array" ref="AQ168">SUMPRODUCT(1362*POWER(0.7,POWER(1/($AI$2*AK168+$AJ$2*AL168*COS(RADIANS(0.25*(_xlfn.SEQUENCE(AO168-AN168,1,AN168+1))))+0.50572*POWER(96.07995-DEGREES(ACOS($AI$2*AK168+$AJ$2*AL168*COS(RADIANS(0.25*(_xlfn.SEQUENCE(AO168-AN168,1,AN168+1)))))),-1.6364)),0.678))/60)</f>
        <v>10909.59387681891</v>
      </c>
      <c r="AR168" s="15">
        <f t="shared" si="106"/>
        <v>1.7387713511834944</v>
      </c>
      <c r="AT168">
        <v>0.39155344932331693</v>
      </c>
      <c r="AU168">
        <v>66.948805858266155</v>
      </c>
      <c r="AV168">
        <v>2.5407530367750479</v>
      </c>
      <c r="AW168">
        <v>696.1271733604691</v>
      </c>
    </row>
    <row r="169" spans="4:49" ht="17" x14ac:dyDescent="0.2">
      <c r="D169" s="1">
        <f t="shared" si="107"/>
        <v>46190</v>
      </c>
      <c r="E169" s="6">
        <f t="shared" si="74"/>
        <v>0.5</v>
      </c>
      <c r="F169" s="2">
        <f t="shared" si="75"/>
        <v>2461209.3333333335</v>
      </c>
      <c r="G169" s="3">
        <f t="shared" si="76"/>
        <v>0.26459502623774095</v>
      </c>
      <c r="I169">
        <f t="shared" si="77"/>
        <v>86.091118974913115</v>
      </c>
      <c r="J169">
        <f t="shared" si="78"/>
        <v>9882.6987552556875</v>
      </c>
      <c r="K169">
        <f t="shared" si="79"/>
        <v>1.6697502348548159E-2</v>
      </c>
      <c r="L169">
        <f t="shared" si="80"/>
        <v>0.55790389987321165</v>
      </c>
      <c r="M169">
        <f t="shared" si="81"/>
        <v>86.649022874786326</v>
      </c>
      <c r="N169">
        <f t="shared" si="82"/>
        <v>9883.2566591555606</v>
      </c>
      <c r="O169">
        <f t="shared" si="83"/>
        <v>1.0159671285038492</v>
      </c>
      <c r="P169">
        <f t="shared" si="84"/>
        <v>86.645482316179468</v>
      </c>
      <c r="Q169">
        <f t="shared" si="85"/>
        <v>23.43585027114591</v>
      </c>
      <c r="R169">
        <f t="shared" si="86"/>
        <v>23.438136844681306</v>
      </c>
      <c r="S169">
        <f t="shared" si="87"/>
        <v>86.344594707294021</v>
      </c>
      <c r="T169" s="19">
        <f t="shared" si="88"/>
        <v>23.395583677001419</v>
      </c>
      <c r="U169">
        <f t="shared" si="89"/>
        <v>4.3030170354703502E-2</v>
      </c>
      <c r="V169">
        <f t="shared" si="90"/>
        <v>-1.0262329039199762</v>
      </c>
      <c r="W169">
        <f t="shared" si="91"/>
        <v>110.68171729978289</v>
      </c>
      <c r="X169" s="6">
        <f t="shared" si="92"/>
        <v>0.50613452284994431</v>
      </c>
      <c r="Y169" s="6">
        <f t="shared" si="93"/>
        <v>0.19868530812832519</v>
      </c>
      <c r="Z169" s="6">
        <f t="shared" si="94"/>
        <v>0.81358373757156344</v>
      </c>
      <c r="AA169" s="19">
        <f t="shared" si="95"/>
        <v>885.45373839826311</v>
      </c>
      <c r="AB169">
        <f t="shared" si="96"/>
        <v>711.16628709607994</v>
      </c>
      <c r="AC169">
        <f t="shared" si="97"/>
        <v>-2.2084282259800148</v>
      </c>
      <c r="AD169">
        <f t="shared" si="72"/>
        <v>14.329980768238668</v>
      </c>
      <c r="AE169">
        <f t="shared" si="98"/>
        <v>75.67001923176133</v>
      </c>
      <c r="AF169">
        <f t="shared" si="99"/>
        <v>4.1224218487530594E-3</v>
      </c>
      <c r="AG169">
        <f t="shared" si="100"/>
        <v>75.674141653610079</v>
      </c>
      <c r="AH169">
        <f t="shared" si="73"/>
        <v>171.78476220063533</v>
      </c>
      <c r="AK169">
        <f t="shared" si="101"/>
        <v>0.39707714950014661</v>
      </c>
      <c r="AL169">
        <f t="shared" si="102"/>
        <v>0.9177852348697042</v>
      </c>
      <c r="AM169">
        <f t="shared" si="103"/>
        <v>885</v>
      </c>
      <c r="AN169">
        <f t="shared" si="104"/>
        <v>-442.5</v>
      </c>
      <c r="AO169">
        <f t="shared" si="105"/>
        <v>442.5</v>
      </c>
      <c r="AP169" s="16" cm="1">
        <f t="array" ref="AP169">SUMPRODUCT(1362*POWER(0.7,POWER(1/($AI$2*AK169+$AJ$2*AL169*COS(RADIANS(0.25*(_xlfn.SEQUENCE(AO169-AN169,1,AN169+1))))+0.50572*POWER(96.07995-DEGREES(ACOS($AI$2*AK169+$AJ$2*AL169*COS(RADIANS(0.25*(_xlfn.SEQUENCE(AO169-AN169,1,AN169+1)))))),-1.6364)),0.678))*IF(AL169*COS(RADIANS(0.25*(_xlfn.SEQUENCE(AO169-AN169,1,AN169+1))))&gt;0,AL169*COS(RADIANS(0.25*(_xlfn.SEQUENCE(AO169-AN169,1,AN169+1)))),0)/60)</f>
        <v>6273.3918995111717</v>
      </c>
      <c r="AQ169" s="17" cm="1">
        <f t="array" ref="AQ169">SUMPRODUCT(1362*POWER(0.7,POWER(1/($AI$2*AK169+$AJ$2*AL169*COS(RADIANS(0.25*(_xlfn.SEQUENCE(AO169-AN169,1,AN169+1))))+0.50572*POWER(96.07995-DEGREES(ACOS($AI$2*AK169+$AJ$2*AL169*COS(RADIANS(0.25*(_xlfn.SEQUENCE(AO169-AN169,1,AN169+1)))))),-1.6364)),0.678))/60)</f>
        <v>10912.404074957971</v>
      </c>
      <c r="AR169" s="15">
        <f t="shared" si="106"/>
        <v>1.7394743146539713</v>
      </c>
      <c r="AT169">
        <v>0.393157179674262</v>
      </c>
      <c r="AU169">
        <v>66.848908460481411</v>
      </c>
      <c r="AV169">
        <v>2.5305149258056305</v>
      </c>
      <c r="AW169">
        <v>697.40565196916475</v>
      </c>
    </row>
    <row r="170" spans="4:49" ht="17" x14ac:dyDescent="0.2">
      <c r="D170" s="1">
        <f t="shared" si="107"/>
        <v>46191</v>
      </c>
      <c r="E170" s="6">
        <f t="shared" si="74"/>
        <v>0.5</v>
      </c>
      <c r="F170" s="2">
        <f t="shared" si="75"/>
        <v>2461210.3333333335</v>
      </c>
      <c r="G170" s="3">
        <f t="shared" si="76"/>
        <v>0.26462240474561227</v>
      </c>
      <c r="I170">
        <f t="shared" si="77"/>
        <v>87.076766339470851</v>
      </c>
      <c r="J170">
        <f t="shared" si="78"/>
        <v>9883.6843555351843</v>
      </c>
      <c r="K170">
        <f t="shared" si="79"/>
        <v>1.6697501195802041E-2</v>
      </c>
      <c r="L170">
        <f t="shared" si="80"/>
        <v>0.52695992170429273</v>
      </c>
      <c r="M170">
        <f t="shared" si="81"/>
        <v>87.60372626117514</v>
      </c>
      <c r="N170">
        <f t="shared" si="82"/>
        <v>9884.2113154568888</v>
      </c>
      <c r="O170">
        <f t="shared" si="83"/>
        <v>1.0160475900246335</v>
      </c>
      <c r="P170">
        <f t="shared" si="84"/>
        <v>87.600189647560441</v>
      </c>
      <c r="Q170">
        <f t="shared" si="85"/>
        <v>23.435849915111753</v>
      </c>
      <c r="R170">
        <f t="shared" si="86"/>
        <v>23.438135423743738</v>
      </c>
      <c r="S170">
        <f t="shared" si="87"/>
        <v>87.384661937397482</v>
      </c>
      <c r="T170" s="19">
        <f t="shared" si="88"/>
        <v>23.416352297965382</v>
      </c>
      <c r="U170">
        <f t="shared" si="89"/>
        <v>4.3030164988887794E-2</v>
      </c>
      <c r="V170">
        <f t="shared" si="90"/>
        <v>-1.2435615735156336</v>
      </c>
      <c r="W170">
        <f t="shared" si="91"/>
        <v>110.70220972674865</v>
      </c>
      <c r="X170" s="6">
        <f t="shared" si="92"/>
        <v>0.50628544553716348</v>
      </c>
      <c r="Y170" s="6">
        <f t="shared" si="93"/>
        <v>0.19877930740730609</v>
      </c>
      <c r="Z170" s="6">
        <f t="shared" si="94"/>
        <v>0.81379158366702076</v>
      </c>
      <c r="AA170" s="19">
        <f t="shared" si="95"/>
        <v>885.61767781398919</v>
      </c>
      <c r="AB170">
        <f t="shared" si="96"/>
        <v>710.9489584264843</v>
      </c>
      <c r="AC170">
        <f t="shared" si="97"/>
        <v>-2.262760393378926</v>
      </c>
      <c r="AD170">
        <f t="shared" si="72"/>
        <v>14.315604137467641</v>
      </c>
      <c r="AE170">
        <f t="shared" si="98"/>
        <v>75.684395862532355</v>
      </c>
      <c r="AF170">
        <f t="shared" si="99"/>
        <v>4.1181093172024076E-3</v>
      </c>
      <c r="AG170">
        <f t="shared" si="100"/>
        <v>75.688513971849559</v>
      </c>
      <c r="AH170">
        <f t="shared" si="73"/>
        <v>171.57429871014608</v>
      </c>
      <c r="AK170">
        <f t="shared" si="101"/>
        <v>0.39740980294810579</v>
      </c>
      <c r="AL170">
        <f t="shared" si="102"/>
        <v>0.91764124172834982</v>
      </c>
      <c r="AM170">
        <f t="shared" si="103"/>
        <v>886</v>
      </c>
      <c r="AN170">
        <f t="shared" si="104"/>
        <v>-443</v>
      </c>
      <c r="AO170">
        <f t="shared" si="105"/>
        <v>443</v>
      </c>
      <c r="AP170" s="16" cm="1">
        <f t="array" ref="AP170">SUMPRODUCT(1362*POWER(0.7,POWER(1/($AI$2*AK170+$AJ$2*AL170*COS(RADIANS(0.25*(_xlfn.SEQUENCE(AO170-AN170,1,AN170+1))))+0.50572*POWER(96.07995-DEGREES(ACOS($AI$2*AK170+$AJ$2*AL170*COS(RADIANS(0.25*(_xlfn.SEQUENCE(AO170-AN170,1,AN170+1)))))),-1.6364)),0.678))*IF(AL170*COS(RADIANS(0.25*(_xlfn.SEQUENCE(AO170-AN170,1,AN170+1))))&gt;0,AL170*COS(RADIANS(0.25*(_xlfn.SEQUENCE(AO170-AN170,1,AN170+1)))),0)/60)</f>
        <v>6272.6903915999474</v>
      </c>
      <c r="AQ170" s="17" cm="1">
        <f t="array" ref="AQ170">SUMPRODUCT(1362*POWER(0.7,POWER(1/($AI$2*AK170+$AJ$2*AL170*COS(RADIANS(0.25*(_xlfn.SEQUENCE(AO170-AN170,1,AN170+1))))+0.50572*POWER(96.07995-DEGREES(ACOS($AI$2*AK170+$AJ$2*AL170*COS(RADIANS(0.25*(_xlfn.SEQUENCE(AO170-AN170,1,AN170+1)))))),-1.6364)),0.678))/60)</f>
        <v>10914.637703243972</v>
      </c>
      <c r="AR170" s="15">
        <f t="shared" si="106"/>
        <v>1.7400249369648904</v>
      </c>
      <c r="AT170">
        <v>0.39474889582477712</v>
      </c>
      <c r="AU170">
        <v>66.749685740340851</v>
      </c>
      <c r="AV170">
        <v>2.5204341862902537</v>
      </c>
      <c r="AW170">
        <v>698.66840584092063</v>
      </c>
    </row>
    <row r="171" spans="4:49" ht="17" x14ac:dyDescent="0.2">
      <c r="D171" s="1">
        <f t="shared" si="107"/>
        <v>46192</v>
      </c>
      <c r="E171" s="6">
        <f t="shared" si="74"/>
        <v>0.5</v>
      </c>
      <c r="F171" s="2">
        <f t="shared" si="75"/>
        <v>2461211.3333333335</v>
      </c>
      <c r="G171" s="3">
        <f t="shared" si="76"/>
        <v>0.26464978325348359</v>
      </c>
      <c r="I171">
        <f t="shared" si="77"/>
        <v>88.062413704028586</v>
      </c>
      <c r="J171">
        <f t="shared" si="78"/>
        <v>9884.6699558146829</v>
      </c>
      <c r="K171">
        <f t="shared" si="79"/>
        <v>1.6697500043055737E-2</v>
      </c>
      <c r="L171">
        <f t="shared" si="80"/>
        <v>0.49586906069369463</v>
      </c>
      <c r="M171">
        <f t="shared" si="81"/>
        <v>88.558282764722279</v>
      </c>
      <c r="N171">
        <f t="shared" si="82"/>
        <v>9885.1658248753774</v>
      </c>
      <c r="O171">
        <f t="shared" si="83"/>
        <v>1.0161234461169943</v>
      </c>
      <c r="P171">
        <f t="shared" si="84"/>
        <v>88.55475009426037</v>
      </c>
      <c r="Q171">
        <f t="shared" si="85"/>
        <v>23.435849559077592</v>
      </c>
      <c r="R171">
        <f t="shared" si="86"/>
        <v>23.438134000853932</v>
      </c>
      <c r="S171">
        <f t="shared" si="87"/>
        <v>88.424841516294222</v>
      </c>
      <c r="T171" s="19">
        <f t="shared" si="88"/>
        <v>23.430232392751662</v>
      </c>
      <c r="U171">
        <f t="shared" si="89"/>
        <v>4.3030159615700309E-2</v>
      </c>
      <c r="V171">
        <f t="shared" si="90"/>
        <v>-1.4613489577944552</v>
      </c>
      <c r="W171">
        <f t="shared" si="91"/>
        <v>110.71591045671107</v>
      </c>
      <c r="X171" s="6">
        <f t="shared" si="92"/>
        <v>0.50643668677624609</v>
      </c>
      <c r="Y171" s="6">
        <f t="shared" si="93"/>
        <v>0.19889249106315982</v>
      </c>
      <c r="Z171" s="6">
        <f t="shared" si="94"/>
        <v>0.81398088248933254</v>
      </c>
      <c r="AA171" s="19">
        <f t="shared" si="95"/>
        <v>885.72728365368857</v>
      </c>
      <c r="AB171">
        <f t="shared" si="96"/>
        <v>710.73117104220546</v>
      </c>
      <c r="AC171">
        <f t="shared" si="97"/>
        <v>-2.3172072394486349</v>
      </c>
      <c r="AD171">
        <f t="shared" si="72"/>
        <v>14.308236456792011</v>
      </c>
      <c r="AE171">
        <f t="shared" si="98"/>
        <v>75.691763543207983</v>
      </c>
      <c r="AF171">
        <f t="shared" si="99"/>
        <v>4.115899460789497E-3</v>
      </c>
      <c r="AG171">
        <f t="shared" si="100"/>
        <v>75.695879442668769</v>
      </c>
      <c r="AH171">
        <f t="shared" si="73"/>
        <v>171.36666876826996</v>
      </c>
      <c r="AK171">
        <f t="shared" si="101"/>
        <v>0.39763209295364393</v>
      </c>
      <c r="AL171">
        <f t="shared" si="102"/>
        <v>0.91754494094474992</v>
      </c>
      <c r="AM171">
        <f t="shared" si="103"/>
        <v>886</v>
      </c>
      <c r="AN171">
        <f t="shared" si="104"/>
        <v>-443</v>
      </c>
      <c r="AO171">
        <f t="shared" si="105"/>
        <v>443</v>
      </c>
      <c r="AP171" s="16" cm="1">
        <f t="array" ref="AP171">SUMPRODUCT(1362*POWER(0.7,POWER(1/($AI$2*AK171+$AJ$2*AL171*COS(RADIANS(0.25*(_xlfn.SEQUENCE(AO171-AN171,1,AN171+1))))+0.50572*POWER(96.07995-DEGREES(ACOS($AI$2*AK171+$AJ$2*AL171*COS(RADIANS(0.25*(_xlfn.SEQUENCE(AO171-AN171,1,AN171+1)))))),-1.6364)),0.678))*IF(AL171*COS(RADIANS(0.25*(_xlfn.SEQUENCE(AO171-AN171,1,AN171+1))))&gt;0,AL171*COS(RADIANS(0.25*(_xlfn.SEQUENCE(AO171-AN171,1,AN171+1)))),0)/60)</f>
        <v>6272.2269066089748</v>
      </c>
      <c r="AQ171" s="17" cm="1">
        <f t="array" ref="AQ171">SUMPRODUCT(1362*POWER(0.7,POWER(1/($AI$2*AK171+$AJ$2*AL171*COS(RADIANS(0.25*(_xlfn.SEQUENCE(AO171-AN171,1,AN171+1))))+0.50572*POWER(96.07995-DEGREES(ACOS($AI$2*AK171+$AJ$2*AL171*COS(RADIANS(0.25*(_xlfn.SEQUENCE(AO171-AN171,1,AN171+1)))))),-1.6364)),0.678))/60)</f>
        <v>10916.049570552444</v>
      </c>
      <c r="AR171" s="15">
        <f t="shared" si="106"/>
        <v>1.7403786140214932</v>
      </c>
      <c r="AT171">
        <v>0.39632856747088097</v>
      </c>
      <c r="AU171">
        <v>66.651140795111672</v>
      </c>
      <c r="AV171">
        <v>2.5105082555964136</v>
      </c>
      <c r="AW171">
        <v>699.91559597757976</v>
      </c>
    </row>
    <row r="172" spans="4:49" ht="17" x14ac:dyDescent="0.2">
      <c r="D172" s="1">
        <f t="shared" si="107"/>
        <v>46193</v>
      </c>
      <c r="E172" s="6">
        <f t="shared" si="74"/>
        <v>0.5</v>
      </c>
      <c r="F172" s="2">
        <f t="shared" si="75"/>
        <v>2461212.3333333335</v>
      </c>
      <c r="G172" s="3">
        <f t="shared" si="76"/>
        <v>0.26467716176135492</v>
      </c>
      <c r="I172">
        <f t="shared" si="77"/>
        <v>89.04806106858814</v>
      </c>
      <c r="J172">
        <f t="shared" si="78"/>
        <v>9885.6555560941797</v>
      </c>
      <c r="K172">
        <f t="shared" si="79"/>
        <v>1.6697498890309245E-2</v>
      </c>
      <c r="L172">
        <f t="shared" si="80"/>
        <v>0.46464002148349076</v>
      </c>
      <c r="M172">
        <f t="shared" si="81"/>
        <v>89.51270109007163</v>
      </c>
      <c r="N172">
        <f t="shared" si="82"/>
        <v>9886.1201961156639</v>
      </c>
      <c r="O172">
        <f t="shared" si="83"/>
        <v>1.0161946764187595</v>
      </c>
      <c r="P172">
        <f t="shared" si="84"/>
        <v>89.509172360919763</v>
      </c>
      <c r="Q172">
        <f t="shared" si="85"/>
        <v>23.435849203043436</v>
      </c>
      <c r="R172">
        <f t="shared" si="86"/>
        <v>23.438132576012812</v>
      </c>
      <c r="S172">
        <f t="shared" si="87"/>
        <v>89.465034685577592</v>
      </c>
      <c r="T172" s="19">
        <f t="shared" si="88"/>
        <v>23.437221154169031</v>
      </c>
      <c r="U172">
        <f t="shared" si="89"/>
        <v>4.3030154235144523E-2</v>
      </c>
      <c r="V172">
        <f t="shared" si="90"/>
        <v>-1.6792022174392429</v>
      </c>
      <c r="W172">
        <f t="shared" si="91"/>
        <v>110.72281049131885</v>
      </c>
      <c r="X172" s="6">
        <f t="shared" si="92"/>
        <v>0.50658797376211062</v>
      </c>
      <c r="Y172" s="6">
        <f t="shared" si="93"/>
        <v>0.19902461128622487</v>
      </c>
      <c r="Z172" s="6">
        <f t="shared" si="94"/>
        <v>0.81415133623799629</v>
      </c>
      <c r="AA172" s="19">
        <f t="shared" si="95"/>
        <v>885.78248393055082</v>
      </c>
      <c r="AB172">
        <f t="shared" si="96"/>
        <v>710.51331778256076</v>
      </c>
      <c r="AC172">
        <f t="shared" si="97"/>
        <v>-2.3716705543598096</v>
      </c>
      <c r="AD172">
        <f t="shared" si="72"/>
        <v>14.307861429249877</v>
      </c>
      <c r="AE172">
        <f t="shared" si="98"/>
        <v>75.692138570750117</v>
      </c>
      <c r="AF172">
        <f t="shared" si="99"/>
        <v>4.1157869791827719E-3</v>
      </c>
      <c r="AG172">
        <f t="shared" si="100"/>
        <v>75.696254357729302</v>
      </c>
      <c r="AH172">
        <f t="shared" si="73"/>
        <v>171.16250439046951</v>
      </c>
      <c r="AK172">
        <f t="shared" si="101"/>
        <v>0.39774400928040243</v>
      </c>
      <c r="AL172">
        <f t="shared" si="102"/>
        <v>0.91749643219009369</v>
      </c>
      <c r="AM172">
        <f t="shared" si="103"/>
        <v>886</v>
      </c>
      <c r="AN172">
        <f t="shared" si="104"/>
        <v>-443</v>
      </c>
      <c r="AO172">
        <f t="shared" si="105"/>
        <v>443</v>
      </c>
      <c r="AP172" s="16" cm="1">
        <f t="array" ref="AP172">SUMPRODUCT(1362*POWER(0.7,POWER(1/($AI$2*AK172+$AJ$2*AL172*COS(RADIANS(0.25*(_xlfn.SEQUENCE(AO172-AN172,1,AN172+1))))+0.50572*POWER(96.07995-DEGREES(ACOS($AI$2*AK172+$AJ$2*AL172*COS(RADIANS(0.25*(_xlfn.SEQUENCE(AO172-AN172,1,AN172+1)))))),-1.6364)),0.678))*IF(AL172*COS(RADIANS(0.25*(_xlfn.SEQUENCE(AO172-AN172,1,AN172+1))))&gt;0,AL172*COS(RADIANS(0.25*(_xlfn.SEQUENCE(AO172-AN172,1,AN172+1)))),0)/60)</f>
        <v>6271.9933290181616</v>
      </c>
      <c r="AQ172" s="17" cm="1">
        <f t="array" ref="AQ172">SUMPRODUCT(1362*POWER(0.7,POWER(1/($AI$2*AK172+$AJ$2*AL172*COS(RADIANS(0.25*(_xlfn.SEQUENCE(AO172-AN172,1,AN172+1))))+0.50572*POWER(96.07995-DEGREES(ACOS($AI$2*AK172+$AJ$2*AL172*COS(RADIANS(0.25*(_xlfn.SEQUENCE(AO172-AN172,1,AN172+1)))))),-1.6364)),0.678))/60)</f>
        <v>10916.760433520505</v>
      </c>
      <c r="AR172" s="15">
        <f t="shared" si="106"/>
        <v>1.740556767337865</v>
      </c>
      <c r="AT172">
        <v>0.39789616453790266</v>
      </c>
      <c r="AU172">
        <v>66.55327671893977</v>
      </c>
      <c r="AV172">
        <v>2.5007346338319971</v>
      </c>
      <c r="AW172">
        <v>701.14738041462044</v>
      </c>
    </row>
    <row r="173" spans="4:49" ht="17" x14ac:dyDescent="0.2">
      <c r="D173" s="1">
        <f t="shared" si="107"/>
        <v>46194</v>
      </c>
      <c r="E173" s="6">
        <f t="shared" si="74"/>
        <v>0.5</v>
      </c>
      <c r="F173" s="2">
        <f t="shared" si="75"/>
        <v>2461213.3333333335</v>
      </c>
      <c r="G173" s="3">
        <f t="shared" si="76"/>
        <v>0.26470454026922624</v>
      </c>
      <c r="I173">
        <f t="shared" si="77"/>
        <v>90.033708433145875</v>
      </c>
      <c r="J173">
        <f t="shared" si="78"/>
        <v>9886.6411563736765</v>
      </c>
      <c r="K173">
        <f t="shared" si="79"/>
        <v>1.6697497737562558E-2</v>
      </c>
      <c r="L173">
        <f t="shared" si="80"/>
        <v>0.43328154021558979</v>
      </c>
      <c r="M173">
        <f t="shared" si="81"/>
        <v>90.466989973361464</v>
      </c>
      <c r="N173">
        <f t="shared" si="82"/>
        <v>9887.0744379138923</v>
      </c>
      <c r="O173">
        <f t="shared" si="83"/>
        <v>1.0162612618179632</v>
      </c>
      <c r="P173">
        <f t="shared" si="84"/>
        <v>90.463465183673534</v>
      </c>
      <c r="Q173">
        <f t="shared" si="85"/>
        <v>23.435848847009279</v>
      </c>
      <c r="R173">
        <f t="shared" si="86"/>
        <v>23.438131149221284</v>
      </c>
      <c r="S173">
        <f t="shared" si="87"/>
        <v>90.505142536477535</v>
      </c>
      <c r="T173" s="19">
        <f t="shared" si="88"/>
        <v>23.437318513212947</v>
      </c>
      <c r="U173">
        <f t="shared" si="89"/>
        <v>4.3030148847223885E-2</v>
      </c>
      <c r="V173">
        <f t="shared" si="90"/>
        <v>-1.8967278325816415</v>
      </c>
      <c r="W173">
        <f t="shared" si="91"/>
        <v>110.72290662182927</v>
      </c>
      <c r="X173" s="6">
        <f t="shared" si="92"/>
        <v>0.50673903321707059</v>
      </c>
      <c r="Y173" s="6">
        <f t="shared" si="93"/>
        <v>0.19917540371198933</v>
      </c>
      <c r="Z173" s="6">
        <f t="shared" si="94"/>
        <v>0.8143026627221519</v>
      </c>
      <c r="AA173" s="19">
        <f t="shared" si="95"/>
        <v>885.78325297463414</v>
      </c>
      <c r="AB173">
        <f t="shared" si="96"/>
        <v>710.29579216741831</v>
      </c>
      <c r="AC173">
        <f t="shared" si="97"/>
        <v>-2.4260519581454218</v>
      </c>
      <c r="AD173">
        <f t="shared" si="72"/>
        <v>14.314458666109669</v>
      </c>
      <c r="AE173">
        <f t="shared" si="98"/>
        <v>75.685541333890328</v>
      </c>
      <c r="AF173">
        <f t="shared" si="99"/>
        <v>4.1177657359311995E-3</v>
      </c>
      <c r="AG173">
        <f t="shared" si="100"/>
        <v>75.689659099626255</v>
      </c>
      <c r="AH173">
        <f t="shared" si="73"/>
        <v>170.96242664122474</v>
      </c>
      <c r="AK173">
        <f t="shared" si="101"/>
        <v>0.39774556832267904</v>
      </c>
      <c r="AL173">
        <f t="shared" si="102"/>
        <v>0.91749575632788027</v>
      </c>
      <c r="AM173">
        <f t="shared" si="103"/>
        <v>886</v>
      </c>
      <c r="AN173">
        <f t="shared" si="104"/>
        <v>-443</v>
      </c>
      <c r="AO173">
        <f t="shared" si="105"/>
        <v>443</v>
      </c>
      <c r="AP173" s="16" cm="1">
        <f t="array" ref="AP173">SUMPRODUCT(1362*POWER(0.7,POWER(1/($AI$2*AK173+$AJ$2*AL173*COS(RADIANS(0.25*(_xlfn.SEQUENCE(AO173-AN173,1,AN173+1))))+0.50572*POWER(96.07995-DEGREES(ACOS($AI$2*AK173+$AJ$2*AL173*COS(RADIANS(0.25*(_xlfn.SEQUENCE(AO173-AN173,1,AN173+1)))))),-1.6364)),0.678))*IF(AL173*COS(RADIANS(0.25*(_xlfn.SEQUENCE(AO173-AN173,1,AN173+1))))&gt;0,AL173*COS(RADIANS(0.25*(_xlfn.SEQUENCE(AO173-AN173,1,AN173+1)))),0)/60)</f>
        <v>6271.9900741093952</v>
      </c>
      <c r="AQ173" s="17" cm="1">
        <f t="array" ref="AQ173">SUMPRODUCT(1362*POWER(0.7,POWER(1/($AI$2*AK173+$AJ$2*AL173*COS(RADIANS(0.25*(_xlfn.SEQUENCE(AO173-AN173,1,AN173+1))))+0.50572*POWER(96.07995-DEGREES(ACOS($AI$2*AK173+$AJ$2*AL173*COS(RADIANS(0.25*(_xlfn.SEQUENCE(AO173-AN173,1,AN173+1)))))),-1.6364)),0.678))/60)</f>
        <v>10916.770336287085</v>
      </c>
      <c r="AR173" s="15">
        <f t="shared" si="106"/>
        <v>1.7405592495037925</v>
      </c>
      <c r="AT173">
        <v>0.39945165718105358</v>
      </c>
      <c r="AU173">
        <v>66.456096602513583</v>
      </c>
      <c r="AV173">
        <v>2.4911108820504042</v>
      </c>
      <c r="AW173">
        <v>702.363914280156</v>
      </c>
    </row>
    <row r="174" spans="4:49" ht="17" x14ac:dyDescent="0.2">
      <c r="D174" s="1">
        <f t="shared" si="107"/>
        <v>46195</v>
      </c>
      <c r="E174" s="6">
        <f t="shared" si="74"/>
        <v>0.5</v>
      </c>
      <c r="F174" s="2">
        <f t="shared" si="75"/>
        <v>2461214.3333333335</v>
      </c>
      <c r="G174" s="3">
        <f t="shared" si="76"/>
        <v>0.26473191877709756</v>
      </c>
      <c r="I174">
        <f t="shared" si="77"/>
        <v>91.01935579770543</v>
      </c>
      <c r="J174">
        <f t="shared" si="78"/>
        <v>9887.6267566531751</v>
      </c>
      <c r="K174">
        <f t="shared" si="79"/>
        <v>1.6697496584815685E-2</v>
      </c>
      <c r="L174">
        <f t="shared" si="80"/>
        <v>0.40180238250674016</v>
      </c>
      <c r="M174">
        <f t="shared" si="81"/>
        <v>91.421158180212174</v>
      </c>
      <c r="N174">
        <f t="shared" si="82"/>
        <v>9888.0285590356816</v>
      </c>
      <c r="O174">
        <f t="shared" si="83"/>
        <v>1.0163231844563729</v>
      </c>
      <c r="P174">
        <f t="shared" si="84"/>
        <v>91.41763732813871</v>
      </c>
      <c r="Q174">
        <f t="shared" si="85"/>
        <v>23.435848490975125</v>
      </c>
      <c r="R174">
        <f t="shared" si="86"/>
        <v>23.438129720480269</v>
      </c>
      <c r="S174">
        <f t="shared" si="87"/>
        <v>91.545066185898875</v>
      </c>
      <c r="T174" s="19">
        <f t="shared" si="88"/>
        <v>23.430527137993732</v>
      </c>
      <c r="U174">
        <f t="shared" si="89"/>
        <v>4.3030143451941859E-2</v>
      </c>
      <c r="V174">
        <f t="shared" si="90"/>
        <v>-2.1135322807969552</v>
      </c>
      <c r="W174">
        <f t="shared" si="91"/>
        <v>110.71620143852205</v>
      </c>
      <c r="X174" s="6">
        <f t="shared" si="92"/>
        <v>0.5068895918616646</v>
      </c>
      <c r="Y174" s="6">
        <f t="shared" si="93"/>
        <v>0.19934458786577006</v>
      </c>
      <c r="Z174" s="6">
        <f t="shared" si="94"/>
        <v>0.81443459585755928</v>
      </c>
      <c r="AA174" s="19">
        <f t="shared" si="95"/>
        <v>885.72961150817639</v>
      </c>
      <c r="AB174">
        <f t="shared" si="96"/>
        <v>710.07898771920304</v>
      </c>
      <c r="AC174">
        <f t="shared" si="97"/>
        <v>-2.4802530701992396</v>
      </c>
      <c r="AD174">
        <f t="shared" si="72"/>
        <v>14.328003805839675</v>
      </c>
      <c r="AE174">
        <f t="shared" si="98"/>
        <v>75.671996194160329</v>
      </c>
      <c r="AF174">
        <f t="shared" si="99"/>
        <v>4.1218287903238135E-3</v>
      </c>
      <c r="AG174">
        <f t="shared" si="100"/>
        <v>75.676118022950646</v>
      </c>
      <c r="AH174">
        <f t="shared" si="73"/>
        <v>170.76704207611442</v>
      </c>
      <c r="AK174">
        <f t="shared" si="101"/>
        <v>0.39763681305181819</v>
      </c>
      <c r="AL174">
        <f t="shared" si="102"/>
        <v>0.91754289540380263</v>
      </c>
      <c r="AM174">
        <f t="shared" si="103"/>
        <v>886</v>
      </c>
      <c r="AN174">
        <f t="shared" si="104"/>
        <v>-443</v>
      </c>
      <c r="AO174">
        <f t="shared" si="105"/>
        <v>443</v>
      </c>
      <c r="AP174" s="16" cm="1">
        <f t="array" ref="AP174">SUMPRODUCT(1362*POWER(0.7,POWER(1/($AI$2*AK174+$AJ$2*AL174*COS(RADIANS(0.25*(_xlfn.SEQUENCE(AO174-AN174,1,AN174+1))))+0.50572*POWER(96.07995-DEGREES(ACOS($AI$2*AK174+$AJ$2*AL174*COS(RADIANS(0.25*(_xlfn.SEQUENCE(AO174-AN174,1,AN174+1)))))),-1.6364)),0.678))*IF(AL174*COS(RADIANS(0.25*(_xlfn.SEQUENCE(AO174-AN174,1,AN174+1))))&gt;0,AL174*COS(RADIANS(0.25*(_xlfn.SEQUENCE(AO174-AN174,1,AN174+1)))),0)/60)</f>
        <v>6272.2170584864734</v>
      </c>
      <c r="AQ174" s="17" cm="1">
        <f t="array" ref="AQ174">SUMPRODUCT(1362*POWER(0.7,POWER(1/($AI$2*AK174+$AJ$2*AL174*COS(RADIANS(0.25*(_xlfn.SEQUENCE(AO174-AN174,1,AN174+1))))+0.50572*POWER(96.07995-DEGREES(ACOS($AI$2*AK174+$AJ$2*AL174*COS(RADIANS(0.25*(_xlfn.SEQUENCE(AO174-AN174,1,AN174+1)))))),-1.6364)),0.678))/60)</f>
        <v>10916.079550963856</v>
      </c>
      <c r="AR174" s="15">
        <f t="shared" si="106"/>
        <v>1.7403861264963902</v>
      </c>
      <c r="AT174">
        <v>0.40099501578599595</v>
      </c>
      <c r="AU174">
        <v>66.35960353272398</v>
      </c>
      <c r="AV174">
        <v>2.4816346205181636</v>
      </c>
      <c r="AW174">
        <v>703.56534985246117</v>
      </c>
    </row>
    <row r="175" spans="4:49" ht="17" x14ac:dyDescent="0.2">
      <c r="D175" s="1">
        <f t="shared" si="107"/>
        <v>46196</v>
      </c>
      <c r="E175" s="6">
        <f t="shared" si="74"/>
        <v>0.5</v>
      </c>
      <c r="F175" s="2">
        <f t="shared" si="75"/>
        <v>2461215.3333333335</v>
      </c>
      <c r="G175" s="3">
        <f t="shared" si="76"/>
        <v>0.26475929728496889</v>
      </c>
      <c r="I175">
        <f t="shared" si="77"/>
        <v>92.005003162266803</v>
      </c>
      <c r="J175">
        <f t="shared" si="78"/>
        <v>9888.6123569326701</v>
      </c>
      <c r="K175">
        <f t="shared" si="79"/>
        <v>1.669749543206862E-2</v>
      </c>
      <c r="L175">
        <f t="shared" si="80"/>
        <v>0.3702113414235314</v>
      </c>
      <c r="M175">
        <f t="shared" si="81"/>
        <v>92.37521450369033</v>
      </c>
      <c r="N175">
        <f t="shared" si="82"/>
        <v>9888.9825682740939</v>
      </c>
      <c r="O175">
        <f t="shared" si="83"/>
        <v>1.0163804277327753</v>
      </c>
      <c r="P175">
        <f t="shared" si="84"/>
        <v>92.371697587378492</v>
      </c>
      <c r="Q175">
        <f t="shared" si="85"/>
        <v>23.435848134940969</v>
      </c>
      <c r="R175">
        <f t="shared" si="86"/>
        <v>23.438128289790676</v>
      </c>
      <c r="S175">
        <f t="shared" si="87"/>
        <v>92.584706952307343</v>
      </c>
      <c r="T175" s="19">
        <f t="shared" si="88"/>
        <v>23.416852428933698</v>
      </c>
      <c r="U175">
        <f t="shared" si="89"/>
        <v>4.3030138049301885E-2</v>
      </c>
      <c r="V175">
        <f t="shared" si="90"/>
        <v>-2.3292227154004403</v>
      </c>
      <c r="W175">
        <f t="shared" si="91"/>
        <v>110.7027033221102</v>
      </c>
      <c r="X175" s="6">
        <f t="shared" si="92"/>
        <v>0.50703937688569467</v>
      </c>
      <c r="Y175" s="6">
        <f t="shared" si="93"/>
        <v>0.19953186765761083</v>
      </c>
      <c r="Z175" s="6">
        <f t="shared" si="94"/>
        <v>0.81454688611377857</v>
      </c>
      <c r="AA175" s="19">
        <f t="shared" si="95"/>
        <v>885.62162657688157</v>
      </c>
      <c r="AB175">
        <f t="shared" si="96"/>
        <v>709.86329728459964</v>
      </c>
      <c r="AC175">
        <f t="shared" si="97"/>
        <v>-2.5341756788500902</v>
      </c>
      <c r="AD175">
        <f t="shared" si="72"/>
        <v>14.348468652170418</v>
      </c>
      <c r="AE175">
        <f t="shared" si="98"/>
        <v>75.651531347829575</v>
      </c>
      <c r="AF175">
        <f t="shared" si="99"/>
        <v>4.1279684349893684E-3</v>
      </c>
      <c r="AG175">
        <f t="shared" si="100"/>
        <v>75.655659316264561</v>
      </c>
      <c r="AH175">
        <f t="shared" si="73"/>
        <v>170.576939332385</v>
      </c>
      <c r="AK175">
        <f t="shared" si="101"/>
        <v>0.397417812961046</v>
      </c>
      <c r="AL175">
        <f t="shared" si="102"/>
        <v>0.91763777273020919</v>
      </c>
      <c r="AM175">
        <f t="shared" si="103"/>
        <v>886</v>
      </c>
      <c r="AN175">
        <f t="shared" si="104"/>
        <v>-443</v>
      </c>
      <c r="AO175">
        <f t="shared" si="105"/>
        <v>443</v>
      </c>
      <c r="AP175" s="16" cm="1">
        <f t="array" ref="AP175">SUMPRODUCT(1362*POWER(0.7,POWER(1/($AI$2*AK175+$AJ$2*AL175*COS(RADIANS(0.25*(_xlfn.SEQUENCE(AO175-AN175,1,AN175+1))))+0.50572*POWER(96.07995-DEGREES(ACOS($AI$2*AK175+$AJ$2*AL175*COS(RADIANS(0.25*(_xlfn.SEQUENCE(AO175-AN175,1,AN175+1)))))),-1.6364)),0.678))*IF(AL175*COS(RADIANS(0.25*(_xlfn.SEQUENCE(AO175-AN175,1,AN175+1))))&gt;0,AL175*COS(RADIANS(0.25*(_xlfn.SEQUENCE(AO175-AN175,1,AN175+1)))),0)/60)</f>
        <v>6272.6737007595921</v>
      </c>
      <c r="AQ175" s="17" cm="1">
        <f t="array" ref="AQ175">SUMPRODUCT(1362*POWER(0.7,POWER(1/($AI$2*AK175+$AJ$2*AL175*COS(RADIANS(0.25*(_xlfn.SEQUENCE(AO175-AN175,1,AN175+1))))+0.50572*POWER(96.07995-DEGREES(ACOS($AI$2*AK175+$AJ$2*AL175*COS(RADIANS(0.25*(_xlfn.SEQUENCE(AO175-AN175,1,AN175+1)))))),-1.6364)),0.678))/60)</f>
        <v>10914.68857716023</v>
      </c>
      <c r="AR175" s="15">
        <f t="shared" si="106"/>
        <v>1.7400376773685058</v>
      </c>
      <c r="AT175">
        <v>0.40252621096940655</v>
      </c>
      <c r="AU175">
        <v>66.263800592320209</v>
      </c>
      <c r="AV175">
        <v>2.4723035270425711</v>
      </c>
      <c r="AW175">
        <v>704.75183661606138</v>
      </c>
    </row>
    <row r="176" spans="4:49" ht="17" x14ac:dyDescent="0.2">
      <c r="D176" s="1">
        <f t="shared" si="107"/>
        <v>46197</v>
      </c>
      <c r="E176" s="6">
        <f t="shared" si="74"/>
        <v>0.5</v>
      </c>
      <c r="F176" s="2">
        <f t="shared" si="75"/>
        <v>2461216.3333333335</v>
      </c>
      <c r="G176" s="3">
        <f t="shared" si="76"/>
        <v>0.26478667579284021</v>
      </c>
      <c r="I176">
        <f t="shared" si="77"/>
        <v>92.990650526824538</v>
      </c>
      <c r="J176">
        <f t="shared" si="78"/>
        <v>9889.5979572121669</v>
      </c>
      <c r="K176">
        <f t="shared" si="79"/>
        <v>1.6697494279321365E-2</v>
      </c>
      <c r="L176">
        <f t="shared" si="80"/>
        <v>0.3385172354565264</v>
      </c>
      <c r="M176">
        <f t="shared" si="81"/>
        <v>93.32916776228106</v>
      </c>
      <c r="N176">
        <f t="shared" si="82"/>
        <v>9889.9364744476243</v>
      </c>
      <c r="O176">
        <f t="shared" si="83"/>
        <v>1.0164329763060265</v>
      </c>
      <c r="P176">
        <f t="shared" si="84"/>
        <v>93.32565477987464</v>
      </c>
      <c r="Q176">
        <f t="shared" si="85"/>
        <v>23.435847778906812</v>
      </c>
      <c r="R176">
        <f t="shared" si="86"/>
        <v>23.438126857153424</v>
      </c>
      <c r="S176">
        <f t="shared" si="87"/>
        <v>93.623966530947925</v>
      </c>
      <c r="T176" s="19">
        <f t="shared" si="88"/>
        <v>23.396302510247878</v>
      </c>
      <c r="U176">
        <f t="shared" si="89"/>
        <v>4.3030132639307432E-2</v>
      </c>
      <c r="V176">
        <f t="shared" si="90"/>
        <v>-2.5434076422528649</v>
      </c>
      <c r="W176">
        <f t="shared" si="91"/>
        <v>110.68242641720317</v>
      </c>
      <c r="X176" s="6">
        <f t="shared" si="92"/>
        <v>0.50718811641823103</v>
      </c>
      <c r="Y176" s="6">
        <f t="shared" si="93"/>
        <v>0.19973693192600001</v>
      </c>
      <c r="Z176" s="6">
        <f t="shared" si="94"/>
        <v>0.81463930091046222</v>
      </c>
      <c r="AA176" s="19">
        <f t="shared" si="95"/>
        <v>885.4594113376254</v>
      </c>
      <c r="AB176">
        <f t="shared" si="96"/>
        <v>709.64911235774707</v>
      </c>
      <c r="AC176">
        <f t="shared" si="97"/>
        <v>-2.5877219105632321</v>
      </c>
      <c r="AD176">
        <f t="shared" si="72"/>
        <v>14.375821329574011</v>
      </c>
      <c r="AE176">
        <f t="shared" si="98"/>
        <v>75.624178670425991</v>
      </c>
      <c r="AF176">
        <f t="shared" si="99"/>
        <v>4.1361762387688555E-3</v>
      </c>
      <c r="AG176">
        <f t="shared" si="100"/>
        <v>75.628314846664765</v>
      </c>
      <c r="AH176">
        <f t="shared" si="73"/>
        <v>170.39268590691245</v>
      </c>
      <c r="AK176">
        <f t="shared" si="101"/>
        <v>0.39708866400880688</v>
      </c>
      <c r="AL176">
        <f t="shared" si="102"/>
        <v>0.91778025306480682</v>
      </c>
      <c r="AM176">
        <f t="shared" si="103"/>
        <v>885</v>
      </c>
      <c r="AN176">
        <f t="shared" si="104"/>
        <v>-442.5</v>
      </c>
      <c r="AO176">
        <f t="shared" si="105"/>
        <v>442.5</v>
      </c>
      <c r="AP176" s="16" cm="1">
        <f t="array" ref="AP176">SUMPRODUCT(1362*POWER(0.7,POWER(1/($AI$2*AK176+$AJ$2*AL176*COS(RADIANS(0.25*(_xlfn.SEQUENCE(AO176-AN176,1,AN176+1))))+0.50572*POWER(96.07995-DEGREES(ACOS($AI$2*AK176+$AJ$2*AL176*COS(RADIANS(0.25*(_xlfn.SEQUENCE(AO176-AN176,1,AN176+1)))))),-1.6364)),0.678))*IF(AL176*COS(RADIANS(0.25*(_xlfn.SEQUENCE(AO176-AN176,1,AN176+1))))&gt;0,AL176*COS(RADIANS(0.25*(_xlfn.SEQUENCE(AO176-AN176,1,AN176+1)))),0)/60)</f>
        <v>6273.3679525008174</v>
      </c>
      <c r="AQ176" s="17" cm="1">
        <f t="array" ref="AQ176">SUMPRODUCT(1362*POWER(0.7,POWER(1/($AI$2*AK176+$AJ$2*AL176*COS(RADIANS(0.25*(_xlfn.SEQUENCE(AO176-AN176,1,AN176+1))))+0.50572*POWER(96.07995-DEGREES(ACOS($AI$2*AK176+$AJ$2*AL176*COS(RADIANS(0.25*(_xlfn.SEQUENCE(AO176-AN176,1,AN176+1)))))),-1.6364)),0.678))/60)</f>
        <v>10912.477124742303</v>
      </c>
      <c r="AR176" s="15">
        <f t="shared" si="106"/>
        <v>1.7394925990897998</v>
      </c>
      <c r="AT176">
        <v>0.40404521357953649</v>
      </c>
      <c r="AU176">
        <v>66.168690859562133</v>
      </c>
      <c r="AV176">
        <v>2.4631153353569708</v>
      </c>
      <c r="AW176">
        <v>705.92352131642394</v>
      </c>
    </row>
    <row r="177" spans="4:49" ht="17" x14ac:dyDescent="0.2">
      <c r="D177" s="1">
        <f t="shared" si="107"/>
        <v>46198</v>
      </c>
      <c r="E177" s="6">
        <f t="shared" si="74"/>
        <v>0.5</v>
      </c>
      <c r="F177" s="2">
        <f t="shared" si="75"/>
        <v>2461217.3333333335</v>
      </c>
      <c r="G177" s="3">
        <f t="shared" si="76"/>
        <v>0.26481405430071153</v>
      </c>
      <c r="I177">
        <f t="shared" si="77"/>
        <v>93.976297891385911</v>
      </c>
      <c r="J177">
        <f t="shared" si="78"/>
        <v>9890.5835574916655</v>
      </c>
      <c r="K177">
        <f t="shared" si="79"/>
        <v>1.6697493126573919E-2</v>
      </c>
      <c r="L177">
        <f t="shared" si="80"/>
        <v>0.30672890649558787</v>
      </c>
      <c r="M177">
        <f t="shared" si="81"/>
        <v>94.283026797881504</v>
      </c>
      <c r="N177">
        <f t="shared" si="82"/>
        <v>9890.8902863981602</v>
      </c>
      <c r="O177">
        <f t="shared" si="83"/>
        <v>1.0164808160978638</v>
      </c>
      <c r="P177">
        <f t="shared" si="84"/>
        <v>94.279517747520956</v>
      </c>
      <c r="Q177">
        <f t="shared" si="85"/>
        <v>23.435847422872655</v>
      </c>
      <c r="R177">
        <f t="shared" si="86"/>
        <v>23.438125422569435</v>
      </c>
      <c r="S177">
        <f t="shared" si="87"/>
        <v>94.662747167863429</v>
      </c>
      <c r="T177" s="19">
        <f t="shared" si="88"/>
        <v>23.368888217736057</v>
      </c>
      <c r="U177">
        <f t="shared" si="89"/>
        <v>4.3030127221961999E-2</v>
      </c>
      <c r="V177">
        <f t="shared" si="90"/>
        <v>-2.7556975932918517</v>
      </c>
      <c r="W177">
        <f t="shared" si="91"/>
        <v>110.65539058799122</v>
      </c>
      <c r="X177" s="6">
        <f t="shared" si="92"/>
        <v>0.50733553999534153</v>
      </c>
      <c r="Y177" s="6">
        <f t="shared" si="93"/>
        <v>0.19995945502869925</v>
      </c>
      <c r="Z177" s="6">
        <f t="shared" si="94"/>
        <v>0.8147116249619839</v>
      </c>
      <c r="AA177" s="19">
        <f t="shared" si="95"/>
        <v>885.24312470392977</v>
      </c>
      <c r="AB177">
        <f t="shared" si="96"/>
        <v>709.43682240670819</v>
      </c>
      <c r="AC177">
        <f t="shared" si="97"/>
        <v>-2.6407943983229529</v>
      </c>
      <c r="AD177">
        <f t="shared" si="72"/>
        <v>14.410026454253558</v>
      </c>
      <c r="AE177">
        <f t="shared" si="98"/>
        <v>75.589973545746446</v>
      </c>
      <c r="AF177">
        <f t="shared" si="99"/>
        <v>4.1464430943276955E-3</v>
      </c>
      <c r="AG177">
        <f t="shared" si="100"/>
        <v>75.594119988840774</v>
      </c>
      <c r="AH177">
        <f t="shared" si="73"/>
        <v>170.21482515666833</v>
      </c>
      <c r="AK177">
        <f t="shared" si="101"/>
        <v>0.39664948856062388</v>
      </c>
      <c r="AL177">
        <f t="shared" si="102"/>
        <v>0.91797014288297829</v>
      </c>
      <c r="AM177">
        <f t="shared" si="103"/>
        <v>885</v>
      </c>
      <c r="AN177">
        <f t="shared" si="104"/>
        <v>-442.5</v>
      </c>
      <c r="AO177">
        <f t="shared" si="105"/>
        <v>442.5</v>
      </c>
      <c r="AP177" s="16" cm="1">
        <f t="array" ref="AP177">SUMPRODUCT(1362*POWER(0.7,POWER(1/($AI$2*AK177+$AJ$2*AL177*COS(RADIANS(0.25*(_xlfn.SEQUENCE(AO177-AN177,1,AN177+1))))+0.50572*POWER(96.07995-DEGREES(ACOS($AI$2*AK177+$AJ$2*AL177*COS(RADIANS(0.25*(_xlfn.SEQUENCE(AO177-AN177,1,AN177+1)))))),-1.6364)),0.678))*IF(AL177*COS(RADIANS(0.25*(_xlfn.SEQUENCE(AO177-AN177,1,AN177+1))))&gt;0,AL177*COS(RADIANS(0.25*(_xlfn.SEQUENCE(AO177-AN177,1,AN177+1)))),0)/60)</f>
        <v>6274.2801781555727</v>
      </c>
      <c r="AQ177" s="17" cm="1">
        <f t="array" ref="AQ177">SUMPRODUCT(1362*POWER(0.7,POWER(1/($AI$2*AK177+$AJ$2*AL177*COS(RADIANS(0.25*(_xlfn.SEQUENCE(AO177-AN177,1,AN177+1))))+0.50572*POWER(96.07995-DEGREES(ACOS($AI$2*AK177+$AJ$2*AL177*COS(RADIANS(0.25*(_xlfn.SEQUENCE(AO177-AN177,1,AN177+1)))))),-1.6364)),0.678))/60)</f>
        <v>10909.691054010056</v>
      </c>
      <c r="AR177" s="15">
        <f t="shared" si="106"/>
        <v>1.7387956457528071</v>
      </c>
      <c r="AT177">
        <v>0.40555199469676562</v>
      </c>
      <c r="AU177">
        <v>66.07427740786855</v>
      </c>
      <c r="AV177">
        <v>2.4540678335614143</v>
      </c>
      <c r="AW177">
        <v>707.08054801328785</v>
      </c>
    </row>
    <row r="178" spans="4:49" ht="17" x14ac:dyDescent="0.2">
      <c r="D178" s="1">
        <f t="shared" si="107"/>
        <v>46199</v>
      </c>
      <c r="E178" s="6">
        <f t="shared" si="74"/>
        <v>0.5</v>
      </c>
      <c r="F178" s="2">
        <f t="shared" si="75"/>
        <v>2461218.3333333335</v>
      </c>
      <c r="G178" s="3">
        <f t="shared" si="76"/>
        <v>0.26484143280858286</v>
      </c>
      <c r="I178">
        <f t="shared" si="77"/>
        <v>94.961945255947285</v>
      </c>
      <c r="J178">
        <f t="shared" si="78"/>
        <v>9891.5691577711586</v>
      </c>
      <c r="K178">
        <f t="shared" si="79"/>
        <v>1.6697491973826285E-2</v>
      </c>
      <c r="L178">
        <f t="shared" si="80"/>
        <v>0.27485521780423117</v>
      </c>
      <c r="M178">
        <f t="shared" si="81"/>
        <v>95.236800473751515</v>
      </c>
      <c r="N178">
        <f t="shared" si="82"/>
        <v>9891.8440129889623</v>
      </c>
      <c r="O178">
        <f t="shared" si="83"/>
        <v>1.0165239342954802</v>
      </c>
      <c r="P178">
        <f t="shared" si="84"/>
        <v>95.233295353573908</v>
      </c>
      <c r="Q178">
        <f t="shared" si="85"/>
        <v>23.435847066838502</v>
      </c>
      <c r="R178">
        <f t="shared" si="86"/>
        <v>23.438123986039631</v>
      </c>
      <c r="S178">
        <f t="shared" si="87"/>
        <v>95.70095183210509</v>
      </c>
      <c r="T178" s="19">
        <f t="shared" si="88"/>
        <v>23.334623082931266</v>
      </c>
      <c r="U178">
        <f t="shared" si="89"/>
        <v>4.3030121797269033E-2</v>
      </c>
      <c r="V178">
        <f t="shared" si="90"/>
        <v>-2.9657057949725174</v>
      </c>
      <c r="W178">
        <f t="shared" si="91"/>
        <v>110.62162135643187</v>
      </c>
      <c r="X178" s="6">
        <f t="shared" si="92"/>
        <v>0.50748137902428647</v>
      </c>
      <c r="Y178" s="6">
        <f t="shared" si="93"/>
        <v>0.20019909747864237</v>
      </c>
      <c r="Z178" s="6">
        <f t="shared" si="94"/>
        <v>0.81476366056993055</v>
      </c>
      <c r="AA178" s="19">
        <f t="shared" si="95"/>
        <v>884.97297085145499</v>
      </c>
      <c r="AB178">
        <f t="shared" si="96"/>
        <v>709.22681420502749</v>
      </c>
      <c r="AC178">
        <f t="shared" si="97"/>
        <v>-2.6932964487431263</v>
      </c>
      <c r="AD178">
        <f t="shared" si="72"/>
        <v>14.451045318540034</v>
      </c>
      <c r="AE178">
        <f t="shared" si="98"/>
        <v>75.548954681459961</v>
      </c>
      <c r="AF178">
        <f t="shared" si="99"/>
        <v>4.1587592699182914E-3</v>
      </c>
      <c r="AG178">
        <f t="shared" si="100"/>
        <v>75.553113440729874</v>
      </c>
      <c r="AH178">
        <f t="shared" si="73"/>
        <v>170.0438735524026</v>
      </c>
      <c r="AK178">
        <f t="shared" si="101"/>
        <v>0.39610043532954764</v>
      </c>
      <c r="AL178">
        <f t="shared" si="102"/>
        <v>0.91820719074277724</v>
      </c>
      <c r="AM178">
        <f t="shared" si="103"/>
        <v>885</v>
      </c>
      <c r="AN178">
        <f t="shared" si="104"/>
        <v>-442.5</v>
      </c>
      <c r="AO178">
        <f t="shared" si="105"/>
        <v>442.5</v>
      </c>
      <c r="AP178" s="16" cm="1">
        <f t="array" ref="AP178">SUMPRODUCT(1362*POWER(0.7,POWER(1/($AI$2*AK178+$AJ$2*AL178*COS(RADIANS(0.25*(_xlfn.SEQUENCE(AO178-AN178,1,AN178+1))))+0.50572*POWER(96.07995-DEGREES(ACOS($AI$2*AK178+$AJ$2*AL178*COS(RADIANS(0.25*(_xlfn.SEQUENCE(AO178-AN178,1,AN178+1)))))),-1.6364)),0.678))*IF(AL178*COS(RADIANS(0.25*(_xlfn.SEQUENCE(AO178-AN178,1,AN178+1))))&gt;0,AL178*COS(RADIANS(0.25*(_xlfn.SEQUENCE(AO178-AN178,1,AN178+1)))),0)/60)</f>
        <v>6275.4173465685017</v>
      </c>
      <c r="AQ178" s="17" cm="1">
        <f t="array" ref="AQ178">SUMPRODUCT(1362*POWER(0.7,POWER(1/($AI$2*AK178+$AJ$2*AL178*COS(RADIANS(0.25*(_xlfn.SEQUENCE(AO178-AN178,1,AN178+1))))+0.50572*POWER(96.07995-DEGREES(ACOS($AI$2*AK178+$AJ$2*AL178*COS(RADIANS(0.25*(_xlfn.SEQUENCE(AO178-AN178,1,AN178+1)))))),-1.6364)),0.678))/60)</f>
        <v>10906.208308784515</v>
      </c>
      <c r="AR178" s="15">
        <f t="shared" si="106"/>
        <v>1.7379255763360828</v>
      </c>
      <c r="AT178">
        <v>0.40704652563415322</v>
      </c>
      <c r="AU178">
        <v>65.980563305461757</v>
      </c>
      <c r="AV178">
        <v>2.4451588626165139</v>
      </c>
      <c r="AW178">
        <v>708.22305813267201</v>
      </c>
    </row>
    <row r="179" spans="4:49" ht="17" x14ac:dyDescent="0.2">
      <c r="D179" s="1">
        <f t="shared" si="107"/>
        <v>46200</v>
      </c>
      <c r="E179" s="6">
        <f t="shared" si="74"/>
        <v>0.5</v>
      </c>
      <c r="F179" s="2">
        <f t="shared" si="75"/>
        <v>2461219.3333333335</v>
      </c>
      <c r="G179" s="3">
        <f t="shared" si="76"/>
        <v>0.26486881131645418</v>
      </c>
      <c r="I179">
        <f t="shared" si="77"/>
        <v>95.947592620508658</v>
      </c>
      <c r="J179">
        <f t="shared" si="78"/>
        <v>9892.5547580506554</v>
      </c>
      <c r="K179">
        <f t="shared" si="79"/>
        <v>1.6697490821078461E-2</v>
      </c>
      <c r="L179">
        <f t="shared" si="80"/>
        <v>0.2429050519937396</v>
      </c>
      <c r="M179">
        <f t="shared" si="81"/>
        <v>96.190497672502403</v>
      </c>
      <c r="N179">
        <f t="shared" si="82"/>
        <v>9892.7976631026486</v>
      </c>
      <c r="O179">
        <f t="shared" si="83"/>
        <v>1.0165623193538669</v>
      </c>
      <c r="P179">
        <f t="shared" si="84"/>
        <v>96.186996480641454</v>
      </c>
      <c r="Q179">
        <f t="shared" si="85"/>
        <v>23.435846710804348</v>
      </c>
      <c r="R179">
        <f t="shared" si="86"/>
        <v>23.438122547564934</v>
      </c>
      <c r="S179">
        <f t="shared" si="87"/>
        <v>96.738484385695443</v>
      </c>
      <c r="T179" s="19">
        <f t="shared" si="88"/>
        <v>23.293523313660504</v>
      </c>
      <c r="U179">
        <f t="shared" si="89"/>
        <v>4.3030116365232046E-2</v>
      </c>
      <c r="V179">
        <f t="shared" si="90"/>
        <v>-3.1730488298824491</v>
      </c>
      <c r="W179">
        <f t="shared" si="91"/>
        <v>110.58114982332592</v>
      </c>
      <c r="X179" s="6">
        <f t="shared" si="92"/>
        <v>0.50762536724297391</v>
      </c>
      <c r="Y179" s="6">
        <f t="shared" si="93"/>
        <v>0.20045550662262418</v>
      </c>
      <c r="Z179" s="6">
        <f t="shared" si="94"/>
        <v>0.81479522786332359</v>
      </c>
      <c r="AA179" s="19">
        <f t="shared" si="95"/>
        <v>884.64919858660733</v>
      </c>
      <c r="AB179">
        <f t="shared" si="96"/>
        <v>709.01947117011764</v>
      </c>
      <c r="AC179">
        <f t="shared" si="97"/>
        <v>-2.7451322074705899</v>
      </c>
      <c r="AD179">
        <f t="shared" si="72"/>
        <v>14.49883608645332</v>
      </c>
      <c r="AE179">
        <f t="shared" si="98"/>
        <v>75.501163913546677</v>
      </c>
      <c r="AF179">
        <f t="shared" si="99"/>
        <v>4.1731144646630297E-3</v>
      </c>
      <c r="AG179">
        <f t="shared" si="100"/>
        <v>75.50533702801134</v>
      </c>
      <c r="AH179">
        <f t="shared" si="73"/>
        <v>169.88031821128186</v>
      </c>
      <c r="AK179">
        <f t="shared" si="101"/>
        <v>0.39544167931519431</v>
      </c>
      <c r="AL179">
        <f t="shared" si="102"/>
        <v>0.91849108774139943</v>
      </c>
      <c r="AM179">
        <f t="shared" si="103"/>
        <v>885</v>
      </c>
      <c r="AN179">
        <f t="shared" si="104"/>
        <v>-442.5</v>
      </c>
      <c r="AO179">
        <f t="shared" si="105"/>
        <v>442.5</v>
      </c>
      <c r="AP179" s="16" cm="1">
        <f t="array" ref="AP179">SUMPRODUCT(1362*POWER(0.7,POWER(1/($AI$2*AK179+$AJ$2*AL179*COS(RADIANS(0.25*(_xlfn.SEQUENCE(AO179-AN179,1,AN179+1))))+0.50572*POWER(96.07995-DEGREES(ACOS($AI$2*AK179+$AJ$2*AL179*COS(RADIANS(0.25*(_xlfn.SEQUENCE(AO179-AN179,1,AN179+1)))))),-1.6364)),0.678))*IF(AL179*COS(RADIANS(0.25*(_xlfn.SEQUENCE(AO179-AN179,1,AN179+1))))&gt;0,AL179*COS(RADIANS(0.25*(_xlfn.SEQUENCE(AO179-AN179,1,AN179+1)))),0)/60)</f>
        <v>6276.7769061143808</v>
      </c>
      <c r="AQ179" s="17" cm="1">
        <f t="array" ref="AQ179">SUMPRODUCT(1362*POWER(0.7,POWER(1/($AI$2*AK179+$AJ$2*AL179*COS(RADIANS(0.25*(_xlfn.SEQUENCE(AO179-AN179,1,AN179+1))))+0.50572*POWER(96.07995-DEGREES(ACOS($AI$2*AK179+$AJ$2*AL179*COS(RADIANS(0.25*(_xlfn.SEQUENCE(AO179-AN179,1,AN179+1)))))),-1.6364)),0.678))/60)</f>
        <v>10902.030286584935</v>
      </c>
      <c r="AR179" s="15">
        <f t="shared" si="106"/>
        <v>1.7368835071969768</v>
      </c>
      <c r="AT179">
        <v>0.40852877793798492</v>
      </c>
      <c r="AU179">
        <v>65.887551615008448</v>
      </c>
      <c r="AV179">
        <v>2.4363863148884346</v>
      </c>
      <c r="AW179">
        <v>709.35119051759432</v>
      </c>
    </row>
    <row r="180" spans="4:49" ht="17" x14ac:dyDescent="0.2">
      <c r="D180" s="1">
        <f t="shared" si="107"/>
        <v>46201</v>
      </c>
      <c r="E180" s="6">
        <f t="shared" si="74"/>
        <v>0.5</v>
      </c>
      <c r="F180" s="2">
        <f t="shared" si="75"/>
        <v>2461220.3333333335</v>
      </c>
      <c r="G180" s="3">
        <f t="shared" si="76"/>
        <v>0.2648961898243255</v>
      </c>
      <c r="I180">
        <f t="shared" si="77"/>
        <v>96.933239985070031</v>
      </c>
      <c r="J180">
        <f t="shared" si="78"/>
        <v>9893.5403583301522</v>
      </c>
      <c r="K180">
        <f t="shared" si="79"/>
        <v>1.6697489668330446E-2</v>
      </c>
      <c r="L180">
        <f t="shared" si="80"/>
        <v>0.21088730899853839</v>
      </c>
      <c r="M180">
        <f t="shared" si="81"/>
        <v>97.144127294068568</v>
      </c>
      <c r="N180">
        <f t="shared" si="82"/>
        <v>9893.7512456391505</v>
      </c>
      <c r="O180">
        <f t="shared" si="83"/>
        <v>1.0165959609979165</v>
      </c>
      <c r="P180">
        <f t="shared" si="84"/>
        <v>97.14063002865467</v>
      </c>
      <c r="Q180">
        <f t="shared" si="85"/>
        <v>23.435846354770192</v>
      </c>
      <c r="R180">
        <f t="shared" si="86"/>
        <v>23.438121107146262</v>
      </c>
      <c r="S180">
        <f t="shared" si="87"/>
        <v>97.775249750768893</v>
      </c>
      <c r="T180" s="19">
        <f t="shared" si="88"/>
        <v>23.245607771090736</v>
      </c>
      <c r="U180">
        <f t="shared" si="89"/>
        <v>4.3030110925854521E-2</v>
      </c>
      <c r="V180">
        <f t="shared" si="90"/>
        <v>-3.3773472897759835</v>
      </c>
      <c r="W180">
        <f t="shared" si="91"/>
        <v>110.5340125727767</v>
      </c>
      <c r="X180" s="6">
        <f t="shared" si="92"/>
        <v>0.50776724117345551</v>
      </c>
      <c r="Y180" s="6">
        <f t="shared" si="93"/>
        <v>0.20072831736018693</v>
      </c>
      <c r="Z180" s="6">
        <f t="shared" si="94"/>
        <v>0.8148061649867242</v>
      </c>
      <c r="AA180" s="19">
        <f t="shared" si="95"/>
        <v>884.27210058221362</v>
      </c>
      <c r="AB180">
        <f t="shared" si="96"/>
        <v>708.81517271022403</v>
      </c>
      <c r="AC180">
        <f t="shared" si="97"/>
        <v>-2.7962068224439918</v>
      </c>
      <c r="AD180">
        <f t="shared" si="72"/>
        <v>14.553353998084063</v>
      </c>
      <c r="AE180">
        <f t="shared" si="98"/>
        <v>75.446646001915937</v>
      </c>
      <c r="AF180">
        <f t="shared" si="99"/>
        <v>4.1894978666985874E-3</v>
      </c>
      <c r="AG180">
        <f t="shared" si="100"/>
        <v>75.450835499782642</v>
      </c>
      <c r="AH180">
        <f t="shared" si="73"/>
        <v>169.72461472888165</v>
      </c>
      <c r="AK180">
        <f t="shared" si="101"/>
        <v>0.39467342174142084</v>
      </c>
      <c r="AL180">
        <f t="shared" si="102"/>
        <v>0.91882146806162435</v>
      </c>
      <c r="AM180">
        <f t="shared" si="103"/>
        <v>884</v>
      </c>
      <c r="AN180">
        <f t="shared" si="104"/>
        <v>-442</v>
      </c>
      <c r="AO180">
        <f t="shared" si="105"/>
        <v>442</v>
      </c>
      <c r="AP180" s="16" cm="1">
        <f t="array" ref="AP180">SUMPRODUCT(1362*POWER(0.7,POWER(1/($AI$2*AK180+$AJ$2*AL180*COS(RADIANS(0.25*(_xlfn.SEQUENCE(AO180-AN180,1,AN180+1))))+0.50572*POWER(96.07995-DEGREES(ACOS($AI$2*AK180+$AJ$2*AL180*COS(RADIANS(0.25*(_xlfn.SEQUENCE(AO180-AN180,1,AN180+1)))))),-1.6364)),0.678))*IF(AL180*COS(RADIANS(0.25*(_xlfn.SEQUENCE(AO180-AN180,1,AN180+1))))&gt;0,AL180*COS(RADIANS(0.25*(_xlfn.SEQUENCE(AO180-AN180,1,AN180+1)))),0)/60)</f>
        <v>6278.3468153206895</v>
      </c>
      <c r="AQ180" s="17" cm="1">
        <f t="array" ref="AQ180">SUMPRODUCT(1362*POWER(0.7,POWER(1/($AI$2*AK180+$AJ$2*AL180*COS(RADIANS(0.25*(_xlfn.SEQUENCE(AO180-AN180,1,AN180+1))))+0.50572*POWER(96.07995-DEGREES(ACOS($AI$2*AK180+$AJ$2*AL180*COS(RADIANS(0.25*(_xlfn.SEQUENCE(AO180-AN180,1,AN180+1)))))),-1.6364)),0.678))/60)</f>
        <v>10897.040102982668</v>
      </c>
      <c r="AR180" s="15">
        <f t="shared" si="106"/>
        <v>1.735654372643328</v>
      </c>
      <c r="AT180">
        <v>0.40999872338831322</v>
      </c>
      <c r="AU180">
        <v>65.795245393256891</v>
      </c>
      <c r="AV180">
        <v>2.4277481327430412</v>
      </c>
      <c r="AW180">
        <v>710.4650814775348</v>
      </c>
    </row>
    <row r="181" spans="4:49" ht="17" x14ac:dyDescent="0.2">
      <c r="D181" s="1">
        <f t="shared" si="107"/>
        <v>46202</v>
      </c>
      <c r="E181" s="6">
        <f t="shared" si="74"/>
        <v>0.5</v>
      </c>
      <c r="F181" s="2">
        <f t="shared" si="75"/>
        <v>2461221.3333333335</v>
      </c>
      <c r="G181" s="3">
        <f t="shared" si="76"/>
        <v>0.26492356833219682</v>
      </c>
      <c r="I181">
        <f t="shared" si="77"/>
        <v>97.918887349633223</v>
      </c>
      <c r="J181">
        <f t="shared" si="78"/>
        <v>9894.5259586096472</v>
      </c>
      <c r="K181">
        <f t="shared" si="79"/>
        <v>1.6697488515582243E-2</v>
      </c>
      <c r="L181">
        <f t="shared" si="80"/>
        <v>0.17881090405036065</v>
      </c>
      <c r="M181">
        <f t="shared" si="81"/>
        <v>98.097698253683589</v>
      </c>
      <c r="N181">
        <f t="shared" si="82"/>
        <v>9894.7047695136971</v>
      </c>
      <c r="O181">
        <f t="shared" si="83"/>
        <v>1.0166248502242947</v>
      </c>
      <c r="P181">
        <f t="shared" si="84"/>
        <v>98.094204912843736</v>
      </c>
      <c r="Q181">
        <f t="shared" si="85"/>
        <v>23.435845998736038</v>
      </c>
      <c r="R181">
        <f t="shared" si="86"/>
        <v>23.438119664784555</v>
      </c>
      <c r="S181">
        <f t="shared" si="87"/>
        <v>98.811154073416233</v>
      </c>
      <c r="T181" s="19">
        <f t="shared" si="88"/>
        <v>23.190897943344428</v>
      </c>
      <c r="U181">
        <f t="shared" si="89"/>
        <v>4.3030105479139963E-2</v>
      </c>
      <c r="V181">
        <f t="shared" si="90"/>
        <v>-3.5782264183163273</v>
      </c>
      <c r="W181">
        <f t="shared" si="91"/>
        <v>110.48025156062415</v>
      </c>
      <c r="X181" s="6">
        <f t="shared" si="92"/>
        <v>0.50790674056827512</v>
      </c>
      <c r="Y181" s="6">
        <f t="shared" si="93"/>
        <v>0.20101715289987471</v>
      </c>
      <c r="Z181" s="6">
        <f t="shared" si="94"/>
        <v>0.81479632823667558</v>
      </c>
      <c r="AA181" s="19">
        <f t="shared" si="95"/>
        <v>883.84201248499323</v>
      </c>
      <c r="AB181">
        <f t="shared" si="96"/>
        <v>708.61429358168357</v>
      </c>
      <c r="AC181">
        <f t="shared" si="97"/>
        <v>-2.8464266045791078</v>
      </c>
      <c r="AD181">
        <f t="shared" si="72"/>
        <v>14.614551580403775</v>
      </c>
      <c r="AE181">
        <f t="shared" si="98"/>
        <v>75.38544841959623</v>
      </c>
      <c r="AF181">
        <f t="shared" si="99"/>
        <v>4.2078982135073679E-3</v>
      </c>
      <c r="AG181">
        <f t="shared" si="100"/>
        <v>75.389656317809738</v>
      </c>
      <c r="AH181">
        <f t="shared" si="73"/>
        <v>169.57718532548938</v>
      </c>
      <c r="AK181">
        <f t="shared" si="101"/>
        <v>0.39379588999264609</v>
      </c>
      <c r="AL181">
        <f t="shared" si="102"/>
        <v>0.91919790960646763</v>
      </c>
      <c r="AM181">
        <f t="shared" si="103"/>
        <v>884</v>
      </c>
      <c r="AN181">
        <f t="shared" si="104"/>
        <v>-442</v>
      </c>
      <c r="AO181">
        <f t="shared" si="105"/>
        <v>442</v>
      </c>
      <c r="AP181" s="16" cm="1">
        <f t="array" ref="AP181">SUMPRODUCT(1362*POWER(0.7,POWER(1/($AI$2*AK181+$AJ$2*AL181*COS(RADIANS(0.25*(_xlfn.SEQUENCE(AO181-AN181,1,AN181+1))))+0.50572*POWER(96.07995-DEGREES(ACOS($AI$2*AK181+$AJ$2*AL181*COS(RADIANS(0.25*(_xlfn.SEQUENCE(AO181-AN181,1,AN181+1)))))),-1.6364)),0.678))*IF(AL181*COS(RADIANS(0.25*(_xlfn.SEQUENCE(AO181-AN181,1,AN181+1))))&gt;0,AL181*COS(RADIANS(0.25*(_xlfn.SEQUENCE(AO181-AN181,1,AN181+1)))),0)/60)</f>
        <v>6280.1415819690592</v>
      </c>
      <c r="AQ181" s="17" cm="1">
        <f t="array" ref="AQ181">SUMPRODUCT(1362*POWER(0.7,POWER(1/($AI$2*AK181+$AJ$2*AL181*COS(RADIANS(0.25*(_xlfn.SEQUENCE(AO181-AN181,1,AN181+1))))+0.50572*POWER(96.07995-DEGREES(ACOS($AI$2*AK181+$AJ$2*AL181*COS(RADIANS(0.25*(_xlfn.SEQUENCE(AO181-AN181,1,AN181+1)))))),-1.6364)),0.678))/60)</f>
        <v>10891.482256342702</v>
      </c>
      <c r="AR181" s="15">
        <f t="shared" si="106"/>
        <v>1.7342733621823563</v>
      </c>
      <c r="AT181">
        <v>0.41145633399949555</v>
      </c>
      <c r="AU181">
        <v>65.703647690670607</v>
      </c>
      <c r="AV181">
        <v>2.4192423071873055</v>
      </c>
      <c r="AW181">
        <v>711.56486483668152</v>
      </c>
    </row>
    <row r="182" spans="4:49" ht="17" x14ac:dyDescent="0.2">
      <c r="D182" s="1">
        <f t="shared" si="107"/>
        <v>46203</v>
      </c>
      <c r="E182" s="6">
        <f t="shared" si="74"/>
        <v>0.5</v>
      </c>
      <c r="F182" s="2">
        <f t="shared" si="75"/>
        <v>2461222.3333333335</v>
      </c>
      <c r="G182" s="3">
        <f t="shared" si="76"/>
        <v>0.26495094684006815</v>
      </c>
      <c r="I182">
        <f t="shared" si="77"/>
        <v>98.904534714196416</v>
      </c>
      <c r="J182">
        <f t="shared" si="78"/>
        <v>9895.5115588891422</v>
      </c>
      <c r="K182">
        <f t="shared" si="79"/>
        <v>1.6697487362833847E-2</v>
      </c>
      <c r="L182">
        <f t="shared" si="80"/>
        <v>0.14668476565279009</v>
      </c>
      <c r="M182">
        <f t="shared" si="81"/>
        <v>99.051219479849209</v>
      </c>
      <c r="N182">
        <f t="shared" si="82"/>
        <v>9895.6582436547942</v>
      </c>
      <c r="O182">
        <f t="shared" si="83"/>
        <v>1.0166489793030793</v>
      </c>
      <c r="P182">
        <f t="shared" si="84"/>
        <v>99.047730061707071</v>
      </c>
      <c r="Q182">
        <f t="shared" si="85"/>
        <v>23.435845642701885</v>
      </c>
      <c r="R182">
        <f t="shared" si="86"/>
        <v>23.438118220480732</v>
      </c>
      <c r="S182">
        <f t="shared" si="87"/>
        <v>99.846104883742555</v>
      </c>
      <c r="T182" s="19">
        <f t="shared" si="88"/>
        <v>23.129417915783442</v>
      </c>
      <c r="U182">
        <f t="shared" si="89"/>
        <v>4.3030100025091875E-2</v>
      </c>
      <c r="V182">
        <f t="shared" si="90"/>
        <v>-3.7753167418579396</v>
      </c>
      <c r="W182">
        <f t="shared" si="91"/>
        <v>110.41991398753916</v>
      </c>
      <c r="X182" s="6">
        <f t="shared" si="92"/>
        <v>0.50804360884851241</v>
      </c>
      <c r="Y182" s="6">
        <f t="shared" si="93"/>
        <v>0.20132162554979255</v>
      </c>
      <c r="Z182" s="6">
        <f t="shared" si="94"/>
        <v>0.81476559214723221</v>
      </c>
      <c r="AA182" s="19">
        <f t="shared" si="95"/>
        <v>883.35931190031329</v>
      </c>
      <c r="AB182">
        <f t="shared" si="96"/>
        <v>708.41720325814208</v>
      </c>
      <c r="AC182">
        <f t="shared" si="97"/>
        <v>-2.8956991854644798</v>
      </c>
      <c r="AD182">
        <f t="shared" si="72"/>
        <v>14.682378862108701</v>
      </c>
      <c r="AE182">
        <f t="shared" si="98"/>
        <v>75.317621137891294</v>
      </c>
      <c r="AF182">
        <f t="shared" si="99"/>
        <v>4.2283038537603212E-3</v>
      </c>
      <c r="AG182">
        <f t="shared" si="100"/>
        <v>75.321849441745059</v>
      </c>
      <c r="AH182">
        <f t="shared" si="73"/>
        <v>169.43841731605505</v>
      </c>
      <c r="AK182">
        <f t="shared" si="101"/>
        <v>0.39280933754884756</v>
      </c>
      <c r="AL182">
        <f t="shared" si="102"/>
        <v>0.91961993472001002</v>
      </c>
      <c r="AM182">
        <f t="shared" si="103"/>
        <v>883</v>
      </c>
      <c r="AN182">
        <f t="shared" si="104"/>
        <v>-441.5</v>
      </c>
      <c r="AO182">
        <f t="shared" si="105"/>
        <v>441.5</v>
      </c>
      <c r="AP182" s="16" cm="1">
        <f t="array" ref="AP182">SUMPRODUCT(1362*POWER(0.7,POWER(1/($AI$2*AK182+$AJ$2*AL182*COS(RADIANS(0.25*(_xlfn.SEQUENCE(AO182-AN182,1,AN182+1))))+0.50572*POWER(96.07995-DEGREES(ACOS($AI$2*AK182+$AJ$2*AL182*COS(RADIANS(0.25*(_xlfn.SEQUENCE(AO182-AN182,1,AN182+1)))))),-1.6364)),0.678))*IF(AL182*COS(RADIANS(0.25*(_xlfn.SEQUENCE(AO182-AN182,1,AN182+1))))&gt;0,AL182*COS(RADIANS(0.25*(_xlfn.SEQUENCE(AO182-AN182,1,AN182+1)))),0)/60)</f>
        <v>6282.1571944548978</v>
      </c>
      <c r="AQ182" s="17" cm="1">
        <f t="array" ref="AQ182">SUMPRODUCT(1362*POWER(0.7,POWER(1/($AI$2*AK182+$AJ$2*AL182*COS(RADIANS(0.25*(_xlfn.SEQUENCE(AO182-AN182,1,AN182+1))))+0.50572*POWER(96.07995-DEGREES(ACOS($AI$2*AK182+$AJ$2*AL182*COS(RADIANS(0.25*(_xlfn.SEQUENCE(AO182-AN182,1,AN182+1)))))),-1.6364)),0.678))/60)</f>
        <v>10885.115586836691</v>
      </c>
      <c r="AR182" s="15">
        <f t="shared" si="106"/>
        <v>1.7327034726932191</v>
      </c>
      <c r="AT182">
        <v>0.41290158202072735</v>
      </c>
      <c r="AU182">
        <v>65.612761551058327</v>
      </c>
      <c r="AV182">
        <v>2.4108668765561596</v>
      </c>
      <c r="AW182">
        <v>712.65067198098643</v>
      </c>
    </row>
    <row r="183" spans="4:49" ht="17" x14ac:dyDescent="0.2">
      <c r="D183" s="1">
        <f t="shared" si="107"/>
        <v>46204</v>
      </c>
      <c r="E183" s="6">
        <f t="shared" si="74"/>
        <v>0.5</v>
      </c>
      <c r="F183" s="2">
        <f t="shared" si="75"/>
        <v>2461223.3333333335</v>
      </c>
      <c r="G183" s="3">
        <f t="shared" si="76"/>
        <v>0.26497832534793947</v>
      </c>
      <c r="I183">
        <f t="shared" si="77"/>
        <v>99.890182078759608</v>
      </c>
      <c r="J183">
        <f t="shared" si="78"/>
        <v>9896.4971591686372</v>
      </c>
      <c r="K183">
        <f t="shared" si="79"/>
        <v>1.6697486210085263E-2</v>
      </c>
      <c r="L183">
        <f t="shared" si="80"/>
        <v>0.11451783355602982</v>
      </c>
      <c r="M183">
        <f t="shared" si="81"/>
        <v>100.00469991231564</v>
      </c>
      <c r="N183">
        <f t="shared" si="82"/>
        <v>9896.6116770021927</v>
      </c>
      <c r="O183">
        <f t="shared" si="83"/>
        <v>1.0166683417791627</v>
      </c>
      <c r="P183">
        <f t="shared" si="84"/>
        <v>100.00121441499154</v>
      </c>
      <c r="Q183">
        <f t="shared" si="85"/>
        <v>23.435845286667732</v>
      </c>
      <c r="R183">
        <f t="shared" si="86"/>
        <v>23.43811677423572</v>
      </c>
      <c r="S183">
        <f t="shared" si="87"/>
        <v>100.88001125170285</v>
      </c>
      <c r="T183" s="19">
        <f t="shared" si="88"/>
        <v>23.061194338070365</v>
      </c>
      <c r="U183">
        <f t="shared" si="89"/>
        <v>4.3030094563713747E-2</v>
      </c>
      <c r="V183">
        <f t="shared" si="90"/>
        <v>-3.9682546866503383</v>
      </c>
      <c r="W183">
        <f t="shared" si="91"/>
        <v>110.35305215754848</v>
      </c>
      <c r="X183" s="6">
        <f t="shared" si="92"/>
        <v>0.50817759353239611</v>
      </c>
      <c r="Y183" s="6">
        <f t="shared" si="93"/>
        <v>0.20164133753920588</v>
      </c>
      <c r="Z183" s="6">
        <f t="shared" si="94"/>
        <v>0.81471384952558623</v>
      </c>
      <c r="AA183" s="19">
        <f t="shared" si="95"/>
        <v>882.8244172603878</v>
      </c>
      <c r="AB183">
        <f t="shared" si="96"/>
        <v>708.22426531334963</v>
      </c>
      <c r="AC183">
        <f t="shared" si="97"/>
        <v>-2.9439336716625917</v>
      </c>
      <c r="AD183">
        <f t="shared" si="72"/>
        <v>14.756783590147494</v>
      </c>
      <c r="AE183">
        <f t="shared" si="98"/>
        <v>75.243216409852508</v>
      </c>
      <c r="AF183">
        <f t="shared" si="99"/>
        <v>4.2507028100066038E-3</v>
      </c>
      <c r="AG183">
        <f t="shared" si="100"/>
        <v>75.24746711266252</v>
      </c>
      <c r="AH183">
        <f t="shared" si="73"/>
        <v>169.30866190769507</v>
      </c>
      <c r="AK183">
        <f t="shared" si="101"/>
        <v>0.39171404391922782</v>
      </c>
      <c r="AL183">
        <f t="shared" si="102"/>
        <v>0.92008701099213719</v>
      </c>
      <c r="AM183">
        <f t="shared" si="103"/>
        <v>883</v>
      </c>
      <c r="AN183">
        <f t="shared" si="104"/>
        <v>-441.5</v>
      </c>
      <c r="AO183">
        <f t="shared" si="105"/>
        <v>441.5</v>
      </c>
      <c r="AP183" s="16" cm="1">
        <f t="array" ref="AP183">SUMPRODUCT(1362*POWER(0.7,POWER(1/($AI$2*AK183+$AJ$2*AL183*COS(RADIANS(0.25*(_xlfn.SEQUENCE(AO183-AN183,1,AN183+1))))+0.50572*POWER(96.07995-DEGREES(ACOS($AI$2*AK183+$AJ$2*AL183*COS(RADIANS(0.25*(_xlfn.SEQUENCE(AO183-AN183,1,AN183+1)))))),-1.6364)),0.678))*IF(AL183*COS(RADIANS(0.25*(_xlfn.SEQUENCE(AO183-AN183,1,AN183+1))))&gt;0,AL183*COS(RADIANS(0.25*(_xlfn.SEQUENCE(AO183-AN183,1,AN183+1)))),0)/60)</f>
        <v>6284.3712131364291</v>
      </c>
      <c r="AQ183" s="17" cm="1">
        <f t="array" ref="AQ183">SUMPRODUCT(1362*POWER(0.7,POWER(1/($AI$2*AK183+$AJ$2*AL183*COS(RADIANS(0.25*(_xlfn.SEQUENCE(AO183-AN183,1,AN183+1))))+0.50572*POWER(96.07995-DEGREES(ACOS($AI$2*AK183+$AJ$2*AL183*COS(RADIANS(0.25*(_xlfn.SEQUENCE(AO183-AN183,1,AN183+1)))))),-1.6364)),0.678))/60)</f>
        <v>10878.188756961086</v>
      </c>
      <c r="AR183" s="15">
        <f t="shared" si="106"/>
        <v>1.7309908005151013</v>
      </c>
      <c r="AT183">
        <v>0.41433443993656915</v>
      </c>
      <c r="AU183">
        <v>65.522590011200649</v>
      </c>
      <c r="AV183">
        <v>2.4026199252430862</v>
      </c>
      <c r="AW183">
        <v>713.72263190406306</v>
      </c>
    </row>
    <row r="184" spans="4:49" ht="17" x14ac:dyDescent="0.2">
      <c r="D184" s="1">
        <f t="shared" si="107"/>
        <v>46205</v>
      </c>
      <c r="E184" s="6">
        <f t="shared" si="74"/>
        <v>0.5</v>
      </c>
      <c r="F184" s="2">
        <f t="shared" si="75"/>
        <v>2461224.3333333335</v>
      </c>
      <c r="G184" s="3">
        <f t="shared" si="76"/>
        <v>0.26500570385581079</v>
      </c>
      <c r="I184">
        <f t="shared" si="77"/>
        <v>100.87582944332462</v>
      </c>
      <c r="J184">
        <f t="shared" si="78"/>
        <v>9897.4827594481321</v>
      </c>
      <c r="K184">
        <f t="shared" si="79"/>
        <v>1.6697485057336491E-2</v>
      </c>
      <c r="L184">
        <f t="shared" si="80"/>
        <v>8.2319056731474716E-2</v>
      </c>
      <c r="M184">
        <f t="shared" si="81"/>
        <v>100.9581485000561</v>
      </c>
      <c r="N184">
        <f t="shared" si="82"/>
        <v>9897.5650785048638</v>
      </c>
      <c r="O184">
        <f t="shared" si="83"/>
        <v>1.0166829324734241</v>
      </c>
      <c r="P184">
        <f t="shared" si="84"/>
        <v>100.95466692166697</v>
      </c>
      <c r="Q184">
        <f t="shared" si="85"/>
        <v>23.435844930633579</v>
      </c>
      <c r="R184">
        <f t="shared" si="86"/>
        <v>23.438115326050458</v>
      </c>
      <c r="S184">
        <f t="shared" si="87"/>
        <v>101.9127839382656</v>
      </c>
      <c r="T184" s="19">
        <f t="shared" si="88"/>
        <v>22.98625638812981</v>
      </c>
      <c r="U184">
        <f t="shared" si="89"/>
        <v>4.3030089095009133E-2</v>
      </c>
      <c r="V184">
        <f t="shared" si="90"/>
        <v>-4.1566831808833218</v>
      </c>
      <c r="W184">
        <f t="shared" si="91"/>
        <v>110.27972332283993</v>
      </c>
      <c r="X184" s="6">
        <f t="shared" si="92"/>
        <v>0.50830844665339125</v>
      </c>
      <c r="Y184" s="6">
        <f t="shared" si="93"/>
        <v>0.20197588186772475</v>
      </c>
      <c r="Z184" s="6">
        <f t="shared" si="94"/>
        <v>0.81464101143905765</v>
      </c>
      <c r="AA184" s="19">
        <f t="shared" si="95"/>
        <v>882.23778658271942</v>
      </c>
      <c r="AB184">
        <f t="shared" si="96"/>
        <v>708.03583681911664</v>
      </c>
      <c r="AC184">
        <f t="shared" si="97"/>
        <v>-2.9910407952208402</v>
      </c>
      <c r="AD184">
        <f t="shared" si="72"/>
        <v>14.837711445665175</v>
      </c>
      <c r="AE184">
        <f t="shared" si="98"/>
        <v>75.162288554334822</v>
      </c>
      <c r="AF184">
        <f t="shared" si="99"/>
        <v>4.2750828415678279E-3</v>
      </c>
      <c r="AG184">
        <f t="shared" si="100"/>
        <v>75.166563637176395</v>
      </c>
      <c r="AH184">
        <f t="shared" si="73"/>
        <v>169.18823332343356</v>
      </c>
      <c r="AK184">
        <f t="shared" si="101"/>
        <v>0.39051031457456858</v>
      </c>
      <c r="AL184">
        <f t="shared" si="102"/>
        <v>0.92059855214467479</v>
      </c>
      <c r="AM184">
        <f t="shared" si="103"/>
        <v>882</v>
      </c>
      <c r="AN184">
        <f t="shared" si="104"/>
        <v>-441</v>
      </c>
      <c r="AO184">
        <f t="shared" si="105"/>
        <v>441</v>
      </c>
      <c r="AP184" s="16" cm="1">
        <f t="array" ref="AP184">SUMPRODUCT(1362*POWER(0.7,POWER(1/($AI$2*AK184+$AJ$2*AL184*COS(RADIANS(0.25*(_xlfn.SEQUENCE(AO184-AN184,1,AN184+1))))+0.50572*POWER(96.07995-DEGREES(ACOS($AI$2*AK184+$AJ$2*AL184*COS(RADIANS(0.25*(_xlfn.SEQUENCE(AO184-AN184,1,AN184+1)))))),-1.6364)),0.678))*IF(AL184*COS(RADIANS(0.25*(_xlfn.SEQUENCE(AO184-AN184,1,AN184+1))))&gt;0,AL184*COS(RADIANS(0.25*(_xlfn.SEQUENCE(AO184-AN184,1,AN184+1)))),0)/60)</f>
        <v>6286.7787587302837</v>
      </c>
      <c r="AQ184" s="17" cm="1">
        <f t="array" ref="AQ184">SUMPRODUCT(1362*POWER(0.7,POWER(1/($AI$2*AK184+$AJ$2*AL184*COS(RADIANS(0.25*(_xlfn.SEQUENCE(AO184-AN184,1,AN184+1))))+0.50572*POWER(96.07995-DEGREES(ACOS($AI$2*AK184+$AJ$2*AL184*COS(RADIANS(0.25*(_xlfn.SEQUENCE(AO184-AN184,1,AN184+1)))))),-1.6364)),0.678))/60)</f>
        <v>10870.460032623689</v>
      </c>
      <c r="AR184" s="15">
        <f t="shared" si="106"/>
        <v>1.7290985494802356</v>
      </c>
      <c r="AT184">
        <v>0.41575488046747189</v>
      </c>
      <c r="AU184">
        <v>65.433136100473121</v>
      </c>
      <c r="AV184">
        <v>2.3944995824727604</v>
      </c>
      <c r="AW184">
        <v>714.780871251961</v>
      </c>
    </row>
    <row r="185" spans="4:49" ht="17" x14ac:dyDescent="0.2">
      <c r="D185" s="1">
        <f t="shared" si="107"/>
        <v>46206</v>
      </c>
      <c r="E185" s="6">
        <f t="shared" si="74"/>
        <v>0.5</v>
      </c>
      <c r="F185" s="2">
        <f t="shared" si="75"/>
        <v>2461225.3333333335</v>
      </c>
      <c r="G185" s="3">
        <f t="shared" si="76"/>
        <v>0.26503308236368212</v>
      </c>
      <c r="I185">
        <f t="shared" si="77"/>
        <v>101.86147680788781</v>
      </c>
      <c r="J185">
        <f t="shared" si="78"/>
        <v>9898.4683597276271</v>
      </c>
      <c r="K185">
        <f t="shared" si="79"/>
        <v>1.6697483904587525E-2</v>
      </c>
      <c r="L185">
        <f t="shared" si="80"/>
        <v>5.0097391346352771E-2</v>
      </c>
      <c r="M185">
        <f t="shared" si="81"/>
        <v>101.91157419923417</v>
      </c>
      <c r="N185">
        <f t="shared" si="82"/>
        <v>9898.5184571189729</v>
      </c>
      <c r="O185">
        <f t="shared" si="83"/>
        <v>1.0166927474836693</v>
      </c>
      <c r="P185">
        <f t="shared" si="84"/>
        <v>101.90809653789366</v>
      </c>
      <c r="Q185">
        <f t="shared" si="85"/>
        <v>23.435844574599425</v>
      </c>
      <c r="R185">
        <f t="shared" si="86"/>
        <v>23.438113875925872</v>
      </c>
      <c r="S185">
        <f t="shared" si="87"/>
        <v>102.94433554149893</v>
      </c>
      <c r="T185" s="19">
        <f t="shared" si="88"/>
        <v>22.90463573314274</v>
      </c>
      <c r="U185">
        <f t="shared" si="89"/>
        <v>4.3030083618981543E-2</v>
      </c>
      <c r="V185">
        <f t="shared" si="90"/>
        <v>-4.3402522400602059</v>
      </c>
      <c r="W185">
        <f t="shared" si="91"/>
        <v>110.19998951576805</v>
      </c>
      <c r="X185" s="6">
        <f t="shared" si="92"/>
        <v>0.50843592516670844</v>
      </c>
      <c r="Y185" s="6">
        <f t="shared" si="93"/>
        <v>0.20232484317846383</v>
      </c>
      <c r="Z185" s="6">
        <f t="shared" si="94"/>
        <v>0.81454700715495298</v>
      </c>
      <c r="AA185" s="19">
        <f t="shared" si="95"/>
        <v>881.59991612614442</v>
      </c>
      <c r="AB185">
        <f t="shared" si="96"/>
        <v>707.85226775993988</v>
      </c>
      <c r="AC185">
        <f t="shared" si="97"/>
        <v>-3.0369330600150306</v>
      </c>
      <c r="AD185">
        <f t="shared" si="72"/>
        <v>14.925106257217296</v>
      </c>
      <c r="AE185">
        <f t="shared" si="98"/>
        <v>75.074893742782706</v>
      </c>
      <c r="AF185">
        <f t="shared" si="99"/>
        <v>4.3014315070273E-3</v>
      </c>
      <c r="AG185">
        <f t="shared" si="100"/>
        <v>75.079195174289737</v>
      </c>
      <c r="AH185">
        <f t="shared" si="73"/>
        <v>169.07740824599648</v>
      </c>
      <c r="AK185">
        <f t="shared" si="101"/>
        <v>0.38919848087828401</v>
      </c>
      <c r="AL185">
        <f t="shared" si="102"/>
        <v>0.92115391899618815</v>
      </c>
      <c r="AM185">
        <f t="shared" si="103"/>
        <v>882</v>
      </c>
      <c r="AN185">
        <f t="shared" si="104"/>
        <v>-441</v>
      </c>
      <c r="AO185">
        <f t="shared" si="105"/>
        <v>441</v>
      </c>
      <c r="AP185" s="16" cm="1">
        <f t="array" ref="AP185">SUMPRODUCT(1362*POWER(0.7,POWER(1/($AI$2*AK185+$AJ$2*AL185*COS(RADIANS(0.25*(_xlfn.SEQUENCE(AO185-AN185,1,AN185+1))))+0.50572*POWER(96.07995-DEGREES(ACOS($AI$2*AK185+$AJ$2*AL185*COS(RADIANS(0.25*(_xlfn.SEQUENCE(AO185-AN185,1,AN185+1)))))),-1.6364)),0.678))*IF(AL185*COS(RADIANS(0.25*(_xlfn.SEQUENCE(AO185-AN185,1,AN185+1))))&gt;0,AL185*COS(RADIANS(0.25*(_xlfn.SEQUENCE(AO185-AN185,1,AN185+1)))),0)/60)</f>
        <v>6289.3924127168066</v>
      </c>
      <c r="AQ185" s="17" cm="1">
        <f t="array" ref="AQ185">SUMPRODUCT(1362*POWER(0.7,POWER(1/($AI$2*AK185+$AJ$2*AL185*COS(RADIANS(0.25*(_xlfn.SEQUENCE(AO185-AN185,1,AN185+1))))+0.50572*POWER(96.07995-DEGREES(ACOS($AI$2*AK185+$AJ$2*AL185*COS(RADIANS(0.25*(_xlfn.SEQUENCE(AO185-AN185,1,AN185+1)))))),-1.6364)),0.678))/60)</f>
        <v>10862.176572940498</v>
      </c>
      <c r="AR185" s="15">
        <f t="shared" si="106"/>
        <v>1.7270629434693521</v>
      </c>
      <c r="AT185">
        <v>0.41716287657029538</v>
      </c>
      <c r="AU185">
        <v>65.344402840466046</v>
      </c>
      <c r="AV185">
        <v>2.3865040211141872</v>
      </c>
      <c r="AW185">
        <v>715.82551436684162</v>
      </c>
    </row>
    <row r="186" spans="4:49" ht="17" x14ac:dyDescent="0.2">
      <c r="D186" s="1">
        <f t="shared" si="107"/>
        <v>46207</v>
      </c>
      <c r="E186" s="6">
        <f t="shared" si="74"/>
        <v>0.5</v>
      </c>
      <c r="F186" s="2">
        <f t="shared" si="75"/>
        <v>2461226.3333333335</v>
      </c>
      <c r="G186" s="3">
        <f t="shared" si="76"/>
        <v>0.26506046087155344</v>
      </c>
      <c r="I186">
        <f t="shared" si="77"/>
        <v>102.84712417245282</v>
      </c>
      <c r="J186">
        <f t="shared" si="78"/>
        <v>9899.4539600071221</v>
      </c>
      <c r="K186">
        <f t="shared" si="79"/>
        <v>1.6697482751838372E-2</v>
      </c>
      <c r="L186">
        <f t="shared" si="80"/>
        <v>1.7861798738379835E-2</v>
      </c>
      <c r="M186">
        <f t="shared" si="81"/>
        <v>102.8649859711912</v>
      </c>
      <c r="N186">
        <f t="shared" si="82"/>
        <v>9899.4718218058606</v>
      </c>
      <c r="O186">
        <f t="shared" si="83"/>
        <v>1.0166977841853382</v>
      </c>
      <c r="P186">
        <f t="shared" si="84"/>
        <v>102.86151222500956</v>
      </c>
      <c r="Q186">
        <f t="shared" si="85"/>
        <v>23.435844218565276</v>
      </c>
      <c r="R186">
        <f t="shared" si="86"/>
        <v>23.438112423862904</v>
      </c>
      <c r="S186">
        <f t="shared" si="87"/>
        <v>103.97458063723279</v>
      </c>
      <c r="T186" s="19">
        <f t="shared" si="88"/>
        <v>22.816366487713864</v>
      </c>
      <c r="U186">
        <f t="shared" si="89"/>
        <v>4.3030078135634531E-2</v>
      </c>
      <c r="V186">
        <f t="shared" si="90"/>
        <v>-4.5186195342576543</v>
      </c>
      <c r="W186">
        <f t="shared" si="91"/>
        <v>110.11391736903768</v>
      </c>
      <c r="X186" s="6">
        <f t="shared" si="92"/>
        <v>0.50855979134323437</v>
      </c>
      <c r="Y186" s="6">
        <f t="shared" si="93"/>
        <v>0.20268779865146308</v>
      </c>
      <c r="Z186" s="6">
        <f t="shared" si="94"/>
        <v>0.81443178403500571</v>
      </c>
      <c r="AA186" s="19">
        <f t="shared" si="95"/>
        <v>880.91133895230143</v>
      </c>
      <c r="AB186">
        <f t="shared" si="96"/>
        <v>707.67390046574224</v>
      </c>
      <c r="AC186">
        <f t="shared" si="97"/>
        <v>-3.0815248835644411</v>
      </c>
      <c r="AD186">
        <f t="shared" si="72"/>
        <v>15.018910209264236</v>
      </c>
      <c r="AE186">
        <f t="shared" si="98"/>
        <v>74.981089790735766</v>
      </c>
      <c r="AF186">
        <f t="shared" si="99"/>
        <v>4.3297362257477094E-3</v>
      </c>
      <c r="AG186">
        <f t="shared" si="100"/>
        <v>74.985419526961508</v>
      </c>
      <c r="AH186">
        <f t="shared" si="73"/>
        <v>168.97642557105837</v>
      </c>
      <c r="AK186">
        <f t="shared" si="101"/>
        <v>0.38777890001613258</v>
      </c>
      <c r="AL186">
        <f t="shared" si="102"/>
        <v>0.92175242050253292</v>
      </c>
      <c r="AM186">
        <f t="shared" si="103"/>
        <v>881</v>
      </c>
      <c r="AN186">
        <f t="shared" si="104"/>
        <v>-440.5</v>
      </c>
      <c r="AO186">
        <f t="shared" si="105"/>
        <v>440.5</v>
      </c>
      <c r="AP186" s="16" cm="1">
        <f t="array" ref="AP186">SUMPRODUCT(1362*POWER(0.7,POWER(1/($AI$2*AK186+$AJ$2*AL186*COS(RADIANS(0.25*(_xlfn.SEQUENCE(AO186-AN186,1,AN186+1))))+0.50572*POWER(96.07995-DEGREES(ACOS($AI$2*AK186+$AJ$2*AL186*COS(RADIANS(0.25*(_xlfn.SEQUENCE(AO186-AN186,1,AN186+1)))))),-1.6364)),0.678))*IF(AL186*COS(RADIANS(0.25*(_xlfn.SEQUENCE(AO186-AN186,1,AN186+1))))&gt;0,AL186*COS(RADIANS(0.25*(_xlfn.SEQUENCE(AO186-AN186,1,AN186+1)))),0)/60)</f>
        <v>6292.2063299149204</v>
      </c>
      <c r="AQ186" s="17" cm="1">
        <f t="array" ref="AQ186">SUMPRODUCT(1362*POWER(0.7,POWER(1/($AI$2*AK186+$AJ$2*AL186*COS(RADIANS(0.25*(_xlfn.SEQUENCE(AO186-AN186,1,AN186+1))))+0.50572*POWER(96.07995-DEGREES(ACOS($AI$2*AK186+$AJ$2*AL186*COS(RADIANS(0.25*(_xlfn.SEQUENCE(AO186-AN186,1,AN186+1)))))),-1.6364)),0.678))/60)</f>
        <v>10853.101642280762</v>
      </c>
      <c r="AR186" s="15">
        <f t="shared" si="106"/>
        <v>1.7248483398711929</v>
      </c>
      <c r="AT186">
        <v>0.41855840143882339</v>
      </c>
      <c r="AU186">
        <v>65.256393244601</v>
      </c>
      <c r="AV186">
        <v>2.3786314565327999</v>
      </c>
      <c r="AW186">
        <v>716.85668332958653</v>
      </c>
    </row>
    <row r="187" spans="4:49" ht="17" x14ac:dyDescent="0.2">
      <c r="D187" s="1">
        <f t="shared" si="107"/>
        <v>46208</v>
      </c>
      <c r="E187" s="6">
        <f t="shared" si="74"/>
        <v>0.5</v>
      </c>
      <c r="F187" s="2">
        <f t="shared" si="75"/>
        <v>2461227.3333333335</v>
      </c>
      <c r="G187" s="3">
        <f t="shared" si="76"/>
        <v>0.26508783937942476</v>
      </c>
      <c r="I187">
        <f t="shared" si="77"/>
        <v>103.83277153701601</v>
      </c>
      <c r="J187">
        <f t="shared" si="78"/>
        <v>9900.4395602866134</v>
      </c>
      <c r="K187">
        <f t="shared" si="79"/>
        <v>1.6697481599089029E-2</v>
      </c>
      <c r="L187">
        <f t="shared" si="80"/>
        <v>-1.4378756609468172E-2</v>
      </c>
      <c r="M187">
        <f t="shared" si="81"/>
        <v>103.81839278040654</v>
      </c>
      <c r="N187">
        <f t="shared" si="82"/>
        <v>9900.4251815300031</v>
      </c>
      <c r="O187">
        <f t="shared" si="83"/>
        <v>1.016698041231979</v>
      </c>
      <c r="P187">
        <f t="shared" si="84"/>
        <v>103.8149229474907</v>
      </c>
      <c r="Q187">
        <f t="shared" si="85"/>
        <v>23.435843862531122</v>
      </c>
      <c r="R187">
        <f t="shared" si="86"/>
        <v>23.438110969862482</v>
      </c>
      <c r="S187">
        <f t="shared" si="87"/>
        <v>105.00343591390187</v>
      </c>
      <c r="T187" s="19">
        <f t="shared" si="88"/>
        <v>22.721485169367401</v>
      </c>
      <c r="U187">
        <f t="shared" si="89"/>
        <v>4.3030072644971572E-2</v>
      </c>
      <c r="V187">
        <f t="shared" si="90"/>
        <v>-4.6914509358766576</v>
      </c>
      <c r="W187">
        <f t="shared" si="91"/>
        <v>110.02157792510106</v>
      </c>
      <c r="X187" s="6">
        <f t="shared" si="92"/>
        <v>0.50867981314991428</v>
      </c>
      <c r="Y187" s="6">
        <f t="shared" si="93"/>
        <v>0.2030643189135225</v>
      </c>
      <c r="Z187" s="6">
        <f t="shared" si="94"/>
        <v>0.81429530738630607</v>
      </c>
      <c r="AA187" s="19">
        <f t="shared" si="95"/>
        <v>880.17262340080845</v>
      </c>
      <c r="AB187">
        <f t="shared" si="96"/>
        <v>707.50106906412339</v>
      </c>
      <c r="AC187">
        <f t="shared" si="97"/>
        <v>-3.1247327339691537</v>
      </c>
      <c r="AD187">
        <f t="shared" si="72"/>
        <v>15.119064044127756</v>
      </c>
      <c r="AE187">
        <f t="shared" si="98"/>
        <v>74.880935955872246</v>
      </c>
      <c r="AF187">
        <f t="shared" si="99"/>
        <v>4.3599843378977618E-3</v>
      </c>
      <c r="AG187">
        <f t="shared" si="100"/>
        <v>74.885295940210142</v>
      </c>
      <c r="AH187">
        <f t="shared" si="73"/>
        <v>168.88548645545643</v>
      </c>
      <c r="AK187">
        <f t="shared" si="101"/>
        <v>0.38625195492464043</v>
      </c>
      <c r="AL187">
        <f t="shared" si="102"/>
        <v>0.92239331487001441</v>
      </c>
      <c r="AM187">
        <f t="shared" si="103"/>
        <v>880</v>
      </c>
      <c r="AN187">
        <f t="shared" si="104"/>
        <v>-440</v>
      </c>
      <c r="AO187">
        <f t="shared" si="105"/>
        <v>440</v>
      </c>
      <c r="AP187" s="16" cm="1">
        <f t="array" ref="AP187">SUMPRODUCT(1362*POWER(0.7,POWER(1/($AI$2*AK187+$AJ$2*AL187*COS(RADIANS(0.25*(_xlfn.SEQUENCE(AO187-AN187,1,AN187+1))))+0.50572*POWER(96.07995-DEGREES(ACOS($AI$2*AK187+$AJ$2*AL187*COS(RADIANS(0.25*(_xlfn.SEQUENCE(AO187-AN187,1,AN187+1)))))),-1.6364)),0.678))*IF(AL187*COS(RADIANS(0.25*(_xlfn.SEQUENCE(AO187-AN187,1,AN187+1))))&gt;0,AL187*COS(RADIANS(0.25*(_xlfn.SEQUENCE(AO187-AN187,1,AN187+1)))),0)/60)</f>
        <v>6295.187454838926</v>
      </c>
      <c r="AQ187" s="17" cm="1">
        <f t="array" ref="AQ187">SUMPRODUCT(1362*POWER(0.7,POWER(1/($AI$2*AK187+$AJ$2*AL187*COS(RADIANS(0.25*(_xlfn.SEQUENCE(AO187-AN187,1,AN187+1))))+0.50572*POWER(96.07995-DEGREES(ACOS($AI$2*AK187+$AJ$2*AL187*COS(RADIANS(0.25*(_xlfn.SEQUENCE(AO187-AN187,1,AN187+1)))))),-1.6364)),0.678))/60)</f>
        <v>10843.358233531844</v>
      </c>
      <c r="AR187" s="15">
        <f t="shared" si="106"/>
        <v>1.7224837721388062</v>
      </c>
      <c r="AT187">
        <v>0.41994142850427396</v>
      </c>
      <c r="AU187">
        <v>65.169110317744014</v>
      </c>
      <c r="AV187">
        <v>2.3708801454800863</v>
      </c>
      <c r="AW187">
        <v>717.8744980013654</v>
      </c>
    </row>
    <row r="188" spans="4:49" ht="17" x14ac:dyDescent="0.2">
      <c r="D188" s="1">
        <f t="shared" si="107"/>
        <v>46209</v>
      </c>
      <c r="E188" s="6">
        <f t="shared" si="74"/>
        <v>0.5</v>
      </c>
      <c r="F188" s="2">
        <f t="shared" si="75"/>
        <v>2461228.3333333335</v>
      </c>
      <c r="G188" s="3">
        <f t="shared" si="76"/>
        <v>0.26511521788729608</v>
      </c>
      <c r="I188">
        <f t="shared" si="77"/>
        <v>104.81841890158285</v>
      </c>
      <c r="J188">
        <f t="shared" si="78"/>
        <v>9901.4251605661084</v>
      </c>
      <c r="K188">
        <f t="shared" si="79"/>
        <v>1.6697480446339494E-2</v>
      </c>
      <c r="L188">
        <f t="shared" si="80"/>
        <v>-4.661530909470836E-2</v>
      </c>
      <c r="M188">
        <f t="shared" si="81"/>
        <v>104.77180359248814</v>
      </c>
      <c r="N188">
        <f t="shared" si="82"/>
        <v>9901.3785452570137</v>
      </c>
      <c r="O188">
        <f t="shared" si="83"/>
        <v>1.0166935185554933</v>
      </c>
      <c r="P188">
        <f t="shared" si="84"/>
        <v>104.76833767094168</v>
      </c>
      <c r="Q188">
        <f t="shared" si="85"/>
        <v>23.435843506496973</v>
      </c>
      <c r="R188">
        <f t="shared" si="86"/>
        <v>23.43810951392555</v>
      </c>
      <c r="S188">
        <f t="shared" si="87"/>
        <v>106.0308203013178</v>
      </c>
      <c r="T188" s="19">
        <f t="shared" si="88"/>
        <v>22.620030651525752</v>
      </c>
      <c r="U188">
        <f t="shared" si="89"/>
        <v>4.3030067146996261E-2</v>
      </c>
      <c r="V188">
        <f t="shared" si="90"/>
        <v>-4.8584210465954651</v>
      </c>
      <c r="W188">
        <f t="shared" si="91"/>
        <v>109.92304643583759</v>
      </c>
      <c r="X188" s="6">
        <f t="shared" si="92"/>
        <v>0.5087957646156912</v>
      </c>
      <c r="Y188" s="6">
        <f t="shared" si="93"/>
        <v>0.20345396896058676</v>
      </c>
      <c r="Z188" s="6">
        <f t="shared" si="94"/>
        <v>0.81413756027079565</v>
      </c>
      <c r="AA188" s="19">
        <f t="shared" si="95"/>
        <v>879.38437148670073</v>
      </c>
      <c r="AB188">
        <f t="shared" si="96"/>
        <v>707.33409895340446</v>
      </c>
      <c r="AC188">
        <f t="shared" si="97"/>
        <v>-3.166475261648884</v>
      </c>
      <c r="AD188">
        <f t="shared" si="72"/>
        <v>15.225507255799343</v>
      </c>
      <c r="AE188">
        <f t="shared" si="98"/>
        <v>74.774492744200657</v>
      </c>
      <c r="AF188">
        <f t="shared" si="99"/>
        <v>4.3921631625256589E-3</v>
      </c>
      <c r="AG188">
        <f t="shared" si="100"/>
        <v>74.778884907363178</v>
      </c>
      <c r="AH188">
        <f t="shared" si="73"/>
        <v>168.80475464256779</v>
      </c>
      <c r="AK188">
        <f t="shared" si="101"/>
        <v>0.38461805421814627</v>
      </c>
      <c r="AL188">
        <f t="shared" si="102"/>
        <v>0.92307581073790856</v>
      </c>
      <c r="AM188">
        <f t="shared" si="103"/>
        <v>879</v>
      </c>
      <c r="AN188">
        <f t="shared" si="104"/>
        <v>-439.5</v>
      </c>
      <c r="AO188">
        <f t="shared" si="105"/>
        <v>439.5</v>
      </c>
      <c r="AP188" s="16" cm="1">
        <f t="array" ref="AP188">SUMPRODUCT(1362*POWER(0.7,POWER(1/($AI$2*AK188+$AJ$2*AL188*COS(RADIANS(0.25*(_xlfn.SEQUENCE(AO188-AN188,1,AN188+1))))+0.50572*POWER(96.07995-DEGREES(ACOS($AI$2*AK188+$AJ$2*AL188*COS(RADIANS(0.25*(_xlfn.SEQUENCE(AO188-AN188,1,AN188+1)))))),-1.6364)),0.678))*IF(AL188*COS(RADIANS(0.25*(_xlfn.SEQUENCE(AO188-AN188,1,AN188+1))))&gt;0,AL188*COS(RADIANS(0.25*(_xlfn.SEQUENCE(AO188-AN188,1,AN188+1)))),0)/60)</f>
        <v>6298.3648439945155</v>
      </c>
      <c r="AQ188" s="17" cm="1">
        <f t="array" ref="AQ188">SUMPRODUCT(1362*POWER(0.7,POWER(1/($AI$2*AK188+$AJ$2*AL188*COS(RADIANS(0.25*(_xlfn.SEQUENCE(AO188-AN188,1,AN188+1))))+0.50572*POWER(96.07995-DEGREES(ACOS($AI$2*AK188+$AJ$2*AL188*COS(RADIANS(0.25*(_xlfn.SEQUENCE(AO188-AN188,1,AN188+1)))))),-1.6364)),0.678))/60)</f>
        <v>10832.951443227952</v>
      </c>
      <c r="AR188" s="15">
        <f t="shared" si="106"/>
        <v>1.7199625159150886</v>
      </c>
      <c r="AT188">
        <v>0.42131193143580548</v>
      </c>
      <c r="AU188">
        <v>65.082557055815769</v>
      </c>
      <c r="AV188">
        <v>2.3632483850193315</v>
      </c>
      <c r="AW188">
        <v>718.87907606419208</v>
      </c>
    </row>
    <row r="189" spans="4:49" ht="17" x14ac:dyDescent="0.2">
      <c r="D189" s="1">
        <f t="shared" si="107"/>
        <v>46210</v>
      </c>
      <c r="E189" s="6">
        <f t="shared" si="74"/>
        <v>0.5</v>
      </c>
      <c r="F189" s="2">
        <f t="shared" si="75"/>
        <v>2461229.3333333335</v>
      </c>
      <c r="G189" s="3">
        <f t="shared" si="76"/>
        <v>0.26514259639516741</v>
      </c>
      <c r="I189">
        <f t="shared" si="77"/>
        <v>105.80406626614968</v>
      </c>
      <c r="J189">
        <f t="shared" si="78"/>
        <v>9902.4107608456015</v>
      </c>
      <c r="K189">
        <f t="shared" si="79"/>
        <v>1.6697479293589768E-2</v>
      </c>
      <c r="L189">
        <f t="shared" si="80"/>
        <v>-7.8838894019982494E-2</v>
      </c>
      <c r="M189">
        <f t="shared" si="81"/>
        <v>105.72522737212969</v>
      </c>
      <c r="N189">
        <f t="shared" si="82"/>
        <v>9902.3319219515815</v>
      </c>
      <c r="O189">
        <f t="shared" si="83"/>
        <v>1.0166842173661477</v>
      </c>
      <c r="P189">
        <f t="shared" si="84"/>
        <v>105.72176536005286</v>
      </c>
      <c r="Q189">
        <f t="shared" si="85"/>
        <v>23.435843150462819</v>
      </c>
      <c r="R189">
        <f t="shared" si="86"/>
        <v>23.438108056053043</v>
      </c>
      <c r="S189">
        <f t="shared" si="87"/>
        <v>107.05665509302226</v>
      </c>
      <c r="T189" s="19">
        <f t="shared" si="88"/>
        <v>22.512044114143656</v>
      </c>
      <c r="U189">
        <f t="shared" si="89"/>
        <v>4.3030061641712129E-2</v>
      </c>
      <c r="V189">
        <f t="shared" si="90"/>
        <v>-5.0192137022852048</v>
      </c>
      <c r="W189">
        <f t="shared" si="91"/>
        <v>109.81840215362782</v>
      </c>
      <c r="X189" s="6">
        <f t="shared" si="92"/>
        <v>0.50890742618214246</v>
      </c>
      <c r="Y189" s="6">
        <f t="shared" si="93"/>
        <v>0.2038563090887319</v>
      </c>
      <c r="Z189" s="6">
        <f t="shared" si="94"/>
        <v>0.81395854327555306</v>
      </c>
      <c r="AA189" s="19">
        <f t="shared" si="95"/>
        <v>878.54721722902252</v>
      </c>
      <c r="AB189">
        <f t="shared" si="96"/>
        <v>707.17330629771482</v>
      </c>
      <c r="AC189">
        <f t="shared" si="97"/>
        <v>-3.2066734255712959</v>
      </c>
      <c r="AD189">
        <f t="shared" si="72"/>
        <v>15.338178274191392</v>
      </c>
      <c r="AE189">
        <f t="shared" si="98"/>
        <v>74.661821725808608</v>
      </c>
      <c r="AF189">
        <f t="shared" si="99"/>
        <v>4.4262600532727087E-3</v>
      </c>
      <c r="AG189">
        <f t="shared" si="100"/>
        <v>74.666247985861887</v>
      </c>
      <c r="AH189">
        <f t="shared" si="73"/>
        <v>168.73435704434087</v>
      </c>
      <c r="AK189">
        <f t="shared" si="101"/>
        <v>0.38287763211454384</v>
      </c>
      <c r="AL189">
        <f t="shared" si="102"/>
        <v>0.92379906842687387</v>
      </c>
      <c r="AM189">
        <f t="shared" si="103"/>
        <v>879</v>
      </c>
      <c r="AN189">
        <f t="shared" si="104"/>
        <v>-439.5</v>
      </c>
      <c r="AO189">
        <f t="shared" si="105"/>
        <v>439.5</v>
      </c>
      <c r="AP189" s="16" cm="1">
        <f t="array" ref="AP189">SUMPRODUCT(1362*POWER(0.7,POWER(1/($AI$2*AK189+$AJ$2*AL189*COS(RADIANS(0.25*(_xlfn.SEQUENCE(AO189-AN189,1,AN189+1))))+0.50572*POWER(96.07995-DEGREES(ACOS($AI$2*AK189+$AJ$2*AL189*COS(RADIANS(0.25*(_xlfn.SEQUENCE(AO189-AN189,1,AN189+1)))))),-1.6364)),0.678))*IF(AL189*COS(RADIANS(0.25*(_xlfn.SEQUENCE(AO189-AN189,1,AN189+1))))&gt;0,AL189*COS(RADIANS(0.25*(_xlfn.SEQUENCE(AO189-AN189,1,AN189+1)))),0)/60)</f>
        <v>6301.704648677709</v>
      </c>
      <c r="AQ189" s="17" cm="1">
        <f t="array" ref="AQ189">SUMPRODUCT(1362*POWER(0.7,POWER(1/($AI$2*AK189+$AJ$2*AL189*COS(RADIANS(0.25*(_xlfn.SEQUENCE(AO189-AN189,1,AN189+1))))+0.50572*POWER(96.07995-DEGREES(ACOS($AI$2*AK189+$AJ$2*AL189*COS(RADIANS(0.25*(_xlfn.SEQUENCE(AO189-AN189,1,AN189+1)))))),-1.6364)),0.678))/60)</f>
        <v>10822.008755191797</v>
      </c>
      <c r="AR189" s="15">
        <f t="shared" si="106"/>
        <v>1.7173144979846979</v>
      </c>
      <c r="AT189">
        <v>0.42266988414101736</v>
      </c>
      <c r="AU189">
        <v>64.996736445398582</v>
      </c>
      <c r="AV189">
        <v>2.355734511486177</v>
      </c>
      <c r="AW189">
        <v>719.87053306049313</v>
      </c>
    </row>
    <row r="190" spans="4:49" ht="17" x14ac:dyDescent="0.2">
      <c r="D190" s="1">
        <f t="shared" si="107"/>
        <v>46211</v>
      </c>
      <c r="E190" s="6">
        <f t="shared" si="74"/>
        <v>0.5</v>
      </c>
      <c r="F190" s="2">
        <f t="shared" si="75"/>
        <v>2461230.3333333335</v>
      </c>
      <c r="G190" s="3">
        <f t="shared" si="76"/>
        <v>0.26516997490303867</v>
      </c>
      <c r="I190">
        <f t="shared" si="77"/>
        <v>106.78971363071287</v>
      </c>
      <c r="J190">
        <f t="shared" si="78"/>
        <v>9903.3963611250929</v>
      </c>
      <c r="K190">
        <f t="shared" si="79"/>
        <v>1.6697478140839855E-2</v>
      </c>
      <c r="L190">
        <f t="shared" si="80"/>
        <v>-0.11104054961891553</v>
      </c>
      <c r="M190">
        <f t="shared" si="81"/>
        <v>106.67867308109395</v>
      </c>
      <c r="N190">
        <f t="shared" si="82"/>
        <v>9903.2853205754745</v>
      </c>
      <c r="O190">
        <f t="shared" si="83"/>
        <v>1.0166701401523535</v>
      </c>
      <c r="P190">
        <f t="shared" si="84"/>
        <v>106.67521497658363</v>
      </c>
      <c r="Q190">
        <f t="shared" si="85"/>
        <v>23.43584279442867</v>
      </c>
      <c r="R190">
        <f t="shared" si="86"/>
        <v>23.438106596245905</v>
      </c>
      <c r="S190">
        <f t="shared" si="87"/>
        <v>108.08086406203894</v>
      </c>
      <c r="T190" s="19">
        <f t="shared" si="88"/>
        <v>22.397568992164814</v>
      </c>
      <c r="U190">
        <f t="shared" si="89"/>
        <v>4.3030056129122737E-2</v>
      </c>
      <c r="V190">
        <f t="shared" si="90"/>
        <v>-5.1735224547570127</v>
      </c>
      <c r="W190">
        <f t="shared" si="91"/>
        <v>109.70772811494453</v>
      </c>
      <c r="X190" s="6">
        <f t="shared" si="92"/>
        <v>0.50901458503802566</v>
      </c>
      <c r="Y190" s="6">
        <f t="shared" si="93"/>
        <v>0.20427089582984637</v>
      </c>
      <c r="Z190" s="6">
        <f t="shared" si="94"/>
        <v>0.81375827424620484</v>
      </c>
      <c r="AA190" s="19">
        <f t="shared" si="95"/>
        <v>877.66182491955624</v>
      </c>
      <c r="AB190">
        <f t="shared" si="96"/>
        <v>707.01899754524288</v>
      </c>
      <c r="AC190">
        <f t="shared" si="97"/>
        <v>-3.2452506136892794</v>
      </c>
      <c r="AD190">
        <f t="shared" si="72"/>
        <v>15.457014638652916</v>
      </c>
      <c r="AE190">
        <f t="shared" si="98"/>
        <v>74.542985361347078</v>
      </c>
      <c r="AF190">
        <f t="shared" si="99"/>
        <v>4.4622624513843637E-3</v>
      </c>
      <c r="AG190">
        <f t="shared" si="100"/>
        <v>74.547447623798462</v>
      </c>
      <c r="AH190">
        <f t="shared" si="73"/>
        <v>168.67438455739864</v>
      </c>
      <c r="AK190">
        <f t="shared" si="101"/>
        <v>0.38103114835960938</v>
      </c>
      <c r="AL190">
        <f t="shared" si="102"/>
        <v>0.92456220124973598</v>
      </c>
      <c r="AM190">
        <f t="shared" si="103"/>
        <v>878</v>
      </c>
      <c r="AN190">
        <f t="shared" si="104"/>
        <v>-439</v>
      </c>
      <c r="AO190">
        <f t="shared" si="105"/>
        <v>439</v>
      </c>
      <c r="AP190" s="16" cm="1">
        <f t="array" ref="AP190">SUMPRODUCT(1362*POWER(0.7,POWER(1/($AI$2*AK190+$AJ$2*AL190*COS(RADIANS(0.25*(_xlfn.SEQUENCE(AO190-AN190,1,AN190+1))))+0.50572*POWER(96.07995-DEGREES(ACOS($AI$2*AK190+$AJ$2*AL190*COS(RADIANS(0.25*(_xlfn.SEQUENCE(AO190-AN190,1,AN190+1)))))),-1.6364)),0.678))*IF(AL190*COS(RADIANS(0.25*(_xlfn.SEQUENCE(AO190-AN190,1,AN190+1))))&gt;0,AL190*COS(RADIANS(0.25*(_xlfn.SEQUENCE(AO190-AN190,1,AN190+1)))),0)/60)</f>
        <v>6305.1994387045543</v>
      </c>
      <c r="AQ190" s="17" cm="1">
        <f t="array" ref="AQ190">SUMPRODUCT(1362*POWER(0.7,POWER(1/($AI$2*AK190+$AJ$2*AL190*COS(RADIANS(0.25*(_xlfn.SEQUENCE(AO190-AN190,1,AN190+1))))+0.50572*POWER(96.07995-DEGREES(ACOS($AI$2*AK190+$AJ$2*AL190*COS(RADIANS(0.25*(_xlfn.SEQUENCE(AO190-AN190,1,AN190+1)))))),-1.6364)),0.678))/60)</f>
        <v>10810.292711344024</v>
      </c>
      <c r="AR190" s="15">
        <f t="shared" si="106"/>
        <v>1.7145044841856851</v>
      </c>
      <c r="AT190">
        <v>0.42401526076644802</v>
      </c>
      <c r="AU190">
        <v>64.911651463340434</v>
      </c>
      <c r="AV190">
        <v>2.348336899482685</v>
      </c>
      <c r="AW190">
        <v>720.84898243171563</v>
      </c>
    </row>
    <row r="191" spans="4:49" ht="17" x14ac:dyDescent="0.2">
      <c r="D191" s="1">
        <f t="shared" si="107"/>
        <v>46212</v>
      </c>
      <c r="E191" s="6">
        <f t="shared" si="74"/>
        <v>0.5</v>
      </c>
      <c r="F191" s="2">
        <f t="shared" si="75"/>
        <v>2461231.3333333335</v>
      </c>
      <c r="G191" s="3">
        <f t="shared" si="76"/>
        <v>0.26519735341091</v>
      </c>
      <c r="I191">
        <f t="shared" si="77"/>
        <v>107.77536099528152</v>
      </c>
      <c r="J191">
        <f t="shared" si="78"/>
        <v>9904.381961404586</v>
      </c>
      <c r="K191">
        <f t="shared" si="79"/>
        <v>1.6697476988089752E-2</v>
      </c>
      <c r="L191">
        <f t="shared" si="80"/>
        <v>-0.14321131908139376</v>
      </c>
      <c r="M191">
        <f t="shared" si="81"/>
        <v>107.63214967620013</v>
      </c>
      <c r="N191">
        <f t="shared" si="82"/>
        <v>9904.2387500855039</v>
      </c>
      <c r="O191">
        <f t="shared" si="83"/>
        <v>1.0166512906802174</v>
      </c>
      <c r="P191">
        <f t="shared" si="84"/>
        <v>107.62869547734991</v>
      </c>
      <c r="Q191">
        <f t="shared" si="85"/>
        <v>23.43584243839452</v>
      </c>
      <c r="R191">
        <f t="shared" si="86"/>
        <v>23.438105134505079</v>
      </c>
      <c r="S191">
        <f t="shared" si="87"/>
        <v>109.10337356978964</v>
      </c>
      <c r="T191" s="19">
        <f t="shared" si="88"/>
        <v>22.276650921980362</v>
      </c>
      <c r="U191">
        <f t="shared" si="89"/>
        <v>4.3030050609231651E-2</v>
      </c>
      <c r="V191">
        <f t="shared" si="90"/>
        <v>-5.3210510292883093</v>
      </c>
      <c r="W191">
        <f t="shared" si="91"/>
        <v>109.59111091760411</v>
      </c>
      <c r="X191" s="6">
        <f t="shared" si="92"/>
        <v>0.50911703543700582</v>
      </c>
      <c r="Y191" s="6">
        <f t="shared" si="93"/>
        <v>0.20469728288810554</v>
      </c>
      <c r="Z191" s="6">
        <f t="shared" si="94"/>
        <v>0.81353678798590623</v>
      </c>
      <c r="AA191" s="19">
        <f t="shared" si="95"/>
        <v>876.7288873408329</v>
      </c>
      <c r="AB191">
        <f t="shared" si="96"/>
        <v>706.8714689707117</v>
      </c>
      <c r="AC191">
        <f t="shared" si="97"/>
        <v>-3.2821327573220742</v>
      </c>
      <c r="AD191">
        <f t="shared" si="72"/>
        <v>15.581953159788787</v>
      </c>
      <c r="AE191">
        <f t="shared" si="98"/>
        <v>74.418046840211218</v>
      </c>
      <c r="AF191">
        <f t="shared" si="99"/>
        <v>4.5001579357359361E-3</v>
      </c>
      <c r="AG191">
        <f t="shared" si="100"/>
        <v>74.422546998146956</v>
      </c>
      <c r="AH191">
        <f t="shared" si="73"/>
        <v>168.62489308910472</v>
      </c>
      <c r="AK191">
        <f t="shared" si="101"/>
        <v>0.37907908814991065</v>
      </c>
      <c r="AL191">
        <f t="shared" si="102"/>
        <v>0.92536427688096556</v>
      </c>
      <c r="AM191">
        <f t="shared" si="103"/>
        <v>877</v>
      </c>
      <c r="AN191">
        <f t="shared" si="104"/>
        <v>-438.5</v>
      </c>
      <c r="AO191">
        <f t="shared" si="105"/>
        <v>438.5</v>
      </c>
      <c r="AP191" s="16" cm="1">
        <f t="array" ref="AP191">SUMPRODUCT(1362*POWER(0.7,POWER(1/($AI$2*AK191+$AJ$2*AL191*COS(RADIANS(0.25*(_xlfn.SEQUENCE(AO191-AN191,1,AN191+1))))+0.50572*POWER(96.07995-DEGREES(ACOS($AI$2*AK191+$AJ$2*AL191*COS(RADIANS(0.25*(_xlfn.SEQUENCE(AO191-AN191,1,AN191+1)))))),-1.6364)),0.678))*IF(AL191*COS(RADIANS(0.25*(_xlfn.SEQUENCE(AO191-AN191,1,AN191+1))))&gt;0,AL191*COS(RADIANS(0.25*(_xlfn.SEQUENCE(AO191-AN191,1,AN191+1)))),0)/60)</f>
        <v>6308.8679439909156</v>
      </c>
      <c r="AQ191" s="17" cm="1">
        <f t="array" ref="AQ191">SUMPRODUCT(1362*POWER(0.7,POWER(1/($AI$2*AK191+$AJ$2*AL191*COS(RADIANS(0.25*(_xlfn.SEQUENCE(AO191-AN191,1,AN191+1))))+0.50572*POWER(96.07995-DEGREES(ACOS($AI$2*AK191+$AJ$2*AL191*COS(RADIANS(0.25*(_xlfn.SEQUENCE(AO191-AN191,1,AN191+1)))))),-1.6364)),0.678))/60)</f>
        <v>10797.928836957402</v>
      </c>
      <c r="AR191" s="15">
        <f t="shared" si="106"/>
        <v>1.711547766226782</v>
      </c>
      <c r="AT191">
        <v>0.42534803569806545</v>
      </c>
      <c r="AU191">
        <v>64.827305076356154</v>
      </c>
      <c r="AV191">
        <v>2.3410539609037362</v>
      </c>
      <c r="AW191">
        <v>721.81453555599774</v>
      </c>
    </row>
    <row r="192" spans="4:49" ht="17" x14ac:dyDescent="0.2">
      <c r="D192" s="1">
        <f t="shared" si="107"/>
        <v>46213</v>
      </c>
      <c r="E192" s="6">
        <f t="shared" si="74"/>
        <v>0.5</v>
      </c>
      <c r="F192" s="2">
        <f t="shared" si="75"/>
        <v>2461232.3333333335</v>
      </c>
      <c r="G192" s="3">
        <f t="shared" si="76"/>
        <v>0.26522473191878132</v>
      </c>
      <c r="I192">
        <f t="shared" si="77"/>
        <v>108.76100835984835</v>
      </c>
      <c r="J192">
        <f t="shared" si="78"/>
        <v>9905.3675616840792</v>
      </c>
      <c r="K192">
        <f t="shared" si="79"/>
        <v>1.6697475835339457E-2</v>
      </c>
      <c r="L192">
        <f t="shared" si="80"/>
        <v>-0.17534225257864033</v>
      </c>
      <c r="M192">
        <f t="shared" si="81"/>
        <v>108.5856661072697</v>
      </c>
      <c r="N192">
        <f t="shared" si="82"/>
        <v>9905.1922194315011</v>
      </c>
      <c r="O192">
        <f t="shared" si="83"/>
        <v>1.0166276739928568</v>
      </c>
      <c r="P192">
        <f t="shared" si="84"/>
        <v>108.58221581216979</v>
      </c>
      <c r="Q192">
        <f t="shared" si="85"/>
        <v>23.43584208236037</v>
      </c>
      <c r="R192">
        <f t="shared" si="86"/>
        <v>23.438103670831506</v>
      </c>
      <c r="S192">
        <f t="shared" si="87"/>
        <v>110.12411266794813</v>
      </c>
      <c r="T192" s="19">
        <f t="shared" si="88"/>
        <v>22.149337686077327</v>
      </c>
      <c r="U192">
        <f t="shared" si="89"/>
        <v>4.3030045082042424E-2</v>
      </c>
      <c r="V192">
        <f t="shared" si="90"/>
        <v>-5.4615137569542496</v>
      </c>
      <c r="W192">
        <f t="shared" si="91"/>
        <v>109.46864049282895</v>
      </c>
      <c r="X192" s="6">
        <f t="shared" si="92"/>
        <v>0.5092145789978848</v>
      </c>
      <c r="Y192" s="6">
        <f t="shared" si="93"/>
        <v>0.20513502207335996</v>
      </c>
      <c r="Z192" s="6">
        <f t="shared" si="94"/>
        <v>0.81329413592240973</v>
      </c>
      <c r="AA192" s="19">
        <f t="shared" si="95"/>
        <v>875.74912394263163</v>
      </c>
      <c r="AB192">
        <f t="shared" si="96"/>
        <v>706.73100624304584</v>
      </c>
      <c r="AC192">
        <f t="shared" si="97"/>
        <v>-3.31724843923854</v>
      </c>
      <c r="AD192">
        <f t="shared" si="72"/>
        <v>15.712930068833741</v>
      </c>
      <c r="AE192">
        <f t="shared" si="98"/>
        <v>74.287069931166258</v>
      </c>
      <c r="AF192">
        <f t="shared" si="99"/>
        <v>4.5399342696488092E-3</v>
      </c>
      <c r="AG192">
        <f t="shared" si="100"/>
        <v>74.291609865435902</v>
      </c>
      <c r="AH192">
        <f t="shared" si="73"/>
        <v>168.58590476862946</v>
      </c>
      <c r="AK192">
        <f t="shared" si="101"/>
        <v>0.37702196205436672</v>
      </c>
      <c r="AL192">
        <f t="shared" si="102"/>
        <v>0.92620431878105369</v>
      </c>
      <c r="AM192">
        <f t="shared" si="103"/>
        <v>876</v>
      </c>
      <c r="AN192">
        <f t="shared" si="104"/>
        <v>-438</v>
      </c>
      <c r="AO192">
        <f t="shared" si="105"/>
        <v>438</v>
      </c>
      <c r="AP192" s="16" cm="1">
        <f t="array" ref="AP192">SUMPRODUCT(1362*POWER(0.7,POWER(1/($AI$2*AK192+$AJ$2*AL192*COS(RADIANS(0.25*(_xlfn.SEQUENCE(AO192-AN192,1,AN192+1))))+0.50572*POWER(96.07995-DEGREES(ACOS($AI$2*AK192+$AJ$2*AL192*COS(RADIANS(0.25*(_xlfn.SEQUENCE(AO192-AN192,1,AN192+1)))))),-1.6364)),0.678))*IF(AL192*COS(RADIANS(0.25*(_xlfn.SEQUENCE(AO192-AN192,1,AN192+1))))&gt;0,AL192*COS(RADIANS(0.25*(_xlfn.SEQUENCE(AO192-AN192,1,AN192+1)))),0)/60)</f>
        <v>6312.6664715170391</v>
      </c>
      <c r="AQ192" s="17" cm="1">
        <f t="array" ref="AQ192">SUMPRODUCT(1362*POWER(0.7,POWER(1/($AI$2*AK192+$AJ$2*AL192*COS(RADIANS(0.25*(_xlfn.SEQUENCE(AO192-AN192,1,AN192+1))))+0.50572*POWER(96.07995-DEGREES(ACOS($AI$2*AK192+$AJ$2*AL192*COS(RADIANS(0.25*(_xlfn.SEQUENCE(AO192-AN192,1,AN192+1)))))),-1.6364)),0.678))/60)</f>
        <v>10784.922759857369</v>
      </c>
      <c r="AR192" s="15">
        <f t="shared" si="106"/>
        <v>1.7084575604491856</v>
      </c>
      <c r="AT192">
        <v>0.42666818356175618</v>
      </c>
      <c r="AU192">
        <v>64.743700240625728</v>
      </c>
      <c r="AV192">
        <v>2.3338841439945357</v>
      </c>
      <c r="AW192">
        <v>722.7673017849288</v>
      </c>
    </row>
    <row r="193" spans="4:49" ht="17" x14ac:dyDescent="0.2">
      <c r="D193" s="1">
        <f t="shared" si="107"/>
        <v>46214</v>
      </c>
      <c r="E193" s="6">
        <f t="shared" si="74"/>
        <v>0.5</v>
      </c>
      <c r="F193" s="2">
        <f t="shared" si="75"/>
        <v>2461233.3333333335</v>
      </c>
      <c r="G193" s="3">
        <f t="shared" si="76"/>
        <v>0.26525211042665264</v>
      </c>
      <c r="I193">
        <f t="shared" si="77"/>
        <v>109.746655724417</v>
      </c>
      <c r="J193">
        <f t="shared" si="78"/>
        <v>9906.3531619635723</v>
      </c>
      <c r="K193">
        <f t="shared" si="79"/>
        <v>1.6697474682588975E-2</v>
      </c>
      <c r="L193">
        <f t="shared" si="80"/>
        <v>-0.20742440928878234</v>
      </c>
      <c r="M193">
        <f t="shared" si="81"/>
        <v>109.53923131512822</v>
      </c>
      <c r="N193">
        <f t="shared" si="82"/>
        <v>9906.1457375542832</v>
      </c>
      <c r="O193">
        <f t="shared" si="83"/>
        <v>1.0165992964094854</v>
      </c>
      <c r="P193">
        <f t="shared" si="84"/>
        <v>109.53578492186553</v>
      </c>
      <c r="Q193">
        <f t="shared" si="85"/>
        <v>23.43584172632622</v>
      </c>
      <c r="R193">
        <f t="shared" si="86"/>
        <v>23.438102205226137</v>
      </c>
      <c r="S193">
        <f t="shared" si="87"/>
        <v>111.14301319319569</v>
      </c>
      <c r="T193" s="19">
        <f t="shared" si="88"/>
        <v>22.015679156049881</v>
      </c>
      <c r="U193">
        <f t="shared" si="89"/>
        <v>4.3030039547558636E-2</v>
      </c>
      <c r="V193">
        <f t="shared" si="90"/>
        <v>-5.5946359809266806</v>
      </c>
      <c r="W193">
        <f t="shared" si="91"/>
        <v>109.3404098732483</v>
      </c>
      <c r="X193" s="6">
        <f t="shared" si="92"/>
        <v>0.50930702498675451</v>
      </c>
      <c r="Y193" s="6">
        <f t="shared" si="93"/>
        <v>0.20558366422773144</v>
      </c>
      <c r="Z193" s="6">
        <f t="shared" si="94"/>
        <v>0.81303038574577757</v>
      </c>
      <c r="AA193" s="19">
        <f t="shared" si="95"/>
        <v>874.72327898598644</v>
      </c>
      <c r="AB193">
        <f t="shared" si="96"/>
        <v>706.59788401907326</v>
      </c>
      <c r="AC193">
        <f t="shared" si="97"/>
        <v>-3.3505289952316843</v>
      </c>
      <c r="AD193">
        <f t="shared" si="72"/>
        <v>15.849881154067118</v>
      </c>
      <c r="AE193">
        <f t="shared" si="98"/>
        <v>74.15011884593288</v>
      </c>
      <c r="AF193">
        <f t="shared" si="99"/>
        <v>4.5815794443383887E-3</v>
      </c>
      <c r="AG193">
        <f t="shared" si="100"/>
        <v>74.154700425377214</v>
      </c>
      <c r="AH193">
        <f t="shared" si="73"/>
        <v>168.55740931761284</v>
      </c>
      <c r="AK193">
        <f t="shared" si="101"/>
        <v>0.37486030593422581</v>
      </c>
      <c r="AL193">
        <f t="shared" si="102"/>
        <v>0.92708130767203945</v>
      </c>
      <c r="AM193">
        <f t="shared" si="103"/>
        <v>875</v>
      </c>
      <c r="AN193">
        <f t="shared" si="104"/>
        <v>-437.5</v>
      </c>
      <c r="AO193">
        <f t="shared" si="105"/>
        <v>437.5</v>
      </c>
      <c r="AP193" s="16" cm="1">
        <f t="array" ref="AP193">SUMPRODUCT(1362*POWER(0.7,POWER(1/($AI$2*AK193+$AJ$2*AL193*COS(RADIANS(0.25*(_xlfn.SEQUENCE(AO193-AN193,1,AN193+1))))+0.50572*POWER(96.07995-DEGREES(ACOS($AI$2*AK193+$AJ$2*AL193*COS(RADIANS(0.25*(_xlfn.SEQUENCE(AO193-AN193,1,AN193+1)))))),-1.6364)),0.678))*IF(AL193*COS(RADIANS(0.25*(_xlfn.SEQUENCE(AO193-AN193,1,AN193+1))))&gt;0,AL193*COS(RADIANS(0.25*(_xlfn.SEQUENCE(AO193-AN193,1,AN193+1)))),0)/60)</f>
        <v>6316.6217409140017</v>
      </c>
      <c r="AQ193" s="17" cm="1">
        <f t="array" ref="AQ193">SUMPRODUCT(1362*POWER(0.7,POWER(1/($AI$2*AK193+$AJ$2*AL193*COS(RADIANS(0.25*(_xlfn.SEQUENCE(AO193-AN193,1,AN193+1))))+0.50572*POWER(96.07995-DEGREES(ACOS($AI$2*AK193+$AJ$2*AL193*COS(RADIANS(0.25*(_xlfn.SEQUENCE(AO193-AN193,1,AN193+1)))))),-1.6364)),0.678))/60)</f>
        <v>10771.280215588818</v>
      </c>
      <c r="AR193" s="15">
        <f t="shared" si="106"/>
        <v>1.7052279932833587</v>
      </c>
      <c r="AT193">
        <v>0.42797567922380797</v>
      </c>
      <c r="AU193">
        <v>64.660839901389707</v>
      </c>
      <c r="AV193">
        <v>2.3268259324381542</v>
      </c>
      <c r="AW193">
        <v>723.70738847941925</v>
      </c>
    </row>
    <row r="194" spans="4:49" ht="17" x14ac:dyDescent="0.2">
      <c r="D194" s="1">
        <f t="shared" si="107"/>
        <v>46215</v>
      </c>
      <c r="E194" s="6">
        <f t="shared" si="74"/>
        <v>0.5</v>
      </c>
      <c r="F194" s="2">
        <f t="shared" si="75"/>
        <v>2461234.3333333335</v>
      </c>
      <c r="G194" s="3">
        <f t="shared" si="76"/>
        <v>0.26527948893452397</v>
      </c>
      <c r="I194">
        <f t="shared" si="77"/>
        <v>110.73230308898565</v>
      </c>
      <c r="J194">
        <f t="shared" si="78"/>
        <v>9907.3387622430655</v>
      </c>
      <c r="K194">
        <f t="shared" si="79"/>
        <v>1.6697473529838303E-2</v>
      </c>
      <c r="L194">
        <f t="shared" si="80"/>
        <v>-0.23944885942211361</v>
      </c>
      <c r="M194">
        <f t="shared" si="81"/>
        <v>110.49285422956353</v>
      </c>
      <c r="N194">
        <f t="shared" si="82"/>
        <v>9907.0993133836437</v>
      </c>
      <c r="O194">
        <f t="shared" si="83"/>
        <v>1.0165661655242657</v>
      </c>
      <c r="P194">
        <f t="shared" si="84"/>
        <v>110.48941173622161</v>
      </c>
      <c r="Q194">
        <f t="shared" si="85"/>
        <v>23.435841370292071</v>
      </c>
      <c r="R194">
        <f t="shared" si="86"/>
        <v>23.438100737689918</v>
      </c>
      <c r="S194">
        <f t="shared" si="87"/>
        <v>112.16000985466391</v>
      </c>
      <c r="T194" s="19">
        <f t="shared" si="88"/>
        <v>21.875727234172938</v>
      </c>
      <c r="U194">
        <f t="shared" si="89"/>
        <v>4.3030034005783882E-2</v>
      </c>
      <c r="V194">
        <f t="shared" si="90"/>
        <v>-5.7201544359500049</v>
      </c>
      <c r="W194">
        <f t="shared" si="91"/>
        <v>109.2065149579749</v>
      </c>
      <c r="X194" s="6">
        <f t="shared" si="92"/>
        <v>0.50939419058052082</v>
      </c>
      <c r="Y194" s="6">
        <f t="shared" si="93"/>
        <v>0.20604276014170161</v>
      </c>
      <c r="Z194" s="6">
        <f t="shared" si="94"/>
        <v>0.81274562101933989</v>
      </c>
      <c r="AA194" s="19">
        <f t="shared" si="95"/>
        <v>873.65211966379923</v>
      </c>
      <c r="AB194">
        <f t="shared" si="96"/>
        <v>706.47236556405005</v>
      </c>
      <c r="AC194">
        <f t="shared" si="97"/>
        <v>-3.3819086089874872</v>
      </c>
      <c r="AD194">
        <f t="shared" ref="AD194:AD257" si="108">DEGREES(ACOS(SIN(RADIANS($B$2))*SIN(RADIANS(T194))+COS(RADIANS($B$2))*COS(RADIANS(T194))*COS(RADIANS(AC194))))</f>
        <v>15.992741883928735</v>
      </c>
      <c r="AE194">
        <f t="shared" si="98"/>
        <v>74.00725811607127</v>
      </c>
      <c r="AF194">
        <f t="shared" si="99"/>
        <v>4.625081718882749E-3</v>
      </c>
      <c r="AG194">
        <f t="shared" si="100"/>
        <v>74.011883197790155</v>
      </c>
      <c r="AH194">
        <f t="shared" ref="AH194:AH257" si="109">IF(AC194&gt;0,MOD(DEGREES(ACOS(((SIN(RADIANS($B$2))*COS(RADIANS(AD194)))-SIN(RADIANS(T194)))/(COS(RADIANS($B$2))*SIN(RADIANS(AD194)))))+180,360),MOD(540-DEGREES(ACOS(((SIN(RADIANS($B$2))*COS(RADIANS(AD194)))-SIN(RADIANS(T194)))/(COS(RADIANS($B$2))*SIN(RADIANS(AD194))))),360))</f>
        <v>168.53936555519897</v>
      </c>
      <c r="AK194">
        <f t="shared" si="101"/>
        <v>0.37259468086162012</v>
      </c>
      <c r="AL194">
        <f t="shared" si="102"/>
        <v>0.92799418306023207</v>
      </c>
      <c r="AM194">
        <f t="shared" si="103"/>
        <v>874</v>
      </c>
      <c r="AN194">
        <f t="shared" si="104"/>
        <v>-437</v>
      </c>
      <c r="AO194">
        <f t="shared" si="105"/>
        <v>437</v>
      </c>
      <c r="AP194" s="16" cm="1">
        <f t="array" ref="AP194">SUMPRODUCT(1362*POWER(0.7,POWER(1/($AI$2*AK194+$AJ$2*AL194*COS(RADIANS(0.25*(_xlfn.SEQUENCE(AO194-AN194,1,AN194+1))))+0.50572*POWER(96.07995-DEGREES(ACOS($AI$2*AK194+$AJ$2*AL194*COS(RADIANS(0.25*(_xlfn.SEQUENCE(AO194-AN194,1,AN194+1)))))),-1.6364)),0.678))*IF(AL194*COS(RADIANS(0.25*(_xlfn.SEQUENCE(AO194-AN194,1,AN194+1))))&gt;0,AL194*COS(RADIANS(0.25*(_xlfn.SEQUENCE(AO194-AN194,1,AN194+1)))),0)/60)</f>
        <v>6320.6895070788669</v>
      </c>
      <c r="AQ194" s="17" cm="1">
        <f t="array" ref="AQ194">SUMPRODUCT(1362*POWER(0.7,POWER(1/($AI$2*AK194+$AJ$2*AL194*COS(RADIANS(0.25*(_xlfn.SEQUENCE(AO194-AN194,1,AN194+1))))+0.50572*POWER(96.07995-DEGREES(ACOS($AI$2*AK194+$AJ$2*AL194*COS(RADIANS(0.25*(_xlfn.SEQUENCE(AO194-AN194,1,AN194+1)))))),-1.6364)),0.678))/60)</f>
        <v>10757.007037138024</v>
      </c>
      <c r="AR194" s="15">
        <f t="shared" si="106"/>
        <v>1.701872402542586</v>
      </c>
      <c r="AT194">
        <v>0.42927049779138804</v>
      </c>
      <c r="AU194">
        <v>64.5787269925423</v>
      </c>
      <c r="AV194">
        <v>2.3198778444720025</v>
      </c>
      <c r="AW194">
        <v>724.63490104470395</v>
      </c>
    </row>
    <row r="195" spans="4:49" ht="17" x14ac:dyDescent="0.2">
      <c r="D195" s="1">
        <f t="shared" si="107"/>
        <v>46216</v>
      </c>
      <c r="E195" s="6">
        <f t="shared" ref="E195:E258" si="110">$B$5</f>
        <v>0.5</v>
      </c>
      <c r="F195" s="2">
        <f t="shared" ref="F195:F258" si="111">D195+2415018.5+E195-$B$4/24</f>
        <v>2461235.3333333335</v>
      </c>
      <c r="G195" s="3">
        <f t="shared" ref="G195:G258" si="112">(F195-2451545)/36525</f>
        <v>0.26530686744239529</v>
      </c>
      <c r="I195">
        <f t="shared" ref="I195:I258" si="113">MOD(280.46646+G195*(36000.76983 + G195*0.0003032),360)</f>
        <v>111.71795045355429</v>
      </c>
      <c r="J195">
        <f t="shared" ref="J195:J258" si="114">357.52911+G195*(35999.05029 - 0.0001537*G195)</f>
        <v>9908.324362522555</v>
      </c>
      <c r="K195">
        <f t="shared" ref="K195:K258" si="115">0.016708634-G195*(0.000042037+0.0000001267*G195)</f>
        <v>1.6697472377087439E-2</v>
      </c>
      <c r="L195">
        <f t="shared" ref="L195:L258" si="116">SIN(RADIANS(J195))*(1.914602-G195*(0.004817+0.000014*G195))+SIN(RADIANS(2*J195))*(0.019993-0.000101*G195)+SIN(RADIANS(3*J195))*0.000289</f>
        <v>-0.27140668624658448</v>
      </c>
      <c r="M195">
        <f t="shared" ref="M195:M258" si="117">I195+L195</f>
        <v>111.44654376730772</v>
      </c>
      <c r="N195">
        <f t="shared" ref="N195:N258" si="118">J195+L195</f>
        <v>9908.0529558363087</v>
      </c>
      <c r="O195">
        <f t="shared" ref="O195:O258" si="119">(1.000001018*(1-K195*K195))/(1+K195*COS(RADIANS(N195)))</f>
        <v>1.01652829020493</v>
      </c>
      <c r="P195">
        <f t="shared" ref="P195:P258" si="120">M195-0.00569-0.00478*SIN(RADIANS(125.04-1934.136*G195))</f>
        <v>111.44310517196681</v>
      </c>
      <c r="Q195">
        <f t="shared" ref="Q195:Q258" si="121">23+(26+((21.448-G195*(46.815+G195*(0.00059-G195*0.001813))))/60)/60</f>
        <v>23.435841014257921</v>
      </c>
      <c r="R195">
        <f t="shared" ref="R195:R258" si="122">Q195+0.00256*COS(RADIANS(125.04-1934.136*G195))</f>
        <v>23.438099268223795</v>
      </c>
      <c r="S195">
        <f t="shared" ref="S195:S258" si="123">DEGREES(ATAN2(COS(RADIANS(P195)),COS(RADIANS(R195))*SIN(RADIANS(P195))))</f>
        <v>113.1750403140646</v>
      </c>
      <c r="T195" s="19">
        <f t="shared" ref="T195:T258" si="124">DEGREES(ASIN(SIN(RADIANS(R195))*SIN(RADIANS(P195))))</f>
        <v>21.729535793717705</v>
      </c>
      <c r="U195">
        <f t="shared" ref="U195:U258" si="125">TAN(RADIANS(R195/2))*TAN(RADIANS(R195/2))</f>
        <v>4.3030028456721721E-2</v>
      </c>
      <c r="V195">
        <f t="shared" ref="V195:V258" si="126">4*DEGREES(U195*SIN(2*RADIANS(I195))-2*K195*SIN(RADIANS(J195))+4*K195*U195*SIN(RADIANS(J195))*COS(2*RADIANS(I195))-0.5*U195*U195*SIN(4*RADIANS(I195))-1.25*K195*K195*SIN(2*RADIANS(J195)))</f>
        <v>-5.8378176003480302</v>
      </c>
      <c r="W195">
        <f t="shared" ref="W195:W258" si="127">DEGREES(ACOS(COS(RADIANS(90.833))/(COS(RADIANS($B$2))*COS(RADIANS(T195)))-TAN(RADIANS($B$2))*TAN(RADIANS(T195))))</f>
        <v>109.06705427585196</v>
      </c>
      <c r="X195" s="6">
        <f t="shared" ref="X195:X258" si="128">(720-4*$B$3-V195+$B$4*60)/1440</f>
        <v>0.50947590111135277</v>
      </c>
      <c r="Y195" s="6">
        <f t="shared" ref="Y195:Y258" si="129">(X195*1440-W195*4)/1440</f>
        <v>0.2065118614562084</v>
      </c>
      <c r="Z195" s="6">
        <f t="shared" ref="Z195:Z258" si="130">(X195*1440+W195*4)/1440</f>
        <v>0.81243994076649706</v>
      </c>
      <c r="AA195" s="19">
        <f t="shared" ref="AA195:AA258" si="131">8*W195</f>
        <v>872.53643420681567</v>
      </c>
      <c r="AB195">
        <f t="shared" ref="AB195:AB258" si="132">MOD(E195*1440+V195+4*$B$3-60*$B$4,1440)</f>
        <v>706.35470239965207</v>
      </c>
      <c r="AC195">
        <f t="shared" ref="AC195:AC258" si="133">IF(AB195/4&lt;0,AB195/4+180,AB195/4-180)</f>
        <v>-3.4113244000869827</v>
      </c>
      <c r="AD195">
        <f t="shared" si="108"/>
        <v>16.141447516708737</v>
      </c>
      <c r="AE195">
        <f t="shared" ref="AE195:AE258" si="134">90-AD195</f>
        <v>73.858552483291263</v>
      </c>
      <c r="AF195">
        <f t="shared" ref="AF195:AF258" si="135">IF(AE195&gt;85,0,IF(AE195&gt;5,58.1/TAN(RADIANS(AE195))-0.07/POWER(TAN(RADIANS(AE195)),3)+0.000086/POWER(TAN(RADIANS(AE195)),5),IF(AE195&gt;-0.575,1735+AE195*(-518.2+AE195*(103.4+AE195*(-12.79+AE195*0.711))),-20.772/TAN(RADIANS(AE195)))))/3600</f>
        <v>4.6704296566601163E-3</v>
      </c>
      <c r="AG195">
        <f t="shared" ref="AG195:AG258" si="136">AE195+AF195</f>
        <v>73.863222912947919</v>
      </c>
      <c r="AH195">
        <f t="shared" si="109"/>
        <v>168.5317030126879</v>
      </c>
      <c r="AK195">
        <f t="shared" ref="AK195:AK258" si="137">SIN(RADIANS(T195))</f>
        <v>0.37022567303651494</v>
      </c>
      <c r="AL195">
        <f t="shared" ref="AL195:AL258" si="138">COS(RADIANS(T195))</f>
        <v>0.92894184480227804</v>
      </c>
      <c r="AM195">
        <f t="shared" ref="AM195:AM258" si="139">ROUND(AA195,0)</f>
        <v>873</v>
      </c>
      <c r="AN195">
        <f t="shared" ref="AN195:AN258" si="140">-AM195/2</f>
        <v>-436.5</v>
      </c>
      <c r="AO195">
        <f t="shared" ref="AO195:AO258" si="141">AM195/2</f>
        <v>436.5</v>
      </c>
      <c r="AP195" s="16" cm="1">
        <f t="array" ref="AP195">SUMPRODUCT(1362*POWER(0.7,POWER(1/($AI$2*AK195+$AJ$2*AL195*COS(RADIANS(0.25*(_xlfn.SEQUENCE(AO195-AN195,1,AN195+1))))+0.50572*POWER(96.07995-DEGREES(ACOS($AI$2*AK195+$AJ$2*AL195*COS(RADIANS(0.25*(_xlfn.SEQUENCE(AO195-AN195,1,AN195+1)))))),-1.6364)),0.678))*IF(AL195*COS(RADIANS(0.25*(_xlfn.SEQUENCE(AO195-AN195,1,AN195+1))))&gt;0,AL195*COS(RADIANS(0.25*(_xlfn.SEQUENCE(AO195-AN195,1,AN195+1)))),0)/60)</f>
        <v>6324.8955999552654</v>
      </c>
      <c r="AQ195" s="17" cm="1">
        <f t="array" ref="AQ195">SUMPRODUCT(1362*POWER(0.7,POWER(1/($AI$2*AK195+$AJ$2*AL195*COS(RADIANS(0.25*(_xlfn.SEQUENCE(AO195-AN195,1,AN195+1))))+0.50572*POWER(96.07995-DEGREES(ACOS($AI$2*AK195+$AJ$2*AL195*COS(RADIANS(0.25*(_xlfn.SEQUENCE(AO195-AN195,1,AN195+1)))))),-1.6364)),0.678))/60)</f>
        <v>10742.109147078339</v>
      </c>
      <c r="AR195" s="15">
        <f t="shared" ref="AR195:AR258" si="142">AQ195/AP195</f>
        <v>1.6983852108411586</v>
      </c>
      <c r="AT195">
        <v>0.43055261461301741</v>
      </c>
      <c r="AU195">
        <v>64.497364436221574</v>
      </c>
      <c r="AV195">
        <v>2.313038432032219</v>
      </c>
      <c r="AW195">
        <v>725.54994296450184</v>
      </c>
    </row>
    <row r="196" spans="4:49" ht="17" x14ac:dyDescent="0.2">
      <c r="D196" s="1">
        <f t="shared" ref="D196:D259" si="143">D195+1</f>
        <v>46217</v>
      </c>
      <c r="E196" s="6">
        <f t="shared" si="110"/>
        <v>0.5</v>
      </c>
      <c r="F196" s="2">
        <f t="shared" si="111"/>
        <v>2461236.3333333335</v>
      </c>
      <c r="G196" s="3">
        <f t="shared" si="112"/>
        <v>0.26533424595026661</v>
      </c>
      <c r="I196">
        <f t="shared" si="113"/>
        <v>112.70359781812294</v>
      </c>
      <c r="J196">
        <f t="shared" si="114"/>
        <v>9909.3099628020482</v>
      </c>
      <c r="K196">
        <f t="shared" si="115"/>
        <v>1.6697471224336385E-2</v>
      </c>
      <c r="L196">
        <f t="shared" si="116"/>
        <v>-0.30328898811330313</v>
      </c>
      <c r="M196">
        <f t="shared" si="117"/>
        <v>112.40030883000964</v>
      </c>
      <c r="N196">
        <f t="shared" si="118"/>
        <v>9909.0066738139358</v>
      </c>
      <c r="O196">
        <f t="shared" si="119"/>
        <v>1.0164856805911651</v>
      </c>
      <c r="P196">
        <f t="shared" si="120"/>
        <v>112.39687413074662</v>
      </c>
      <c r="Q196">
        <f t="shared" si="121"/>
        <v>23.435840658223771</v>
      </c>
      <c r="R196">
        <f t="shared" si="122"/>
        <v>23.438097796828725</v>
      </c>
      <c r="S196">
        <f t="shared" si="123"/>
        <v>114.18804525843159</v>
      </c>
      <c r="T196" s="19">
        <f t="shared" si="124"/>
        <v>21.577160618201859</v>
      </c>
      <c r="U196">
        <f t="shared" si="125"/>
        <v>4.3030022900375775E-2</v>
      </c>
      <c r="V196">
        <f t="shared" si="126"/>
        <v>-5.9473860199935196</v>
      </c>
      <c r="W196">
        <f t="shared" si="127"/>
        <v>108.92212874794771</v>
      </c>
      <c r="X196" s="6">
        <f t="shared" si="128"/>
        <v>0.50955199029166209</v>
      </c>
      <c r="Y196" s="6">
        <f t="shared" si="129"/>
        <v>0.20699052154736289</v>
      </c>
      <c r="Z196" s="6">
        <f t="shared" si="130"/>
        <v>0.81211345903596133</v>
      </c>
      <c r="AA196" s="19">
        <f t="shared" si="131"/>
        <v>871.37702998358168</v>
      </c>
      <c r="AB196">
        <f t="shared" si="132"/>
        <v>706.24513398000659</v>
      </c>
      <c r="AC196">
        <f t="shared" si="133"/>
        <v>-3.4387165049983537</v>
      </c>
      <c r="AD196">
        <f t="shared" si="108"/>
        <v>16.295933196842142</v>
      </c>
      <c r="AE196">
        <f t="shared" si="134"/>
        <v>73.704066803157858</v>
      </c>
      <c r="AF196">
        <f t="shared" si="135"/>
        <v>4.7176121582466497E-3</v>
      </c>
      <c r="AG196">
        <f t="shared" si="136"/>
        <v>73.708784415316103</v>
      </c>
      <c r="AH196">
        <f t="shared" si="109"/>
        <v>168.53432363400987</v>
      </c>
      <c r="AK196">
        <f t="shared" si="137"/>
        <v>0.36775389370207145</v>
      </c>
      <c r="AL196">
        <f t="shared" si="138"/>
        <v>0.92992315471062748</v>
      </c>
      <c r="AM196">
        <f t="shared" si="139"/>
        <v>871</v>
      </c>
      <c r="AN196">
        <f t="shared" si="140"/>
        <v>-435.5</v>
      </c>
      <c r="AO196">
        <f t="shared" si="141"/>
        <v>435.5</v>
      </c>
      <c r="AP196" s="16" cm="1">
        <f t="array" ref="AP196">SUMPRODUCT(1362*POWER(0.7,POWER(1/($AI$2*AK196+$AJ$2*AL196*COS(RADIANS(0.25*(_xlfn.SEQUENCE(AO196-AN196,1,AN196+1))))+0.50572*POWER(96.07995-DEGREES(ACOS($AI$2*AK196+$AJ$2*AL196*COS(RADIANS(0.25*(_xlfn.SEQUENCE(AO196-AN196,1,AN196+1)))))),-1.6364)),0.678))*IF(AL196*COS(RADIANS(0.25*(_xlfn.SEQUENCE(AO196-AN196,1,AN196+1))))&gt;0,AL196*COS(RADIANS(0.25*(_xlfn.SEQUENCE(AO196-AN196,1,AN196+1)))),0)/60)</f>
        <v>6329.2040199134954</v>
      </c>
      <c r="AQ196" s="17" cm="1">
        <f t="array" ref="AQ196">SUMPRODUCT(1362*POWER(0.7,POWER(1/($AI$2*AK196+$AJ$2*AL196*COS(RADIANS(0.25*(_xlfn.SEQUENCE(AO196-AN196,1,AN196+1))))+0.50572*POWER(96.07995-DEGREES(ACOS($AI$2*AK196+$AJ$2*AL196*COS(RADIANS(0.25*(_xlfn.SEQUENCE(AO196-AN196,1,AN196+1)))))),-1.6364)),0.678))/60)</f>
        <v>10726.472637580297</v>
      </c>
      <c r="AR196" s="15">
        <f t="shared" si="142"/>
        <v>1.694758551601707</v>
      </c>
      <c r="AT196">
        <v>0.43182200527903958</v>
      </c>
      <c r="AU196">
        <v>64.416755142397463</v>
      </c>
      <c r="AV196">
        <v>2.3063062799249838</v>
      </c>
      <c r="AW196">
        <v>726.45261583435251</v>
      </c>
    </row>
    <row r="197" spans="4:49" ht="17" x14ac:dyDescent="0.2">
      <c r="D197" s="1">
        <f t="shared" si="143"/>
        <v>46218</v>
      </c>
      <c r="E197" s="6">
        <f t="shared" si="110"/>
        <v>0.5</v>
      </c>
      <c r="F197" s="2">
        <f t="shared" si="111"/>
        <v>2461237.3333333335</v>
      </c>
      <c r="G197" s="3">
        <f t="shared" si="112"/>
        <v>0.26536162445813793</v>
      </c>
      <c r="I197">
        <f t="shared" si="113"/>
        <v>113.68924518269159</v>
      </c>
      <c r="J197">
        <f t="shared" si="114"/>
        <v>9910.2955630815413</v>
      </c>
      <c r="K197">
        <f t="shared" si="115"/>
        <v>1.669747007158514E-2</v>
      </c>
      <c r="L197">
        <f t="shared" si="116"/>
        <v>-0.33508688048152008</v>
      </c>
      <c r="M197">
        <f t="shared" si="117"/>
        <v>113.35415830221007</v>
      </c>
      <c r="N197">
        <f t="shared" si="118"/>
        <v>9909.9604762010604</v>
      </c>
      <c r="O197">
        <f t="shared" si="119"/>
        <v>1.0164383480927681</v>
      </c>
      <c r="P197">
        <f t="shared" si="120"/>
        <v>113.35072749709853</v>
      </c>
      <c r="Q197">
        <f t="shared" si="121"/>
        <v>23.435840302189625</v>
      </c>
      <c r="R197">
        <f t="shared" si="122"/>
        <v>23.438096323505658</v>
      </c>
      <c r="S197">
        <f t="shared" si="123"/>
        <v>115.19896846548123</v>
      </c>
      <c r="T197" s="19">
        <f t="shared" si="124"/>
        <v>21.418659339760303</v>
      </c>
      <c r="U197">
        <f t="shared" si="125"/>
        <v>4.3030017336749639E-2</v>
      </c>
      <c r="V197">
        <f t="shared" si="126"/>
        <v>-6.0486326037908587</v>
      </c>
      <c r="W197">
        <f t="shared" si="127"/>
        <v>108.77184145033246</v>
      </c>
      <c r="X197" s="6">
        <f t="shared" si="128"/>
        <v>0.50962230041929912</v>
      </c>
      <c r="Y197" s="6">
        <f t="shared" si="129"/>
        <v>0.20747829639059784</v>
      </c>
      <c r="Z197" s="6">
        <f t="shared" si="130"/>
        <v>0.81176630444800035</v>
      </c>
      <c r="AA197" s="19">
        <f t="shared" si="131"/>
        <v>870.17473160265968</v>
      </c>
      <c r="AB197">
        <f t="shared" si="132"/>
        <v>706.14388739620904</v>
      </c>
      <c r="AC197">
        <f t="shared" si="133"/>
        <v>-3.4640281509477404</v>
      </c>
      <c r="AD197">
        <f t="shared" si="108"/>
        <v>16.456134038001444</v>
      </c>
      <c r="AE197">
        <f t="shared" si="134"/>
        <v>73.543865961998563</v>
      </c>
      <c r="AF197">
        <f t="shared" si="135"/>
        <v>4.7666184908112226E-3</v>
      </c>
      <c r="AG197">
        <f t="shared" si="136"/>
        <v>73.548632580489368</v>
      </c>
      <c r="AH197">
        <f t="shared" si="109"/>
        <v>168.54710353938344</v>
      </c>
      <c r="AK197">
        <f t="shared" si="137"/>
        <v>0.36517997905834348</v>
      </c>
      <c r="AL197">
        <f t="shared" si="138"/>
        <v>0.93093693819449863</v>
      </c>
      <c r="AM197">
        <f t="shared" si="139"/>
        <v>870</v>
      </c>
      <c r="AN197">
        <f t="shared" si="140"/>
        <v>-435</v>
      </c>
      <c r="AO197">
        <f t="shared" si="141"/>
        <v>435</v>
      </c>
      <c r="AP197" s="16" cm="1">
        <f t="array" ref="AP197">SUMPRODUCT(1362*POWER(0.7,POWER(1/($AI$2*AK197+$AJ$2*AL197*COS(RADIANS(0.25*(_xlfn.SEQUENCE(AO197-AN197,1,AN197+1))))+0.50572*POWER(96.07995-DEGREES(ACOS($AI$2*AK197+$AJ$2*AL197*COS(RADIANS(0.25*(_xlfn.SEQUENCE(AO197-AN197,1,AN197+1)))))),-1.6364)),0.678))*IF(AL197*COS(RADIANS(0.25*(_xlfn.SEQUENCE(AO197-AN197,1,AN197+1))))&gt;0,AL197*COS(RADIANS(0.25*(_xlfn.SEQUENCE(AO197-AN197,1,AN197+1)))),0)/60)</f>
        <v>6333.6048671096041</v>
      </c>
      <c r="AQ197" s="17" cm="1">
        <f t="array" ref="AQ197">SUMPRODUCT(1362*POWER(0.7,POWER(1/($AI$2*AK197+$AJ$2*AL197*COS(RADIANS(0.25*(_xlfn.SEQUENCE(AO197-AN197,1,AN197+1))))+0.50572*POWER(96.07995-DEGREES(ACOS($AI$2*AK197+$AJ$2*AL197*COS(RADIANS(0.25*(_xlfn.SEQUENCE(AO197-AN197,1,AN197+1)))))),-1.6364)),0.678))/60)</f>
        <v>10710.346137383556</v>
      </c>
      <c r="AR197" s="15">
        <f t="shared" si="142"/>
        <v>1.6910347838404571</v>
      </c>
      <c r="AT197">
        <v>0.43307864562208653</v>
      </c>
      <c r="AU197">
        <v>64.336902008457045</v>
      </c>
      <c r="AV197">
        <v>2.2996800050237964</v>
      </c>
      <c r="AW197">
        <v>727.34301939415127</v>
      </c>
    </row>
    <row r="198" spans="4:49" ht="17" x14ac:dyDescent="0.2">
      <c r="D198" s="1">
        <f t="shared" si="143"/>
        <v>46219</v>
      </c>
      <c r="E198" s="6">
        <f t="shared" si="110"/>
        <v>0.5</v>
      </c>
      <c r="F198" s="2">
        <f t="shared" si="111"/>
        <v>2461238.3333333335</v>
      </c>
      <c r="G198" s="3">
        <f t="shared" si="112"/>
        <v>0.26538900296600926</v>
      </c>
      <c r="I198">
        <f t="shared" si="113"/>
        <v>114.67489254726206</v>
      </c>
      <c r="J198">
        <f t="shared" si="114"/>
        <v>9911.2811633610308</v>
      </c>
      <c r="K198">
        <f t="shared" si="115"/>
        <v>1.6697468918833707E-2</v>
      </c>
      <c r="L198">
        <f t="shared" si="116"/>
        <v>-0.3667914979443021</v>
      </c>
      <c r="M198">
        <f t="shared" si="117"/>
        <v>114.30810104931776</v>
      </c>
      <c r="N198">
        <f t="shared" si="118"/>
        <v>9910.9143718630858</v>
      </c>
      <c r="O198">
        <f t="shared" si="119"/>
        <v>1.0163863053875646</v>
      </c>
      <c r="P198">
        <f t="shared" si="120"/>
        <v>114.30467413642795</v>
      </c>
      <c r="Q198">
        <f t="shared" si="121"/>
        <v>23.435839946155475</v>
      </c>
      <c r="R198">
        <f t="shared" si="122"/>
        <v>23.438094848255545</v>
      </c>
      <c r="S198">
        <f t="shared" si="123"/>
        <v>116.2077568616139</v>
      </c>
      <c r="T198" s="19">
        <f t="shared" si="124"/>
        <v>21.254091376822554</v>
      </c>
      <c r="U198">
        <f t="shared" si="125"/>
        <v>4.3030011765846907E-2</v>
      </c>
      <c r="V198">
        <f t="shared" si="126"/>
        <v>-6.1413428903179152</v>
      </c>
      <c r="W198">
        <f t="shared" si="127"/>
        <v>108.6162973781321</v>
      </c>
      <c r="X198" s="6">
        <f t="shared" si="128"/>
        <v>0.50968668256272076</v>
      </c>
      <c r="Y198" s="6">
        <f t="shared" si="129"/>
        <v>0.20797474540124267</v>
      </c>
      <c r="Z198" s="6">
        <f t="shared" si="130"/>
        <v>0.8113986197241988</v>
      </c>
      <c r="AA198" s="19">
        <f t="shared" si="131"/>
        <v>868.93037902505682</v>
      </c>
      <c r="AB198">
        <f t="shared" si="132"/>
        <v>706.05117710968216</v>
      </c>
      <c r="AC198">
        <f t="shared" si="133"/>
        <v>-3.4872057225794606</v>
      </c>
      <c r="AD198">
        <f t="shared" si="108"/>
        <v>16.621985193314593</v>
      </c>
      <c r="AE198">
        <f t="shared" si="134"/>
        <v>73.3780148066854</v>
      </c>
      <c r="AF198">
        <f t="shared" si="135"/>
        <v>4.8174383140805197E-3</v>
      </c>
      <c r="AG198">
        <f t="shared" si="136"/>
        <v>73.382832244999477</v>
      </c>
      <c r="AH198">
        <f t="shared" si="109"/>
        <v>168.56989483099426</v>
      </c>
      <c r="AK198">
        <f t="shared" si="137"/>
        <v>0.36250459017425235</v>
      </c>
      <c r="AL198">
        <f t="shared" si="138"/>
        <v>0.93198198593245207</v>
      </c>
      <c r="AM198">
        <f t="shared" si="139"/>
        <v>869</v>
      </c>
      <c r="AN198">
        <f t="shared" si="140"/>
        <v>-434.5</v>
      </c>
      <c r="AO198">
        <f t="shared" si="141"/>
        <v>434.5</v>
      </c>
      <c r="AP198" s="16" cm="1">
        <f t="array" ref="AP198">SUMPRODUCT(1362*POWER(0.7,POWER(1/($AI$2*AK198+$AJ$2*AL198*COS(RADIANS(0.25*(_xlfn.SEQUENCE(AO198-AN198,1,AN198+1))))+0.50572*POWER(96.07995-DEGREES(ACOS($AI$2*AK198+$AJ$2*AL198*COS(RADIANS(0.25*(_xlfn.SEQUENCE(AO198-AN198,1,AN198+1)))))),-1.6364)),0.678))*IF(AL198*COS(RADIANS(0.25*(_xlfn.SEQUENCE(AO198-AN198,1,AN198+1))))&gt;0,AL198*COS(RADIANS(0.25*(_xlfn.SEQUENCE(AO198-AN198,1,AN198+1)))),0)/60)</f>
        <v>6338.1139384676098</v>
      </c>
      <c r="AQ198" s="17" cm="1">
        <f t="array" ref="AQ198">SUMPRODUCT(1362*POWER(0.7,POWER(1/($AI$2*AK198+$AJ$2*AL198*COS(RADIANS(0.25*(_xlfn.SEQUENCE(AO198-AN198,1,AN198+1))))+0.50572*POWER(96.07995-DEGREES(ACOS($AI$2*AK198+$AJ$2*AL198*COS(RADIANS(0.25*(_xlfn.SEQUENCE(AO198-AN198,1,AN198+1)))))),-1.6364)),0.678))/60)</f>
        <v>10693.613666436751</v>
      </c>
      <c r="AR198" s="15">
        <f t="shared" si="142"/>
        <v>1.6871917687586075</v>
      </c>
      <c r="AT198">
        <v>0.43432251171753733</v>
      </c>
      <c r="AU198">
        <v>64.25780791878806</v>
      </c>
      <c r="AV198">
        <v>2.2931582554918393</v>
      </c>
      <c r="AW198">
        <v>728.22125155990068</v>
      </c>
    </row>
    <row r="199" spans="4:49" ht="17" x14ac:dyDescent="0.2">
      <c r="D199" s="1">
        <f t="shared" si="143"/>
        <v>46220</v>
      </c>
      <c r="E199" s="6">
        <f t="shared" si="110"/>
        <v>0.5</v>
      </c>
      <c r="F199" s="2">
        <f t="shared" si="111"/>
        <v>2461239.3333333335</v>
      </c>
      <c r="G199" s="3">
        <f t="shared" si="112"/>
        <v>0.26541638147388058</v>
      </c>
      <c r="I199">
        <f t="shared" si="113"/>
        <v>115.66053991183253</v>
      </c>
      <c r="J199">
        <f t="shared" si="114"/>
        <v>9912.2667636405222</v>
      </c>
      <c r="K199">
        <f t="shared" si="115"/>
        <v>1.6697467766082084E-2</v>
      </c>
      <c r="L199">
        <f t="shared" si="116"/>
        <v>-0.39839399625414273</v>
      </c>
      <c r="M199">
        <f t="shared" si="117"/>
        <v>115.26214591557839</v>
      </c>
      <c r="N199">
        <f t="shared" si="118"/>
        <v>9911.8683696442677</v>
      </c>
      <c r="O199">
        <f t="shared" si="119"/>
        <v>1.0163295664190921</v>
      </c>
      <c r="P199">
        <f t="shared" si="120"/>
        <v>115.25872289297722</v>
      </c>
      <c r="Q199">
        <f t="shared" si="121"/>
        <v>23.435839590121329</v>
      </c>
      <c r="R199">
        <f t="shared" si="122"/>
        <v>23.438093371079347</v>
      </c>
      <c r="S199">
        <f t="shared" si="123"/>
        <v>117.21436057260355</v>
      </c>
      <c r="T199" s="19">
        <f t="shared" si="124"/>
        <v>21.083517871281586</v>
      </c>
      <c r="U199">
        <f t="shared" si="125"/>
        <v>4.303000618767118E-2</v>
      </c>
      <c r="V199">
        <f t="shared" si="126"/>
        <v>-6.2253152853859968</v>
      </c>
      <c r="W199">
        <f t="shared" si="127"/>
        <v>108.4556032118047</v>
      </c>
      <c r="X199" s="6">
        <f t="shared" si="128"/>
        <v>0.50974499672596241</v>
      </c>
      <c r="Y199" s="6">
        <f t="shared" si="129"/>
        <v>0.20847943224872714</v>
      </c>
      <c r="Z199" s="6">
        <f t="shared" si="130"/>
        <v>0.8110105612031977</v>
      </c>
      <c r="AA199" s="19">
        <f t="shared" si="131"/>
        <v>867.6448256944376</v>
      </c>
      <c r="AB199">
        <f t="shared" si="132"/>
        <v>705.9672047146139</v>
      </c>
      <c r="AC199">
        <f t="shared" si="133"/>
        <v>-3.5081988213465252</v>
      </c>
      <c r="AD199">
        <f t="shared" si="108"/>
        <v>16.793421913153203</v>
      </c>
      <c r="AE199">
        <f t="shared" si="134"/>
        <v>73.206578086846804</v>
      </c>
      <c r="AF199">
        <f t="shared" si="135"/>
        <v>4.8700617029802966E-3</v>
      </c>
      <c r="AG199">
        <f t="shared" si="136"/>
        <v>73.211448148549778</v>
      </c>
      <c r="AH199">
        <f t="shared" si="109"/>
        <v>168.6025274211255</v>
      </c>
      <c r="AK199">
        <f t="shared" si="137"/>
        <v>0.35972841289779978</v>
      </c>
      <c r="AL199">
        <f t="shared" si="138"/>
        <v>0.9330570555727179</v>
      </c>
      <c r="AM199">
        <f t="shared" si="139"/>
        <v>868</v>
      </c>
      <c r="AN199">
        <f t="shared" si="140"/>
        <v>-434</v>
      </c>
      <c r="AO199">
        <f t="shared" si="141"/>
        <v>434</v>
      </c>
      <c r="AP199" s="16" cm="1">
        <f t="array" ref="AP199">SUMPRODUCT(1362*POWER(0.7,POWER(1/($AI$2*AK199+$AJ$2*AL199*COS(RADIANS(0.25*(_xlfn.SEQUENCE(AO199-AN199,1,AN199+1))))+0.50572*POWER(96.07995-DEGREES(ACOS($AI$2*AK199+$AJ$2*AL199*COS(RADIANS(0.25*(_xlfn.SEQUENCE(AO199-AN199,1,AN199+1)))))),-1.6364)),0.678))*IF(AL199*COS(RADIANS(0.25*(_xlfn.SEQUENCE(AO199-AN199,1,AN199+1))))&gt;0,AL199*COS(RADIANS(0.25*(_xlfn.SEQUENCE(AO199-AN199,1,AN199+1)))),0)/60)</f>
        <v>6342.6859366027711</v>
      </c>
      <c r="AQ199" s="17" cm="1">
        <f t="array" ref="AQ199">SUMPRODUCT(1362*POWER(0.7,POWER(1/($AI$2*AK199+$AJ$2*AL199*COS(RADIANS(0.25*(_xlfn.SEQUENCE(AO199-AN199,1,AN199+1))))+0.50572*POWER(96.07995-DEGREES(ACOS($AI$2*AK199+$AJ$2*AL199*COS(RADIANS(0.25*(_xlfn.SEQUENCE(AO199-AN199,1,AN199+1)))))),-1.6364)),0.678))/60)</f>
        <v>10676.281408619183</v>
      </c>
      <c r="AR199" s="15">
        <f t="shared" si="142"/>
        <v>1.683242953432051</v>
      </c>
      <c r="AT199">
        <v>0.43555357988397436</v>
      </c>
      <c r="AU199">
        <v>64.179475744359763</v>
      </c>
      <c r="AV199">
        <v>2.2867397100285198</v>
      </c>
      <c r="AW199">
        <v>729.08740845469993</v>
      </c>
    </row>
    <row r="200" spans="4:49" ht="17" x14ac:dyDescent="0.2">
      <c r="D200" s="1">
        <f t="shared" si="143"/>
        <v>46221</v>
      </c>
      <c r="E200" s="6">
        <f t="shared" si="110"/>
        <v>0.5</v>
      </c>
      <c r="F200" s="2">
        <f t="shared" si="111"/>
        <v>2461240.3333333335</v>
      </c>
      <c r="G200" s="3">
        <f t="shared" si="112"/>
        <v>0.2654437599817519</v>
      </c>
      <c r="I200">
        <f t="shared" si="113"/>
        <v>116.64618727640482</v>
      </c>
      <c r="J200">
        <f t="shared" si="114"/>
        <v>9913.2523639200153</v>
      </c>
      <c r="K200">
        <f t="shared" si="115"/>
        <v>1.669746661333027E-2</v>
      </c>
      <c r="L200">
        <f t="shared" si="116"/>
        <v>-0.42988555434813464</v>
      </c>
      <c r="M200">
        <f t="shared" si="117"/>
        <v>116.21630172205668</v>
      </c>
      <c r="N200">
        <f t="shared" si="118"/>
        <v>9912.8224783656678</v>
      </c>
      <c r="O200">
        <f t="shared" si="119"/>
        <v>1.0162681463940506</v>
      </c>
      <c r="P200">
        <f t="shared" si="120"/>
        <v>116.21288258780775</v>
      </c>
      <c r="Q200">
        <f t="shared" si="121"/>
        <v>23.435839234087183</v>
      </c>
      <c r="R200">
        <f t="shared" si="122"/>
        <v>23.438091891978022</v>
      </c>
      <c r="S200">
        <f t="shared" si="123"/>
        <v>118.21873296707989</v>
      </c>
      <c r="T200" s="19">
        <f t="shared" si="124"/>
        <v>20.907001625330633</v>
      </c>
      <c r="U200">
        <f t="shared" si="125"/>
        <v>4.3030000602226108E-2</v>
      </c>
      <c r="V200">
        <f t="shared" si="126"/>
        <v>-6.3003612703887937</v>
      </c>
      <c r="W200">
        <f t="shared" si="127"/>
        <v>108.28986708652995</v>
      </c>
      <c r="X200" s="6">
        <f t="shared" si="128"/>
        <v>0.50979711199332545</v>
      </c>
      <c r="Y200" s="6">
        <f t="shared" si="129"/>
        <v>0.2089919256418534</v>
      </c>
      <c r="Z200" s="6">
        <f t="shared" si="130"/>
        <v>0.81060229834479758</v>
      </c>
      <c r="AA200" s="19">
        <f t="shared" si="131"/>
        <v>866.31893669223962</v>
      </c>
      <c r="AB200">
        <f t="shared" si="132"/>
        <v>705.89215872961131</v>
      </c>
      <c r="AC200">
        <f t="shared" si="133"/>
        <v>-3.5269603175971724</v>
      </c>
      <c r="AD200">
        <f t="shared" si="108"/>
        <v>16.97037959103913</v>
      </c>
      <c r="AE200">
        <f t="shared" si="134"/>
        <v>73.029620408960866</v>
      </c>
      <c r="AF200">
        <f t="shared" si="135"/>
        <v>4.9244791670871781E-3</v>
      </c>
      <c r="AG200">
        <f t="shared" si="136"/>
        <v>73.034544888127954</v>
      </c>
      <c r="AH200">
        <f t="shared" si="109"/>
        <v>168.64481086492765</v>
      </c>
      <c r="AK200">
        <f t="shared" si="137"/>
        <v>0.35685215776439488</v>
      </c>
      <c r="AL200">
        <f t="shared" si="138"/>
        <v>0.93416087345750864</v>
      </c>
      <c r="AM200">
        <f t="shared" si="139"/>
        <v>866</v>
      </c>
      <c r="AN200">
        <f t="shared" si="140"/>
        <v>-433</v>
      </c>
      <c r="AO200">
        <f t="shared" si="141"/>
        <v>433</v>
      </c>
      <c r="AP200" s="16" cm="1">
        <f t="array" ref="AP200">SUMPRODUCT(1362*POWER(0.7,POWER(1/($AI$2*AK200+$AJ$2*AL200*COS(RADIANS(0.25*(_xlfn.SEQUENCE(AO200-AN200,1,AN200+1))))+0.50572*POWER(96.07995-DEGREES(ACOS($AI$2*AK200+$AJ$2*AL200*COS(RADIANS(0.25*(_xlfn.SEQUENCE(AO200-AN200,1,AN200+1)))))),-1.6364)),0.678))*IF(AL200*COS(RADIANS(0.25*(_xlfn.SEQUENCE(AO200-AN200,1,AN200+1))))&gt;0,AL200*COS(RADIANS(0.25*(_xlfn.SEQUENCE(AO200-AN200,1,AN200+1)))),0)/60)</f>
        <v>6347.3359964480087</v>
      </c>
      <c r="AQ200" s="17" cm="1">
        <f t="array" ref="AQ200">SUMPRODUCT(1362*POWER(0.7,POWER(1/($AI$2*AK200+$AJ$2*AL200*COS(RADIANS(0.25*(_xlfn.SEQUENCE(AO200-AN200,1,AN200+1))))+0.50572*POWER(96.07995-DEGREES(ACOS($AI$2*AK200+$AJ$2*AL200*COS(RADIANS(0.25*(_xlfn.SEQUENCE(AO200-AN200,1,AN200+1)))))),-1.6364)),0.678))/60)</f>
        <v>10658.236499509518</v>
      </c>
      <c r="AR200" s="15">
        <f t="shared" si="142"/>
        <v>1.6791668985971286</v>
      </c>
      <c r="AT200">
        <v>0.43677182668363446</v>
      </c>
      <c r="AU200">
        <v>64.101908342302082</v>
      </c>
      <c r="AV200">
        <v>2.2804230771393743</v>
      </c>
      <c r="AW200">
        <v>729.94158443899198</v>
      </c>
    </row>
    <row r="201" spans="4:49" ht="17" x14ac:dyDescent="0.2">
      <c r="D201" s="1">
        <f t="shared" si="143"/>
        <v>46222</v>
      </c>
      <c r="E201" s="6">
        <f t="shared" si="110"/>
        <v>0.5</v>
      </c>
      <c r="F201" s="2">
        <f t="shared" si="111"/>
        <v>2461241.3333333335</v>
      </c>
      <c r="G201" s="3">
        <f t="shared" si="112"/>
        <v>0.26547113848962323</v>
      </c>
      <c r="I201">
        <f t="shared" si="113"/>
        <v>117.63183464097528</v>
      </c>
      <c r="J201">
        <f t="shared" si="114"/>
        <v>9914.2379641995049</v>
      </c>
      <c r="K201">
        <f t="shared" si="115"/>
        <v>1.6697465460578268E-2</v>
      </c>
      <c r="L201">
        <f t="shared" si="116"/>
        <v>-0.46125737637300435</v>
      </c>
      <c r="M201">
        <f t="shared" si="117"/>
        <v>117.17057726460229</v>
      </c>
      <c r="N201">
        <f t="shared" si="118"/>
        <v>9913.7767068231315</v>
      </c>
      <c r="O201">
        <f t="shared" si="119"/>
        <v>1.0162020617795153</v>
      </c>
      <c r="P201">
        <f t="shared" si="120"/>
        <v>117.16716201676587</v>
      </c>
      <c r="Q201">
        <f t="shared" si="121"/>
        <v>23.435838878053033</v>
      </c>
      <c r="R201">
        <f t="shared" si="122"/>
        <v>23.438090410952523</v>
      </c>
      <c r="S201">
        <f t="shared" si="123"/>
        <v>119.22083069288308</v>
      </c>
      <c r="T201" s="19">
        <f t="shared" si="124"/>
        <v>20.724607038149195</v>
      </c>
      <c r="U201">
        <f t="shared" si="125"/>
        <v>4.3029995009515279E-2</v>
      </c>
      <c r="V201">
        <f t="shared" si="126"/>
        <v>-6.3663055814033926</v>
      </c>
      <c r="W201">
        <f t="shared" si="127"/>
        <v>108.11919836555201</v>
      </c>
      <c r="X201" s="6">
        <f t="shared" si="128"/>
        <v>0.50984290665375231</v>
      </c>
      <c r="Y201" s="6">
        <f t="shared" si="129"/>
        <v>0.20951180008277451</v>
      </c>
      <c r="Z201" s="6">
        <f t="shared" si="130"/>
        <v>0.81017401322473004</v>
      </c>
      <c r="AA201" s="19">
        <f t="shared" si="131"/>
        <v>864.95358692441607</v>
      </c>
      <c r="AB201">
        <f t="shared" si="132"/>
        <v>705.82621441859669</v>
      </c>
      <c r="AC201">
        <f t="shared" si="133"/>
        <v>-3.5434463953508271</v>
      </c>
      <c r="AD201">
        <f t="shared" si="108"/>
        <v>17.152793798291199</v>
      </c>
      <c r="AE201">
        <f t="shared" si="134"/>
        <v>72.847206201708801</v>
      </c>
      <c r="AF201">
        <f t="shared" si="135"/>
        <v>4.9806816670450345E-3</v>
      </c>
      <c r="AG201">
        <f t="shared" si="136"/>
        <v>72.85218688337585</v>
      </c>
      <c r="AH201">
        <f t="shared" si="109"/>
        <v>168.69653618179507</v>
      </c>
      <c r="AK201">
        <f t="shared" si="137"/>
        <v>0.35387655990330735</v>
      </c>
      <c r="AL201">
        <f t="shared" si="138"/>
        <v>0.93529213636756348</v>
      </c>
      <c r="AM201">
        <f t="shared" si="139"/>
        <v>865</v>
      </c>
      <c r="AN201">
        <f t="shared" si="140"/>
        <v>-432.5</v>
      </c>
      <c r="AO201">
        <f t="shared" si="141"/>
        <v>432.5</v>
      </c>
      <c r="AP201" s="16" cm="1">
        <f t="array" ref="AP201">SUMPRODUCT(1362*POWER(0.7,POWER(1/($AI$2*AK201+$AJ$2*AL201*COS(RADIANS(0.25*(_xlfn.SEQUENCE(AO201-AN201,1,AN201+1))))+0.50572*POWER(96.07995-DEGREES(ACOS($AI$2*AK201+$AJ$2*AL201*COS(RADIANS(0.25*(_xlfn.SEQUENCE(AO201-AN201,1,AN201+1)))))),-1.6364)),0.678))*IF(AL201*COS(RADIANS(0.25*(_xlfn.SEQUENCE(AO201-AN201,1,AN201+1))))&gt;0,AL201*COS(RADIANS(0.25*(_xlfn.SEQUENCE(AO201-AN201,1,AN201+1)))),0)/60)</f>
        <v>6352.0528938905127</v>
      </c>
      <c r="AQ201" s="17" cm="1">
        <f t="array" ref="AQ201">SUMPRODUCT(1362*POWER(0.7,POWER(1/($AI$2*AK201+$AJ$2*AL201*COS(RADIANS(0.25*(_xlfn.SEQUENCE(AO201-AN201,1,AN201+1))))+0.50572*POWER(96.07995-DEGREES(ACOS($AI$2*AK201+$AJ$2*AL201*COS(RADIANS(0.25*(_xlfn.SEQUENCE(AO201-AN201,1,AN201+1)))))),-1.6364)),0.678))/60)</f>
        <v>10639.728362564041</v>
      </c>
      <c r="AR201" s="15">
        <f t="shared" si="142"/>
        <v>1.6750062602276927</v>
      </c>
      <c r="AT201">
        <v>0.43797722892285462</v>
      </c>
      <c r="AU201">
        <v>64.025108555482603</v>
      </c>
      <c r="AV201">
        <v>2.2742070944285251</v>
      </c>
      <c r="AW201">
        <v>730.78387214008444</v>
      </c>
    </row>
    <row r="202" spans="4:49" ht="17" x14ac:dyDescent="0.2">
      <c r="D202" s="1">
        <f t="shared" si="143"/>
        <v>46223</v>
      </c>
      <c r="E202" s="6">
        <f t="shared" si="110"/>
        <v>0.5</v>
      </c>
      <c r="F202" s="2">
        <f t="shared" si="111"/>
        <v>2461242.3333333335</v>
      </c>
      <c r="G202" s="3">
        <f t="shared" si="112"/>
        <v>0.26549851699749455</v>
      </c>
      <c r="I202">
        <f t="shared" si="113"/>
        <v>118.61748200554757</v>
      </c>
      <c r="J202">
        <f t="shared" si="114"/>
        <v>9915.2235644789944</v>
      </c>
      <c r="K202">
        <f t="shared" si="115"/>
        <v>1.6697464307826072E-2</v>
      </c>
      <c r="L202">
        <f t="shared" si="116"/>
        <v>-0.49250069371102789</v>
      </c>
      <c r="M202">
        <f t="shared" si="117"/>
        <v>118.12498131183655</v>
      </c>
      <c r="N202">
        <f t="shared" si="118"/>
        <v>9914.7310637852825</v>
      </c>
      <c r="O202">
        <f t="shared" si="119"/>
        <v>1.0161313302999107</v>
      </c>
      <c r="P202">
        <f t="shared" si="120"/>
        <v>118.12156994846961</v>
      </c>
      <c r="Q202">
        <f t="shared" si="121"/>
        <v>23.435838522018887</v>
      </c>
      <c r="R202">
        <f t="shared" si="122"/>
        <v>23.438088928003815</v>
      </c>
      <c r="S202">
        <f t="shared" si="123"/>
        <v>120.22061370646573</v>
      </c>
      <c r="T202" s="19">
        <f t="shared" si="124"/>
        <v>20.536400042602768</v>
      </c>
      <c r="U202">
        <f t="shared" si="125"/>
        <v>4.3029989409542356E-2</v>
      </c>
      <c r="V202">
        <f t="shared" si="126"/>
        <v>-6.4229863591239917</v>
      </c>
      <c r="W202">
        <f t="shared" si="127"/>
        <v>107.94370741824559</v>
      </c>
      <c r="X202" s="6">
        <f t="shared" si="128"/>
        <v>0.50988226830494721</v>
      </c>
      <c r="Y202" s="6">
        <f t="shared" si="129"/>
        <v>0.21003863658759833</v>
      </c>
      <c r="Z202" s="6">
        <f t="shared" si="130"/>
        <v>0.80972590002229605</v>
      </c>
      <c r="AA202" s="19">
        <f t="shared" si="131"/>
        <v>863.54965934596476</v>
      </c>
      <c r="AB202">
        <f t="shared" si="132"/>
        <v>705.76953364087603</v>
      </c>
      <c r="AC202">
        <f t="shared" si="133"/>
        <v>-3.5576165897809915</v>
      </c>
      <c r="AD202">
        <f t="shared" si="108"/>
        <v>17.340600308106257</v>
      </c>
      <c r="AE202">
        <f t="shared" si="134"/>
        <v>72.659399691893739</v>
      </c>
      <c r="AF202">
        <f t="shared" si="135"/>
        <v>5.0386606281203625E-3</v>
      </c>
      <c r="AG202">
        <f t="shared" si="136"/>
        <v>72.664438352521856</v>
      </c>
      <c r="AH202">
        <f t="shared" si="109"/>
        <v>168.75747765120968</v>
      </c>
      <c r="AK202">
        <f t="shared" si="137"/>
        <v>0.35080237894206268</v>
      </c>
      <c r="AL202">
        <f t="shared" si="138"/>
        <v>0.93644951328333204</v>
      </c>
      <c r="AM202">
        <f t="shared" si="139"/>
        <v>864</v>
      </c>
      <c r="AN202">
        <f t="shared" si="140"/>
        <v>-432</v>
      </c>
      <c r="AO202">
        <f t="shared" si="141"/>
        <v>432</v>
      </c>
      <c r="AP202" s="16" cm="1">
        <f t="array" ref="AP202">SUMPRODUCT(1362*POWER(0.7,POWER(1/($AI$2*AK202+$AJ$2*AL202*COS(RADIANS(0.25*(_xlfn.SEQUENCE(AO202-AN202,1,AN202+1))))+0.50572*POWER(96.07995-DEGREES(ACOS($AI$2*AK202+$AJ$2*AL202*COS(RADIANS(0.25*(_xlfn.SEQUENCE(AO202-AN202,1,AN202+1)))))),-1.6364)),0.678))*IF(AL202*COS(RADIANS(0.25*(_xlfn.SEQUENCE(AO202-AN202,1,AN202+1))))&gt;0,AL202*COS(RADIANS(0.25*(_xlfn.SEQUENCE(AO202-AN202,1,AN202+1)))),0)/60)</f>
        <v>6356.7995741033465</v>
      </c>
      <c r="AQ202" s="17" cm="1">
        <f t="array" ref="AQ202">SUMPRODUCT(1362*POWER(0.7,POWER(1/($AI$2*AK202+$AJ$2*AL202*COS(RADIANS(0.25*(_xlfn.SEQUENCE(AO202-AN202,1,AN202+1))))+0.50572*POWER(96.07995-DEGREES(ACOS($AI$2*AK202+$AJ$2*AL202*COS(RADIANS(0.25*(_xlfn.SEQUENCE(AO202-AN202,1,AN202+1)))))),-1.6364)),0.678))/60)</f>
        <v>10620.639698164458</v>
      </c>
      <c r="AR202" s="15">
        <f t="shared" si="142"/>
        <v>1.670752644370189</v>
      </c>
      <c r="AT202">
        <v>0.4391697636525137</v>
      </c>
      <c r="AU202">
        <v>63.94907921208182</v>
      </c>
      <c r="AV202">
        <v>2.2680905279129231</v>
      </c>
      <c r="AW202">
        <v>731.61436248096197</v>
      </c>
    </row>
    <row r="203" spans="4:49" ht="17" x14ac:dyDescent="0.2">
      <c r="D203" s="1">
        <f t="shared" si="143"/>
        <v>46224</v>
      </c>
      <c r="E203" s="6">
        <f t="shared" si="110"/>
        <v>0.5</v>
      </c>
      <c r="F203" s="2">
        <f t="shared" si="111"/>
        <v>2461243.3333333335</v>
      </c>
      <c r="G203" s="3">
        <f t="shared" si="112"/>
        <v>0.26552589550536587</v>
      </c>
      <c r="I203">
        <f t="shared" si="113"/>
        <v>119.60312937011986</v>
      </c>
      <c r="J203">
        <f t="shared" si="114"/>
        <v>9916.2091647584839</v>
      </c>
      <c r="K203">
        <f t="shared" si="115"/>
        <v>1.6697463155073689E-2</v>
      </c>
      <c r="L203">
        <f t="shared" si="116"/>
        <v>-0.52360676700477016</v>
      </c>
      <c r="M203">
        <f t="shared" si="117"/>
        <v>119.07952260311509</v>
      </c>
      <c r="N203">
        <f t="shared" si="118"/>
        <v>9915.6855579914791</v>
      </c>
      <c r="O203">
        <f t="shared" si="119"/>
        <v>1.0160559709337504</v>
      </c>
      <c r="P203">
        <f t="shared" si="120"/>
        <v>119.07611512227128</v>
      </c>
      <c r="Q203">
        <f t="shared" si="121"/>
        <v>23.435838165984741</v>
      </c>
      <c r="R203">
        <f t="shared" si="122"/>
        <v>23.438087443132861</v>
      </c>
      <c r="S203">
        <f t="shared" si="123"/>
        <v>121.21804529545399</v>
      </c>
      <c r="T203" s="19">
        <f t="shared" si="124"/>
        <v>20.342448042130673</v>
      </c>
      <c r="U203">
        <f t="shared" si="125"/>
        <v>4.3029983802310948E-2</v>
      </c>
      <c r="V203">
        <f t="shared" si="126"/>
        <v>-6.4702552698078621</v>
      </c>
      <c r="W203">
        <f t="shared" si="127"/>
        <v>107.76350540362752</v>
      </c>
      <c r="X203" s="6">
        <f t="shared" si="128"/>
        <v>0.50991509393736656</v>
      </c>
      <c r="Y203" s="6">
        <f t="shared" si="129"/>
        <v>0.21057202337173458</v>
      </c>
      <c r="Z203" s="6">
        <f t="shared" si="130"/>
        <v>0.80925816450299848</v>
      </c>
      <c r="AA203" s="19">
        <f t="shared" si="131"/>
        <v>862.10804322902015</v>
      </c>
      <c r="AB203">
        <f t="shared" si="132"/>
        <v>705.72226473019214</v>
      </c>
      <c r="AC203">
        <f t="shared" si="133"/>
        <v>-3.5694338174519658</v>
      </c>
      <c r="AD203">
        <f t="shared" si="108"/>
        <v>17.533735109804581</v>
      </c>
      <c r="AE203">
        <f t="shared" si="134"/>
        <v>72.466264890195419</v>
      </c>
      <c r="AF203">
        <f t="shared" si="135"/>
        <v>5.0984079510800612E-3</v>
      </c>
      <c r="AG203">
        <f t="shared" si="136"/>
        <v>72.4713632981465</v>
      </c>
      <c r="AH203">
        <f t="shared" si="109"/>
        <v>168.82739457065213</v>
      </c>
      <c r="AK203">
        <f t="shared" si="137"/>
        <v>0.34763039890883562</v>
      </c>
      <c r="AL203">
        <f t="shared" si="138"/>
        <v>0.937631647159205</v>
      </c>
      <c r="AM203">
        <f t="shared" si="139"/>
        <v>862</v>
      </c>
      <c r="AN203">
        <f t="shared" si="140"/>
        <v>-431</v>
      </c>
      <c r="AO203">
        <f t="shared" si="141"/>
        <v>431</v>
      </c>
      <c r="AP203" s="16" cm="1">
        <f t="array" ref="AP203">SUMPRODUCT(1362*POWER(0.7,POWER(1/($AI$2*AK203+$AJ$2*AL203*COS(RADIANS(0.25*(_xlfn.SEQUENCE(AO203-AN203,1,AN203+1))))+0.50572*POWER(96.07995-DEGREES(ACOS($AI$2*AK203+$AJ$2*AL203*COS(RADIANS(0.25*(_xlfn.SEQUENCE(AO203-AN203,1,AN203+1)))))),-1.6364)),0.678))*IF(AL203*COS(RADIANS(0.25*(_xlfn.SEQUENCE(AO203-AN203,1,AN203+1))))&gt;0,AL203*COS(RADIANS(0.25*(_xlfn.SEQUENCE(AO203-AN203,1,AN203+1)))),0)/60)</f>
        <v>6361.5901162506916</v>
      </c>
      <c r="AQ203" s="17" cm="1">
        <f t="array" ref="AQ203">SUMPRODUCT(1362*POWER(0.7,POWER(1/($AI$2*AK203+$AJ$2*AL203*COS(RADIANS(0.25*(_xlfn.SEQUENCE(AO203-AN203,1,AN203+1))))+0.50572*POWER(96.07995-DEGREES(ACOS($AI$2*AK203+$AJ$2*AL203*COS(RADIANS(0.25*(_xlfn.SEQUENCE(AO203-AN203,1,AN203+1)))))),-1.6364)),0.678))/60)</f>
        <v>10600.860638424185</v>
      </c>
      <c r="AR203" s="15">
        <f t="shared" si="142"/>
        <v>1.6663853603746444</v>
      </c>
      <c r="AT203">
        <v>0.44034940816846935</v>
      </c>
      <c r="AU203">
        <v>63.87382312516668</v>
      </c>
      <c r="AV203">
        <v>2.2620721713576235</v>
      </c>
      <c r="AW203">
        <v>732.43314470841187</v>
      </c>
    </row>
    <row r="204" spans="4:49" ht="17" x14ac:dyDescent="0.2">
      <c r="D204" s="1">
        <f t="shared" si="143"/>
        <v>46225</v>
      </c>
      <c r="E204" s="6">
        <f t="shared" si="110"/>
        <v>0.5</v>
      </c>
      <c r="F204" s="2">
        <f t="shared" si="111"/>
        <v>2461244.3333333335</v>
      </c>
      <c r="G204" s="3">
        <f t="shared" si="112"/>
        <v>0.26555327401323719</v>
      </c>
      <c r="I204">
        <f t="shared" si="113"/>
        <v>120.58877673469397</v>
      </c>
      <c r="J204">
        <f t="shared" si="114"/>
        <v>9917.1947650379752</v>
      </c>
      <c r="K204">
        <f t="shared" si="115"/>
        <v>1.6697462002321119E-2</v>
      </c>
      <c r="L204">
        <f t="shared" si="116"/>
        <v>-0.55456688818254329</v>
      </c>
      <c r="M204">
        <f t="shared" si="117"/>
        <v>120.03420984651142</v>
      </c>
      <c r="N204">
        <f t="shared" si="118"/>
        <v>9916.6401981497929</v>
      </c>
      <c r="O204">
        <f t="shared" si="119"/>
        <v>1.0159760039101349</v>
      </c>
      <c r="P204">
        <f t="shared" si="120"/>
        <v>120.03080624624103</v>
      </c>
      <c r="Q204">
        <f t="shared" si="121"/>
        <v>23.435837809950595</v>
      </c>
      <c r="R204">
        <f t="shared" si="122"/>
        <v>23.438085956340625</v>
      </c>
      <c r="S204">
        <f t="shared" si="123"/>
        <v>122.21309209459666</v>
      </c>
      <c r="T204" s="19">
        <f t="shared" si="124"/>
        <v>20.142819847973353</v>
      </c>
      <c r="U204">
        <f t="shared" si="125"/>
        <v>4.3029978187824711E-2</v>
      </c>
      <c r="V204">
        <f t="shared" si="126"/>
        <v>-6.5079775975184475</v>
      </c>
      <c r="W204">
        <f t="shared" si="127"/>
        <v>107.57870405995519</v>
      </c>
      <c r="X204" s="6">
        <f t="shared" si="128"/>
        <v>0.5099412899982767</v>
      </c>
      <c r="Y204" s="6">
        <f t="shared" si="129"/>
        <v>0.21111155649840121</v>
      </c>
      <c r="Z204" s="6">
        <f t="shared" si="130"/>
        <v>0.80877102349815222</v>
      </c>
      <c r="AA204" s="19">
        <f t="shared" si="131"/>
        <v>860.62963247964149</v>
      </c>
      <c r="AB204">
        <f t="shared" si="132"/>
        <v>705.68454240248161</v>
      </c>
      <c r="AC204">
        <f t="shared" si="133"/>
        <v>-3.5788643993795972</v>
      </c>
      <c r="AD204">
        <f t="shared" si="108"/>
        <v>17.73213441401548</v>
      </c>
      <c r="AE204">
        <f t="shared" si="134"/>
        <v>72.267865585984524</v>
      </c>
      <c r="AF204">
        <f t="shared" si="135"/>
        <v>5.1599160205878904E-3</v>
      </c>
      <c r="AG204">
        <f t="shared" si="136"/>
        <v>72.273025502005112</v>
      </c>
      <c r="AH204">
        <f t="shared" si="109"/>
        <v>168.90603296502377</v>
      </c>
      <c r="AK204">
        <f t="shared" si="137"/>
        <v>0.34436142813261894</v>
      </c>
      <c r="AL204">
        <f t="shared" si="138"/>
        <v>0.93883715670741485</v>
      </c>
      <c r="AM204">
        <f t="shared" si="139"/>
        <v>861</v>
      </c>
      <c r="AN204">
        <f t="shared" si="140"/>
        <v>-430.5</v>
      </c>
      <c r="AO204">
        <f t="shared" si="141"/>
        <v>430.5</v>
      </c>
      <c r="AP204" s="16" cm="1">
        <f t="array" ref="AP204">SUMPRODUCT(1362*POWER(0.7,POWER(1/($AI$2*AK204+$AJ$2*AL204*COS(RADIANS(0.25*(_xlfn.SEQUENCE(AO204-AN204,1,AN204+1))))+0.50572*POWER(96.07995-DEGREES(ACOS($AI$2*AK204+$AJ$2*AL204*COS(RADIANS(0.25*(_xlfn.SEQUENCE(AO204-AN204,1,AN204+1)))))),-1.6364)),0.678))*IF(AL204*COS(RADIANS(0.25*(_xlfn.SEQUENCE(AO204-AN204,1,AN204+1))))&gt;0,AL204*COS(RADIANS(0.25*(_xlfn.SEQUENCE(AO204-AN204,1,AN204+1)))),0)/60)</f>
        <v>6366.4125760449542</v>
      </c>
      <c r="AQ204" s="17" cm="1">
        <f t="array" ref="AQ204">SUMPRODUCT(1362*POWER(0.7,POWER(1/($AI$2*AK204+$AJ$2*AL204*COS(RADIANS(0.25*(_xlfn.SEQUENCE(AO204-AN204,1,AN204+1))))+0.50572*POWER(96.07995-DEGREES(ACOS($AI$2*AK204+$AJ$2*AL204*COS(RADIANS(0.25*(_xlfn.SEQUENCE(AO204-AN204,1,AN204+1)))))),-1.6364)),0.678))/60)</f>
        <v>10580.636391196958</v>
      </c>
      <c r="AR204" s="15">
        <f t="shared" si="142"/>
        <v>1.6619463889300798</v>
      </c>
      <c r="AT204">
        <v>0.44151614001199069</v>
      </c>
      <c r="AU204">
        <v>63.799343092262447</v>
      </c>
      <c r="AV204">
        <v>2.2561508456313919</v>
      </c>
      <c r="AW204">
        <v>733.2403064204741</v>
      </c>
    </row>
    <row r="205" spans="4:49" ht="17" x14ac:dyDescent="0.2">
      <c r="D205" s="1">
        <f t="shared" si="143"/>
        <v>46226</v>
      </c>
      <c r="E205" s="6">
        <f t="shared" si="110"/>
        <v>0.5</v>
      </c>
      <c r="F205" s="2">
        <f t="shared" si="111"/>
        <v>2461245.3333333335</v>
      </c>
      <c r="G205" s="3">
        <f t="shared" si="112"/>
        <v>0.26558065252110852</v>
      </c>
      <c r="I205">
        <f t="shared" si="113"/>
        <v>121.57442409926807</v>
      </c>
      <c r="J205">
        <f t="shared" si="114"/>
        <v>9918.1803653174647</v>
      </c>
      <c r="K205">
        <f t="shared" si="115"/>
        <v>1.6697460849568354E-2</v>
      </c>
      <c r="L205">
        <f t="shared" si="116"/>
        <v>-0.58537238248284396</v>
      </c>
      <c r="M205">
        <f t="shared" si="117"/>
        <v>120.98905171678523</v>
      </c>
      <c r="N205">
        <f t="shared" si="118"/>
        <v>9917.5949929349827</v>
      </c>
      <c r="O205">
        <f t="shared" si="119"/>
        <v>1.0158914507050116</v>
      </c>
      <c r="P205">
        <f t="shared" si="120"/>
        <v>120.98565199513529</v>
      </c>
      <c r="Q205">
        <f t="shared" si="121"/>
        <v>23.435837453916452</v>
      </c>
      <c r="R205">
        <f t="shared" si="122"/>
        <v>23.438084467628077</v>
      </c>
      <c r="S205">
        <f t="shared" si="123"/>
        <v>123.20572409526413</v>
      </c>
      <c r="T205" s="19">
        <f t="shared" si="124"/>
        <v>19.937585616899955</v>
      </c>
      <c r="U205">
        <f t="shared" si="125"/>
        <v>4.3029972566087295E-2</v>
      </c>
      <c r="V205">
        <f t="shared" si="126"/>
        <v>-6.536032308048858</v>
      </c>
      <c r="W205">
        <f t="shared" si="127"/>
        <v>107.38941550100449</v>
      </c>
      <c r="X205" s="6">
        <f t="shared" si="128"/>
        <v>0.5099607724361449</v>
      </c>
      <c r="Y205" s="6">
        <f t="shared" si="129"/>
        <v>0.21165684048891018</v>
      </c>
      <c r="Z205" s="6">
        <f t="shared" si="130"/>
        <v>0.80826470438337961</v>
      </c>
      <c r="AA205" s="19">
        <f t="shared" si="131"/>
        <v>859.11532400803594</v>
      </c>
      <c r="AB205">
        <f t="shared" si="132"/>
        <v>705.65648769195104</v>
      </c>
      <c r="AC205">
        <f t="shared" si="133"/>
        <v>-3.5858780770122394</v>
      </c>
      <c r="AD205">
        <f t="shared" si="108"/>
        <v>17.9357346495832</v>
      </c>
      <c r="AE205">
        <f t="shared" si="134"/>
        <v>72.064265350416804</v>
      </c>
      <c r="AF205">
        <f t="shared" si="135"/>
        <v>5.2231777113163139E-3</v>
      </c>
      <c r="AG205">
        <f t="shared" si="136"/>
        <v>72.069488528128119</v>
      </c>
      <c r="AH205">
        <f t="shared" si="109"/>
        <v>168.99312723868513</v>
      </c>
      <c r="AK205">
        <f t="shared" si="137"/>
        <v>0.34099629914119595</v>
      </c>
      <c r="AL205">
        <f t="shared" si="138"/>
        <v>0.94006463818825137</v>
      </c>
      <c r="AM205">
        <f t="shared" si="139"/>
        <v>859</v>
      </c>
      <c r="AN205">
        <f t="shared" si="140"/>
        <v>-429.5</v>
      </c>
      <c r="AO205">
        <f t="shared" si="141"/>
        <v>429.5</v>
      </c>
      <c r="AP205" s="16" cm="1">
        <f t="array" ref="AP205">SUMPRODUCT(1362*POWER(0.7,POWER(1/($AI$2*AK205+$AJ$2*AL205*COS(RADIANS(0.25*(_xlfn.SEQUENCE(AO205-AN205,1,AN205+1))))+0.50572*POWER(96.07995-DEGREES(ACOS($AI$2*AK205+$AJ$2*AL205*COS(RADIANS(0.25*(_xlfn.SEQUENCE(AO205-AN205,1,AN205+1)))))),-1.6364)),0.678))*IF(AL205*COS(RADIANS(0.25*(_xlfn.SEQUENCE(AO205-AN205,1,AN205+1))))&gt;0,AL205*COS(RADIANS(0.25*(_xlfn.SEQUENCE(AO205-AN205,1,AN205+1)))),0)/60)</f>
        <v>6371.2379941750842</v>
      </c>
      <c r="AQ205" s="17" cm="1">
        <f t="array" ref="AQ205">SUMPRODUCT(1362*POWER(0.7,POWER(1/($AI$2*AK205+$AJ$2*AL205*COS(RADIANS(0.25*(_xlfn.SEQUENCE(AO205-AN205,1,AN205+1))))+0.50572*POWER(96.07995-DEGREES(ACOS($AI$2*AK205+$AJ$2*AL205*COS(RADIANS(0.25*(_xlfn.SEQUENCE(AO205-AN205,1,AN205+1)))))),-1.6364)),0.678))/60)</f>
        <v>10559.734777192582</v>
      </c>
      <c r="AR205" s="15">
        <f t="shared" si="142"/>
        <v>1.6574070513213974</v>
      </c>
      <c r="AT205">
        <v>0.44266993697018497</v>
      </c>
      <c r="AU205">
        <v>63.725641894923136</v>
      </c>
      <c r="AV205">
        <v>2.250325398081964</v>
      </c>
      <c r="AW205">
        <v>734.0359335932344</v>
      </c>
    </row>
    <row r="206" spans="4:49" ht="17" x14ac:dyDescent="0.2">
      <c r="D206" s="1">
        <f t="shared" si="143"/>
        <v>46227</v>
      </c>
      <c r="E206" s="6">
        <f t="shared" si="110"/>
        <v>0.5</v>
      </c>
      <c r="F206" s="2">
        <f t="shared" si="111"/>
        <v>2461246.3333333335</v>
      </c>
      <c r="G206" s="3">
        <f t="shared" si="112"/>
        <v>0.26560803102897984</v>
      </c>
      <c r="I206">
        <f t="shared" si="113"/>
        <v>122.56007146384218</v>
      </c>
      <c r="J206">
        <f t="shared" si="114"/>
        <v>9919.1659655969543</v>
      </c>
      <c r="K206">
        <f t="shared" si="115"/>
        <v>1.6697459696815402E-2</v>
      </c>
      <c r="L206">
        <f t="shared" si="116"/>
        <v>-0.61601461047962913</v>
      </c>
      <c r="M206">
        <f t="shared" si="117"/>
        <v>121.94405685336255</v>
      </c>
      <c r="N206">
        <f t="shared" si="118"/>
        <v>9918.5499509864749</v>
      </c>
      <c r="O206">
        <f t="shared" si="119"/>
        <v>1.0158023340371924</v>
      </c>
      <c r="P206">
        <f t="shared" si="120"/>
        <v>121.94066100837675</v>
      </c>
      <c r="Q206">
        <f t="shared" si="121"/>
        <v>23.435837097882306</v>
      </c>
      <c r="R206">
        <f t="shared" si="122"/>
        <v>23.438082976996178</v>
      </c>
      <c r="S206">
        <f t="shared" si="123"/>
        <v>124.1959146487432</v>
      </c>
      <c r="T206" s="19">
        <f t="shared" si="124"/>
        <v>19.726816789577398</v>
      </c>
      <c r="U206">
        <f t="shared" si="125"/>
        <v>4.3029966937102378E-2</v>
      </c>
      <c r="V206">
        <f t="shared" si="126"/>
        <v>-6.5543120850040548</v>
      </c>
      <c r="W206">
        <f t="shared" si="127"/>
        <v>107.19575201954203</v>
      </c>
      <c r="X206" s="6">
        <f t="shared" si="128"/>
        <v>0.50997346672569721</v>
      </c>
      <c r="Y206" s="6">
        <f t="shared" si="129"/>
        <v>0.21220748889363605</v>
      </c>
      <c r="Z206" s="6">
        <f t="shared" si="130"/>
        <v>0.80773944455775837</v>
      </c>
      <c r="AA206" s="19">
        <f t="shared" si="131"/>
        <v>857.56601615633622</v>
      </c>
      <c r="AB206">
        <f t="shared" si="132"/>
        <v>705.63820791499597</v>
      </c>
      <c r="AC206">
        <f t="shared" si="133"/>
        <v>-3.5904480212510066</v>
      </c>
      <c r="AD206">
        <f t="shared" si="108"/>
        <v>18.144472452991952</v>
      </c>
      <c r="AE206">
        <f t="shared" si="134"/>
        <v>71.855527547008052</v>
      </c>
      <c r="AF206">
        <f t="shared" si="135"/>
        <v>5.2881863919754671E-3</v>
      </c>
      <c r="AG206">
        <f t="shared" si="136"/>
        <v>71.860815733400031</v>
      </c>
      <c r="AH206">
        <f t="shared" si="109"/>
        <v>169.08840176283479</v>
      </c>
      <c r="AK206">
        <f t="shared" si="137"/>
        <v>0.33753586855673651</v>
      </c>
      <c r="AL206">
        <f t="shared" si="138"/>
        <v>0.94131266720343754</v>
      </c>
      <c r="AM206">
        <f t="shared" si="139"/>
        <v>858</v>
      </c>
      <c r="AN206">
        <f t="shared" si="140"/>
        <v>-429</v>
      </c>
      <c r="AO206">
        <f t="shared" si="141"/>
        <v>429</v>
      </c>
      <c r="AP206" s="16" cm="1">
        <f t="array" ref="AP206">SUMPRODUCT(1362*POWER(0.7,POWER(1/($AI$2*AK206+$AJ$2*AL206*COS(RADIANS(0.25*(_xlfn.SEQUENCE(AO206-AN206,1,AN206+1))))+0.50572*POWER(96.07995-DEGREES(ACOS($AI$2*AK206+$AJ$2*AL206*COS(RADIANS(0.25*(_xlfn.SEQUENCE(AO206-AN206,1,AN206+1)))))),-1.6364)),0.678))*IF(AL206*COS(RADIANS(0.25*(_xlfn.SEQUENCE(AO206-AN206,1,AN206+1))))&gt;0,AL206*COS(RADIANS(0.25*(_xlfn.SEQUENCE(AO206-AN206,1,AN206+1)))),0)/60)</f>
        <v>6376.0542794823095</v>
      </c>
      <c r="AQ206" s="17" cm="1">
        <f t="array" ref="AQ206">SUMPRODUCT(1362*POWER(0.7,POWER(1/($AI$2*AK206+$AJ$2*AL206*COS(RADIANS(0.25*(_xlfn.SEQUENCE(AO206-AN206,1,AN206+1))))+0.50572*POWER(96.07995-DEGREES(ACOS($AI$2*AK206+$AJ$2*AL206*COS(RADIANS(0.25*(_xlfn.SEQUENCE(AO206-AN206,1,AN206+1)))))),-1.6364)),0.678))/60)</f>
        <v>10538.402160253556</v>
      </c>
      <c r="AR206" s="15">
        <f t="shared" si="142"/>
        <v>1.6528093548647143</v>
      </c>
      <c r="AT206">
        <v>0.44381077707642147</v>
      </c>
      <c r="AU206">
        <v>63.652722298300532</v>
      </c>
      <c r="AV206">
        <v>2.2445947019302803</v>
      </c>
      <c r="AW206">
        <v>734.82011060697869</v>
      </c>
    </row>
    <row r="207" spans="4:49" ht="17" x14ac:dyDescent="0.2">
      <c r="D207" s="1">
        <f t="shared" si="143"/>
        <v>46228</v>
      </c>
      <c r="E207" s="6">
        <f t="shared" si="110"/>
        <v>0.5</v>
      </c>
      <c r="F207" s="2">
        <f t="shared" si="111"/>
        <v>2461247.3333333335</v>
      </c>
      <c r="G207" s="3">
        <f t="shared" si="112"/>
        <v>0.26563540953685116</v>
      </c>
      <c r="I207">
        <f t="shared" si="113"/>
        <v>123.54571882841446</v>
      </c>
      <c r="J207">
        <f t="shared" si="114"/>
        <v>9920.1515658764438</v>
      </c>
      <c r="K207">
        <f t="shared" si="115"/>
        <v>1.6697458544062259E-2</v>
      </c>
      <c r="L207">
        <f t="shared" si="116"/>
        <v>-0.64648497010653905</v>
      </c>
      <c r="M207">
        <f t="shared" si="117"/>
        <v>122.89923385830792</v>
      </c>
      <c r="N207">
        <f t="shared" si="118"/>
        <v>9919.5050809063378</v>
      </c>
      <c r="O207">
        <f t="shared" si="119"/>
        <v>1.01570867786413</v>
      </c>
      <c r="P207">
        <f t="shared" si="120"/>
        <v>122.89584188802665</v>
      </c>
      <c r="Q207">
        <f t="shared" si="121"/>
        <v>23.43583674184816</v>
      </c>
      <c r="R207">
        <f t="shared" si="122"/>
        <v>23.438081484445895</v>
      </c>
      <c r="S207">
        <f t="shared" si="123"/>
        <v>125.18364046354111</v>
      </c>
      <c r="T207" s="19">
        <f t="shared" si="124"/>
        <v>19.510586029724521</v>
      </c>
      <c r="U207">
        <f t="shared" si="125"/>
        <v>4.3029961300873575E-2</v>
      </c>
      <c r="V207">
        <f t="shared" si="126"/>
        <v>-6.5627233386210575</v>
      </c>
      <c r="W207">
        <f t="shared" si="127"/>
        <v>106.99782589845083</v>
      </c>
      <c r="X207" s="6">
        <f t="shared" si="128"/>
        <v>0.50997930787404233</v>
      </c>
      <c r="Y207" s="6">
        <f t="shared" si="129"/>
        <v>0.21276312482279003</v>
      </c>
      <c r="Z207" s="6">
        <f t="shared" si="130"/>
        <v>0.80719549092529452</v>
      </c>
      <c r="AA207" s="19">
        <f t="shared" si="131"/>
        <v>855.98260718760662</v>
      </c>
      <c r="AB207">
        <f t="shared" si="132"/>
        <v>705.62979666137903</v>
      </c>
      <c r="AC207">
        <f t="shared" si="133"/>
        <v>-3.5925508346552419</v>
      </c>
      <c r="AD207">
        <f t="shared" si="108"/>
        <v>18.358284651095406</v>
      </c>
      <c r="AE207">
        <f t="shared" si="134"/>
        <v>71.641715348904597</v>
      </c>
      <c r="AF207">
        <f t="shared" si="135"/>
        <v>5.3549359274568178E-3</v>
      </c>
      <c r="AG207">
        <f t="shared" si="136"/>
        <v>71.647070284832054</v>
      </c>
      <c r="AH207">
        <f t="shared" si="109"/>
        <v>169.19157239243771</v>
      </c>
      <c r="AK207">
        <f t="shared" si="137"/>
        <v>0.33398101698898747</v>
      </c>
      <c r="AL207">
        <f t="shared" si="138"/>
        <v>0.94257980048959333</v>
      </c>
      <c r="AM207">
        <f t="shared" si="139"/>
        <v>856</v>
      </c>
      <c r="AN207">
        <f t="shared" si="140"/>
        <v>-428</v>
      </c>
      <c r="AO207">
        <f t="shared" si="141"/>
        <v>428</v>
      </c>
      <c r="AP207" s="16" cm="1">
        <f t="array" ref="AP207">SUMPRODUCT(1362*POWER(0.7,POWER(1/($AI$2*AK207+$AJ$2*AL207*COS(RADIANS(0.25*(_xlfn.SEQUENCE(AO207-AN207,1,AN207+1))))+0.50572*POWER(96.07995-DEGREES(ACOS($AI$2*AK207+$AJ$2*AL207*COS(RADIANS(0.25*(_xlfn.SEQUENCE(AO207-AN207,1,AN207+1)))))),-1.6364)),0.678))*IF(AL207*COS(RADIANS(0.25*(_xlfn.SEQUENCE(AO207-AN207,1,AN207+1))))&gt;0,AL207*COS(RADIANS(0.25*(_xlfn.SEQUENCE(AO207-AN207,1,AN207+1)))),0)/60)</f>
        <v>6380.8657887547506</v>
      </c>
      <c r="AQ207" s="17" cm="1">
        <f t="array" ref="AQ207">SUMPRODUCT(1362*POWER(0.7,POWER(1/($AI$2*AK207+$AJ$2*AL207*COS(RADIANS(0.25*(_xlfn.SEQUENCE(AO207-AN207,1,AN207+1))))+0.50572*POWER(96.07995-DEGREES(ACOS($AI$2*AK207+$AJ$2*AL207*COS(RADIANS(0.25*(_xlfn.SEQUENCE(AO207-AN207,1,AN207+1)))))),-1.6364)),0.678))/60)</f>
        <v>10516.407082531938</v>
      </c>
      <c r="AR207" s="15">
        <f t="shared" si="142"/>
        <v>1.6481160128873755</v>
      </c>
      <c r="AT207">
        <v>0.44493863861074889</v>
      </c>
      <c r="AU207">
        <v>63.580587050712055</v>
      </c>
      <c r="AV207">
        <v>2.2389576556830897</v>
      </c>
      <c r="AW207">
        <v>735.59292027172</v>
      </c>
    </row>
    <row r="208" spans="4:49" ht="17" x14ac:dyDescent="0.2">
      <c r="D208" s="1">
        <f t="shared" si="143"/>
        <v>46229</v>
      </c>
      <c r="E208" s="6">
        <f t="shared" si="110"/>
        <v>0.5</v>
      </c>
      <c r="F208" s="2">
        <f t="shared" si="111"/>
        <v>2461248.3333333335</v>
      </c>
      <c r="G208" s="3">
        <f t="shared" si="112"/>
        <v>0.26566278804472249</v>
      </c>
      <c r="I208">
        <f t="shared" si="113"/>
        <v>124.53136619298857</v>
      </c>
      <c r="J208">
        <f t="shared" si="114"/>
        <v>9921.1371661559333</v>
      </c>
      <c r="K208">
        <f t="shared" si="115"/>
        <v>1.6697457391308925E-2</v>
      </c>
      <c r="L208">
        <f t="shared" si="116"/>
        <v>-0.67677489868139029</v>
      </c>
      <c r="M208">
        <f t="shared" si="117"/>
        <v>123.85459129430718</v>
      </c>
      <c r="N208">
        <f t="shared" si="118"/>
        <v>9920.4603912572511</v>
      </c>
      <c r="O208">
        <f t="shared" si="119"/>
        <v>1.0156105073774517</v>
      </c>
      <c r="P208">
        <f t="shared" si="120"/>
        <v>123.8512031967675</v>
      </c>
      <c r="Q208">
        <f t="shared" si="121"/>
        <v>23.435836385814017</v>
      </c>
      <c r="R208">
        <f t="shared" si="122"/>
        <v>23.438079989978206</v>
      </c>
      <c r="S208">
        <f t="shared" si="123"/>
        <v>126.16888159696443</v>
      </c>
      <c r="T208" s="19">
        <f t="shared" si="124"/>
        <v>19.288967164179326</v>
      </c>
      <c r="U208">
        <f t="shared" si="125"/>
        <v>4.3029955657404584E-2</v>
      </c>
      <c r="V208">
        <f t="shared" si="126"/>
        <v>-6.5611861879905966</v>
      </c>
      <c r="W208">
        <f t="shared" si="127"/>
        <v>106.79574922989757</v>
      </c>
      <c r="X208" s="6">
        <f t="shared" si="128"/>
        <v>0.50997824040832684</v>
      </c>
      <c r="Y208" s="6">
        <f t="shared" si="129"/>
        <v>0.21332338143638918</v>
      </c>
      <c r="Z208" s="6">
        <f t="shared" si="130"/>
        <v>0.80663309938026451</v>
      </c>
      <c r="AA208" s="19">
        <f t="shared" si="131"/>
        <v>854.36599383918053</v>
      </c>
      <c r="AB208">
        <f t="shared" si="132"/>
        <v>705.63133381200942</v>
      </c>
      <c r="AC208">
        <f t="shared" si="133"/>
        <v>-3.592166546997646</v>
      </c>
      <c r="AD208">
        <f t="shared" si="108"/>
        <v>18.577108237929526</v>
      </c>
      <c r="AE208">
        <f t="shared" si="134"/>
        <v>71.422891762070478</v>
      </c>
      <c r="AF208">
        <f t="shared" si="135"/>
        <v>5.4234206792868073E-3</v>
      </c>
      <c r="AG208">
        <f t="shared" si="136"/>
        <v>71.42831518274977</v>
      </c>
      <c r="AH208">
        <f t="shared" si="109"/>
        <v>169.30234790831889</v>
      </c>
      <c r="AK208">
        <f t="shared" si="137"/>
        <v>0.33033264892589376</v>
      </c>
      <c r="AL208">
        <f t="shared" si="138"/>
        <v>0.94386457770890109</v>
      </c>
      <c r="AM208">
        <f t="shared" si="139"/>
        <v>854</v>
      </c>
      <c r="AN208">
        <f t="shared" si="140"/>
        <v>-427</v>
      </c>
      <c r="AO208">
        <f t="shared" si="141"/>
        <v>427</v>
      </c>
      <c r="AP208" s="16" cm="1">
        <f t="array" ref="AP208">SUMPRODUCT(1362*POWER(0.7,POWER(1/($AI$2*AK208+$AJ$2*AL208*COS(RADIANS(0.25*(_xlfn.SEQUENCE(AO208-AN208,1,AN208+1))))+0.50572*POWER(96.07995-DEGREES(ACOS($AI$2*AK208+$AJ$2*AL208*COS(RADIANS(0.25*(_xlfn.SEQUENCE(AO208-AN208,1,AN208+1)))))),-1.6364)),0.678))*IF(AL208*COS(RADIANS(0.25*(_xlfn.SEQUENCE(AO208-AN208,1,AN208+1))))&gt;0,AL208*COS(RADIANS(0.25*(_xlfn.SEQUENCE(AO208-AN208,1,AN208+1)))),0)/60)</f>
        <v>6385.6515639352856</v>
      </c>
      <c r="AQ208" s="17" cm="1">
        <f t="array" ref="AQ208">SUMPRODUCT(1362*POWER(0.7,POWER(1/($AI$2*AK208+$AJ$2*AL208*COS(RADIANS(0.25*(_xlfn.SEQUENCE(AO208-AN208,1,AN208+1))))+0.50572*POWER(96.07995-DEGREES(ACOS($AI$2*AK208+$AJ$2*AL208*COS(RADIANS(0.25*(_xlfn.SEQUENCE(AO208-AN208,1,AN208+1)))))),-1.6364)),0.678))/60)</f>
        <v>10493.873407048843</v>
      </c>
      <c r="AR208" s="15">
        <f t="shared" si="142"/>
        <v>1.6433520216348578</v>
      </c>
      <c r="AT208">
        <v>0.44605350010030942</v>
      </c>
      <c r="AU208">
        <v>63.509238883207409</v>
      </c>
      <c r="AV208">
        <v>2.2334131825632939</v>
      </c>
      <c r="AW208">
        <v>736.3544438521169</v>
      </c>
    </row>
    <row r="209" spans="4:49" ht="17" x14ac:dyDescent="0.2">
      <c r="D209" s="1">
        <f t="shared" si="143"/>
        <v>46230</v>
      </c>
      <c r="E209" s="6">
        <f t="shared" si="110"/>
        <v>0.5</v>
      </c>
      <c r="F209" s="2">
        <f t="shared" si="111"/>
        <v>2461249.3333333335</v>
      </c>
      <c r="G209" s="3">
        <f t="shared" si="112"/>
        <v>0.26569016655259381</v>
      </c>
      <c r="I209">
        <f t="shared" si="113"/>
        <v>125.5170135575645</v>
      </c>
      <c r="J209">
        <f t="shared" si="114"/>
        <v>9922.122766435421</v>
      </c>
      <c r="K209">
        <f t="shared" si="115"/>
        <v>1.6697456238555404E-2</v>
      </c>
      <c r="L209">
        <f t="shared" si="116"/>
        <v>-0.70687587492967197</v>
      </c>
      <c r="M209">
        <f t="shared" si="117"/>
        <v>124.81013768263483</v>
      </c>
      <c r="N209">
        <f t="shared" si="118"/>
        <v>9921.4158905604909</v>
      </c>
      <c r="O209">
        <f t="shared" si="119"/>
        <v>1.0155078489982463</v>
      </c>
      <c r="P209">
        <f t="shared" si="120"/>
        <v>124.80675345587052</v>
      </c>
      <c r="Q209">
        <f t="shared" si="121"/>
        <v>23.435836029779875</v>
      </c>
      <c r="R209">
        <f t="shared" si="122"/>
        <v>23.438078493594084</v>
      </c>
      <c r="S209">
        <f t="shared" si="123"/>
        <v>127.15162144120393</v>
      </c>
      <c r="T209" s="19">
        <f t="shared" si="124"/>
        <v>19.062035124009235</v>
      </c>
      <c r="U209">
        <f t="shared" si="125"/>
        <v>4.3029950006699062E-2</v>
      </c>
      <c r="V209">
        <f t="shared" si="126"/>
        <v>-6.5496344174342269</v>
      </c>
      <c r="W209">
        <f t="shared" si="127"/>
        <v>106.58963374287542</v>
      </c>
      <c r="X209" s="6">
        <f t="shared" si="128"/>
        <v>0.50997021834544032</v>
      </c>
      <c r="Y209" s="6">
        <f t="shared" si="129"/>
        <v>0.21388790239300862</v>
      </c>
      <c r="Z209" s="6">
        <f t="shared" si="130"/>
        <v>0.80605253429787216</v>
      </c>
      <c r="AA209" s="19">
        <f t="shared" si="131"/>
        <v>852.71706994300337</v>
      </c>
      <c r="AB209">
        <f t="shared" si="132"/>
        <v>705.64288558256567</v>
      </c>
      <c r="AC209">
        <f t="shared" si="133"/>
        <v>-3.5892786043585829</v>
      </c>
      <c r="AD209">
        <f t="shared" si="108"/>
        <v>18.800880346358912</v>
      </c>
      <c r="AE209">
        <f t="shared" si="134"/>
        <v>71.199119653641091</v>
      </c>
      <c r="AF209">
        <f t="shared" si="135"/>
        <v>5.4936355045774937E-3</v>
      </c>
      <c r="AG209">
        <f t="shared" si="136"/>
        <v>71.204613289145669</v>
      </c>
      <c r="AH209">
        <f t="shared" si="109"/>
        <v>169.42043138124291</v>
      </c>
      <c r="AK209">
        <f t="shared" si="137"/>
        <v>0.32659169262164361</v>
      </c>
      <c r="AL209">
        <f t="shared" si="138"/>
        <v>0.94516552323417402</v>
      </c>
      <c r="AM209">
        <f t="shared" si="139"/>
        <v>853</v>
      </c>
      <c r="AN209">
        <f t="shared" si="140"/>
        <v>-426.5</v>
      </c>
      <c r="AO209">
        <f t="shared" si="141"/>
        <v>426.5</v>
      </c>
      <c r="AP209" s="16" cm="1">
        <f t="array" ref="AP209">SUMPRODUCT(1362*POWER(0.7,POWER(1/($AI$2*AK209+$AJ$2*AL209*COS(RADIANS(0.25*(_xlfn.SEQUENCE(AO209-AN209,1,AN209+1))))+0.50572*POWER(96.07995-DEGREES(ACOS($AI$2*AK209+$AJ$2*AL209*COS(RADIANS(0.25*(_xlfn.SEQUENCE(AO209-AN209,1,AN209+1)))))),-1.6364)),0.678))*IF(AL209*COS(RADIANS(0.25*(_xlfn.SEQUENCE(AO209-AN209,1,AN209+1))))&gt;0,AL209*COS(RADIANS(0.25*(_xlfn.SEQUENCE(AO209-AN209,1,AN209+1)))),0)/60)</f>
        <v>6390.4071036122887</v>
      </c>
      <c r="AQ209" s="17" cm="1">
        <f t="array" ref="AQ209">SUMPRODUCT(1362*POWER(0.7,POWER(1/($AI$2*AK209+$AJ$2*AL209*COS(RADIANS(0.25*(_xlfn.SEQUENCE(AO209-AN209,1,AN209+1))))+0.50572*POWER(96.07995-DEGREES(ACOS($AI$2*AK209+$AJ$2*AL209*COS(RADIANS(0.25*(_xlfn.SEQUENCE(AO209-AN209,1,AN209+1)))))),-1.6364)),0.678))/60)</f>
        <v>10470.933392856376</v>
      </c>
      <c r="AR209" s="15">
        <f t="shared" si="142"/>
        <v>1.6385393329538425</v>
      </c>
      <c r="AT209">
        <v>0.44715534031974746</v>
      </c>
      <c r="AU209">
        <v>63.438680509134308</v>
      </c>
      <c r="AV209">
        <v>2.2279602299574668</v>
      </c>
      <c r="AW209">
        <v>737.10476109179399</v>
      </c>
    </row>
    <row r="210" spans="4:49" ht="17" x14ac:dyDescent="0.2">
      <c r="D210" s="1">
        <f t="shared" si="143"/>
        <v>46231</v>
      </c>
      <c r="E210" s="6">
        <f t="shared" si="110"/>
        <v>0.5</v>
      </c>
      <c r="F210" s="2">
        <f t="shared" si="111"/>
        <v>2461250.3333333335</v>
      </c>
      <c r="G210" s="3">
        <f t="shared" si="112"/>
        <v>0.26571754506046513</v>
      </c>
      <c r="I210">
        <f t="shared" si="113"/>
        <v>126.50266092214042</v>
      </c>
      <c r="J210">
        <f t="shared" si="114"/>
        <v>9923.1083667149105</v>
      </c>
      <c r="K210">
        <f t="shared" si="115"/>
        <v>1.6697455085801692E-2</v>
      </c>
      <c r="L210">
        <f t="shared" si="116"/>
        <v>-0.7367794210086237</v>
      </c>
      <c r="M210">
        <f t="shared" si="117"/>
        <v>125.7658815011318</v>
      </c>
      <c r="N210">
        <f t="shared" si="118"/>
        <v>9922.371587293901</v>
      </c>
      <c r="O210">
        <f t="shared" si="119"/>
        <v>1.0154007303721091</v>
      </c>
      <c r="P210">
        <f t="shared" si="120"/>
        <v>125.76250114317331</v>
      </c>
      <c r="Q210">
        <f t="shared" si="121"/>
        <v>23.435835673745729</v>
      </c>
      <c r="R210">
        <f t="shared" si="122"/>
        <v>23.438076995294495</v>
      </c>
      <c r="S210">
        <f t="shared" si="123"/>
        <v>128.13184670422024</v>
      </c>
      <c r="T210" s="19">
        <f t="shared" si="124"/>
        <v>18.829865886774943</v>
      </c>
      <c r="U210">
        <f t="shared" si="125"/>
        <v>4.3029944348760694E-2</v>
      </c>
      <c r="V210">
        <f t="shared" si="126"/>
        <v>-6.5280154078694572</v>
      </c>
      <c r="W210">
        <f t="shared" si="127"/>
        <v>106.37959063938604</v>
      </c>
      <c r="X210" s="6">
        <f t="shared" si="128"/>
        <v>0.50995520514435366</v>
      </c>
      <c r="Y210" s="6">
        <f t="shared" si="129"/>
        <v>0.21445634225717025</v>
      </c>
      <c r="Z210" s="6">
        <f t="shared" si="130"/>
        <v>0.80545406803153707</v>
      </c>
      <c r="AA210" s="19">
        <f t="shared" si="131"/>
        <v>851.0367251150883</v>
      </c>
      <c r="AB210">
        <f t="shared" si="132"/>
        <v>705.66450459213047</v>
      </c>
      <c r="AC210">
        <f t="shared" si="133"/>
        <v>-3.5838738519673825</v>
      </c>
      <c r="AD210">
        <f t="shared" si="108"/>
        <v>19.029538215288291</v>
      </c>
      <c r="AE210">
        <f t="shared" si="134"/>
        <v>70.970461784711716</v>
      </c>
      <c r="AF210">
        <f t="shared" si="135"/>
        <v>5.5655757536556974E-3</v>
      </c>
      <c r="AG210">
        <f t="shared" si="136"/>
        <v>70.976027360465366</v>
      </c>
      <c r="AH210">
        <f t="shared" si="109"/>
        <v>169.54552145597927</v>
      </c>
      <c r="AK210">
        <f t="shared" si="137"/>
        <v>0.32275909998193841</v>
      </c>
      <c r="AL210">
        <f t="shared" si="138"/>
        <v>0.94648114792575189</v>
      </c>
      <c r="AM210">
        <f t="shared" si="139"/>
        <v>851</v>
      </c>
      <c r="AN210">
        <f t="shared" si="140"/>
        <v>-425.5</v>
      </c>
      <c r="AO210">
        <f t="shared" si="141"/>
        <v>425.5</v>
      </c>
      <c r="AP210" s="16" cm="1">
        <f t="array" ref="AP210">SUMPRODUCT(1362*POWER(0.7,POWER(1/($AI$2*AK210+$AJ$2*AL210*COS(RADIANS(0.25*(_xlfn.SEQUENCE(AO210-AN210,1,AN210+1))))+0.50572*POWER(96.07995-DEGREES(ACOS($AI$2*AK210+$AJ$2*AL210*COS(RADIANS(0.25*(_xlfn.SEQUENCE(AO210-AN210,1,AN210+1)))))),-1.6364)),0.678))*IF(AL210*COS(RADIANS(0.25*(_xlfn.SEQUENCE(AO210-AN210,1,AN210+1))))&gt;0,AL210*COS(RADIANS(0.25*(_xlfn.SEQUENCE(AO210-AN210,1,AN210+1)))),0)/60)</f>
        <v>6395.1031074686734</v>
      </c>
      <c r="AQ210" s="17" cm="1">
        <f t="array" ref="AQ210">SUMPRODUCT(1362*POWER(0.7,POWER(1/($AI$2*AK210+$AJ$2*AL210*COS(RADIANS(0.25*(_xlfn.SEQUENCE(AO210-AN210,1,AN210+1))))+0.50572*POWER(96.07995-DEGREES(ACOS($AI$2*AK210+$AJ$2*AL210*COS(RADIANS(0.25*(_xlfn.SEQUENCE(AO210-AN210,1,AN210+1)))))),-1.6364)),0.678))/60)</f>
        <v>10447.349792562654</v>
      </c>
      <c r="AR210" s="15">
        <f t="shared" si="142"/>
        <v>1.6336483739193302</v>
      </c>
      <c r="AT210">
        <v>0.44824413829161336</v>
      </c>
      <c r="AU210">
        <v>63.368914623703368</v>
      </c>
      <c r="AV210">
        <v>2.2225977688799761</v>
      </c>
      <c r="AW210">
        <v>737.84395023708203</v>
      </c>
    </row>
    <row r="211" spans="4:49" ht="17" x14ac:dyDescent="0.2">
      <c r="D211" s="1">
        <f t="shared" si="143"/>
        <v>46232</v>
      </c>
      <c r="E211" s="6">
        <f t="shared" si="110"/>
        <v>0.5</v>
      </c>
      <c r="F211" s="2">
        <f t="shared" si="111"/>
        <v>2461251.3333333335</v>
      </c>
      <c r="G211" s="3">
        <f t="shared" si="112"/>
        <v>0.26574492356833646</v>
      </c>
      <c r="I211">
        <f t="shared" si="113"/>
        <v>127.48830828671635</v>
      </c>
      <c r="J211">
        <f t="shared" si="114"/>
        <v>9924.0939669944</v>
      </c>
      <c r="K211">
        <f t="shared" si="115"/>
        <v>1.6697453933047789E-2</v>
      </c>
      <c r="L211">
        <f t="shared" si="116"/>
        <v>-0.76647710452958051</v>
      </c>
      <c r="M211">
        <f t="shared" si="117"/>
        <v>126.72183118218676</v>
      </c>
      <c r="N211">
        <f t="shared" si="118"/>
        <v>9923.3274898898708</v>
      </c>
      <c r="O211">
        <f t="shared" si="119"/>
        <v>1.0152891803639361</v>
      </c>
      <c r="P211">
        <f t="shared" si="120"/>
        <v>126.71845469106125</v>
      </c>
      <c r="Q211">
        <f t="shared" si="121"/>
        <v>23.435835317711586</v>
      </c>
      <c r="R211">
        <f t="shared" si="122"/>
        <v>23.438075495080419</v>
      </c>
      <c r="S211">
        <f t="shared" si="123"/>
        <v>129.10954738569762</v>
      </c>
      <c r="T211" s="19">
        <f t="shared" si="124"/>
        <v>18.592536420057154</v>
      </c>
      <c r="U211">
        <f t="shared" si="125"/>
        <v>4.3029938683593151E-2</v>
      </c>
      <c r="V211">
        <f t="shared" si="126"/>
        <v>-6.4962900440835352</v>
      </c>
      <c r="W211">
        <f t="shared" si="127"/>
        <v>106.16573043947132</v>
      </c>
      <c r="X211" s="6">
        <f t="shared" si="128"/>
        <v>0.50993317364172464</v>
      </c>
      <c r="Y211" s="6">
        <f t="shared" si="129"/>
        <v>0.21502836686541538</v>
      </c>
      <c r="Z211" s="6">
        <f t="shared" si="130"/>
        <v>0.80483798041803378</v>
      </c>
      <c r="AA211" s="19">
        <f t="shared" si="131"/>
        <v>849.32584351577054</v>
      </c>
      <c r="AB211">
        <f t="shared" si="132"/>
        <v>705.69622995591658</v>
      </c>
      <c r="AC211">
        <f t="shared" si="133"/>
        <v>-3.5759425110208554</v>
      </c>
      <c r="AD211">
        <f t="shared" si="108"/>
        <v>19.263019153133925</v>
      </c>
      <c r="AE211">
        <f t="shared" si="134"/>
        <v>70.736980846866075</v>
      </c>
      <c r="AF211">
        <f t="shared" si="135"/>
        <v>5.6392372665415953E-3</v>
      </c>
      <c r="AG211">
        <f t="shared" si="136"/>
        <v>70.742620084132611</v>
      </c>
      <c r="AH211">
        <f t="shared" si="109"/>
        <v>169.67731355430351</v>
      </c>
      <c r="AK211">
        <f t="shared" si="137"/>
        <v>0.31883584644640095</v>
      </c>
      <c r="AL211">
        <f t="shared" si="138"/>
        <v>0.94780995089775621</v>
      </c>
      <c r="AM211">
        <f t="shared" si="139"/>
        <v>849</v>
      </c>
      <c r="AN211">
        <f t="shared" si="140"/>
        <v>-424.5</v>
      </c>
      <c r="AO211">
        <f t="shared" si="141"/>
        <v>424.5</v>
      </c>
      <c r="AP211" s="16" cm="1">
        <f t="array" ref="AP211">SUMPRODUCT(1362*POWER(0.7,POWER(1/($AI$2*AK211+$AJ$2*AL211*COS(RADIANS(0.25*(_xlfn.SEQUENCE(AO211-AN211,1,AN211+1))))+0.50572*POWER(96.07995-DEGREES(ACOS($AI$2*AK211+$AJ$2*AL211*COS(RADIANS(0.25*(_xlfn.SEQUENCE(AO211-AN211,1,AN211+1)))))),-1.6364)),0.678))*IF(AL211*COS(RADIANS(0.25*(_xlfn.SEQUENCE(AO211-AN211,1,AN211+1))))&gt;0,AL211*COS(RADIANS(0.25*(_xlfn.SEQUENCE(AO211-AN211,1,AN211+1)))),0)/60)</f>
        <v>6399.7348767300855</v>
      </c>
      <c r="AQ211" s="17" cm="1">
        <f t="array" ref="AQ211">SUMPRODUCT(1362*POWER(0.7,POWER(1/($AI$2*AK211+$AJ$2*AL211*COS(RADIANS(0.25*(_xlfn.SEQUENCE(AO211-AN211,1,AN211+1))))+0.50572*POWER(96.07995-DEGREES(ACOS($AI$2*AK211+$AJ$2*AL211*COS(RADIANS(0.25*(_xlfn.SEQUENCE(AO211-AN211,1,AN211+1)))))),-1.6364)),0.678))/60)</f>
        <v>10423.249760148863</v>
      </c>
      <c r="AR211" s="15">
        <f t="shared" si="142"/>
        <v>1.6287002447630414</v>
      </c>
      <c r="AT211">
        <v>0.44931987328676326</v>
      </c>
      <c r="AU211">
        <v>63.29994390355219</v>
      </c>
      <c r="AV211">
        <v>2.2173247934531735</v>
      </c>
      <c r="AW211">
        <v>738.57208806019003</v>
      </c>
    </row>
    <row r="212" spans="4:49" ht="17" x14ac:dyDescent="0.2">
      <c r="D212" s="1">
        <f t="shared" si="143"/>
        <v>46233</v>
      </c>
      <c r="E212" s="6">
        <f t="shared" si="110"/>
        <v>0.5</v>
      </c>
      <c r="F212" s="2">
        <f t="shared" si="111"/>
        <v>2461252.3333333335</v>
      </c>
      <c r="G212" s="3">
        <f t="shared" si="112"/>
        <v>0.26577230207620778</v>
      </c>
      <c r="I212">
        <f t="shared" si="113"/>
        <v>128.47395565129227</v>
      </c>
      <c r="J212">
        <f t="shared" si="114"/>
        <v>9925.0795672738877</v>
      </c>
      <c r="K212">
        <f t="shared" si="115"/>
        <v>1.6697452780293696E-2</v>
      </c>
      <c r="L212">
        <f t="shared" si="116"/>
        <v>-0.79596054058069599</v>
      </c>
      <c r="M212">
        <f t="shared" si="117"/>
        <v>127.67799511071158</v>
      </c>
      <c r="N212">
        <f t="shared" si="118"/>
        <v>9924.2836067333064</v>
      </c>
      <c r="O212">
        <f t="shared" si="119"/>
        <v>1.0151732290524731</v>
      </c>
      <c r="P212">
        <f t="shared" si="120"/>
        <v>127.67462248444289</v>
      </c>
      <c r="Q212">
        <f t="shared" si="121"/>
        <v>23.435834961677443</v>
      </c>
      <c r="R212">
        <f t="shared" si="122"/>
        <v>23.438073992952837</v>
      </c>
      <c r="S212">
        <f t="shared" si="123"/>
        <v>130.08471674833714</v>
      </c>
      <c r="T212" s="19">
        <f t="shared" si="124"/>
        <v>18.350124626348379</v>
      </c>
      <c r="U212">
        <f t="shared" si="125"/>
        <v>4.3029933011200193E-2</v>
      </c>
      <c r="V212">
        <f t="shared" si="126"/>
        <v>-6.4544325988919384</v>
      </c>
      <c r="W212">
        <f t="shared" si="127"/>
        <v>105.94816283525158</v>
      </c>
      <c r="X212" s="6">
        <f t="shared" si="128"/>
        <v>0.50990410597145275</v>
      </c>
      <c r="Y212" s="6">
        <f t="shared" si="129"/>
        <v>0.21560365365130948</v>
      </c>
      <c r="Z212" s="6">
        <f t="shared" si="130"/>
        <v>0.80420455829159609</v>
      </c>
      <c r="AA212" s="19">
        <f t="shared" si="131"/>
        <v>847.58530268201264</v>
      </c>
      <c r="AB212">
        <f t="shared" si="132"/>
        <v>705.73808740110803</v>
      </c>
      <c r="AC212">
        <f t="shared" si="133"/>
        <v>-3.5654781497229919</v>
      </c>
      <c r="AD212">
        <f t="shared" si="108"/>
        <v>19.50126049821074</v>
      </c>
      <c r="AE212">
        <f t="shared" si="134"/>
        <v>70.49873950178926</v>
      </c>
      <c r="AF212">
        <f t="shared" si="135"/>
        <v>5.7146163684362516E-3</v>
      </c>
      <c r="AG212">
        <f t="shared" si="136"/>
        <v>70.504454118157696</v>
      </c>
      <c r="AH212">
        <f t="shared" si="109"/>
        <v>169.81550099678464</v>
      </c>
      <c r="AK212">
        <f t="shared" si="137"/>
        <v>0.31482293086804636</v>
      </c>
      <c r="AL212">
        <f t="shared" si="138"/>
        <v>0.94915042127138805</v>
      </c>
      <c r="AM212">
        <f t="shared" si="139"/>
        <v>848</v>
      </c>
      <c r="AN212">
        <f t="shared" si="140"/>
        <v>-424</v>
      </c>
      <c r="AO212">
        <f t="shared" si="141"/>
        <v>424</v>
      </c>
      <c r="AP212" s="16" cm="1">
        <f t="array" ref="AP212">SUMPRODUCT(1362*POWER(0.7,POWER(1/($AI$2*AK212+$AJ$2*AL212*COS(RADIANS(0.25*(_xlfn.SEQUENCE(AO212-AN212,1,AN212+1))))+0.50572*POWER(96.07995-DEGREES(ACOS($AI$2*AK212+$AJ$2*AL212*COS(RADIANS(0.25*(_xlfn.SEQUENCE(AO212-AN212,1,AN212+1)))))),-1.6364)),0.678))*IF(AL212*COS(RADIANS(0.25*(_xlfn.SEQUENCE(AO212-AN212,1,AN212+1))))&gt;0,AL212*COS(RADIANS(0.25*(_xlfn.SEQUENCE(AO212-AN212,1,AN212+1)))),0)/60)</f>
        <v>6404.2813190647785</v>
      </c>
      <c r="AQ212" s="17" cm="1">
        <f t="array" ref="AQ212">SUMPRODUCT(1362*POWER(0.7,POWER(1/($AI$2*AK212+$AJ$2*AL212*COS(RADIANS(0.25*(_xlfn.SEQUENCE(AO212-AN212,1,AN212+1))))+0.50572*POWER(96.07995-DEGREES(ACOS($AI$2*AK212+$AJ$2*AL212*COS(RADIANS(0.25*(_xlfn.SEQUENCE(AO212-AN212,1,AN212+1)))))),-1.6364)),0.678))/60)</f>
        <v>10398.763520854236</v>
      </c>
      <c r="AR212" s="15">
        <f t="shared" si="142"/>
        <v>1.6237206023255666</v>
      </c>
      <c r="AT212">
        <v>0.45038252482475338</v>
      </c>
      <c r="AU212">
        <v>63.231771006308968</v>
      </c>
      <c r="AV212">
        <v>2.2121403204031371</v>
      </c>
      <c r="AW212">
        <v>739.28924988182177</v>
      </c>
    </row>
    <row r="213" spans="4:49" ht="17" x14ac:dyDescent="0.2">
      <c r="D213" s="1">
        <f t="shared" si="143"/>
        <v>46234</v>
      </c>
      <c r="E213" s="6">
        <f t="shared" si="110"/>
        <v>0.5</v>
      </c>
      <c r="F213" s="2">
        <f t="shared" si="111"/>
        <v>2461253.3333333335</v>
      </c>
      <c r="G213" s="3">
        <f t="shared" si="112"/>
        <v>0.2657996805840791</v>
      </c>
      <c r="I213">
        <f t="shared" si="113"/>
        <v>129.45960301587002</v>
      </c>
      <c r="J213">
        <f t="shared" si="114"/>
        <v>9926.0651675533754</v>
      </c>
      <c r="K213">
        <f t="shared" si="115"/>
        <v>1.6697451627539411E-2</v>
      </c>
      <c r="L213">
        <f t="shared" si="116"/>
        <v>-0.82522139374893877</v>
      </c>
      <c r="M213">
        <f t="shared" si="117"/>
        <v>128.63438162212108</v>
      </c>
      <c r="N213">
        <f t="shared" si="118"/>
        <v>9925.2399461596269</v>
      </c>
      <c r="O213">
        <f t="shared" si="119"/>
        <v>1.0150529077246113</v>
      </c>
      <c r="P213">
        <f t="shared" si="120"/>
        <v>128.6310128587298</v>
      </c>
      <c r="Q213">
        <f t="shared" si="121"/>
        <v>23.435834605643301</v>
      </c>
      <c r="R213">
        <f t="shared" si="122"/>
        <v>23.43807248891272</v>
      </c>
      <c r="S213">
        <f t="shared" si="123"/>
        <v>131.05735128478429</v>
      </c>
      <c r="T213" s="19">
        <f t="shared" si="124"/>
        <v>18.102709289398938</v>
      </c>
      <c r="U213">
        <f t="shared" si="125"/>
        <v>4.3029927331585435E-2</v>
      </c>
      <c r="V213">
        <f t="shared" si="126"/>
        <v>-6.4024305952397462</v>
      </c>
      <c r="W213">
        <f t="shared" si="127"/>
        <v>105.72699655406853</v>
      </c>
      <c r="X213" s="6">
        <f t="shared" si="128"/>
        <v>0.50986799346891654</v>
      </c>
      <c r="Y213" s="6">
        <f t="shared" si="129"/>
        <v>0.21618189192983725</v>
      </c>
      <c r="Z213" s="6">
        <f t="shared" si="130"/>
        <v>0.80355409500799579</v>
      </c>
      <c r="AA213" s="19">
        <f t="shared" si="131"/>
        <v>845.81597243254828</v>
      </c>
      <c r="AB213">
        <f t="shared" si="132"/>
        <v>705.79008940476024</v>
      </c>
      <c r="AC213">
        <f t="shared" si="133"/>
        <v>-3.5524776488099405</v>
      </c>
      <c r="AD213">
        <f t="shared" si="108"/>
        <v>19.744199576656452</v>
      </c>
      <c r="AE213">
        <f t="shared" si="134"/>
        <v>70.255800423343544</v>
      </c>
      <c r="AF213">
        <f t="shared" si="135"/>
        <v>5.7917098643680666E-3</v>
      </c>
      <c r="AG213">
        <f t="shared" si="136"/>
        <v>70.261592133207913</v>
      </c>
      <c r="AH213">
        <f t="shared" si="109"/>
        <v>169.95977604396489</v>
      </c>
      <c r="AK213">
        <f t="shared" si="137"/>
        <v>0.31072137538966083</v>
      </c>
      <c r="AL213">
        <f t="shared" si="138"/>
        <v>0.95050103991313839</v>
      </c>
      <c r="AM213">
        <f t="shared" si="139"/>
        <v>846</v>
      </c>
      <c r="AN213">
        <f t="shared" si="140"/>
        <v>-423</v>
      </c>
      <c r="AO213">
        <f t="shared" si="141"/>
        <v>423</v>
      </c>
      <c r="AP213" s="16" cm="1">
        <f t="array" ref="AP213">SUMPRODUCT(1362*POWER(0.7,POWER(1/($AI$2*AK213+$AJ$2*AL213*COS(RADIANS(0.25*(_xlfn.SEQUENCE(AO213-AN213,1,AN213+1))))+0.50572*POWER(96.07995-DEGREES(ACOS($AI$2*AK213+$AJ$2*AL213*COS(RADIANS(0.25*(_xlfn.SEQUENCE(AO213-AN213,1,AN213+1)))))),-1.6364)),0.678))*IF(AL213*COS(RADIANS(0.25*(_xlfn.SEQUENCE(AO213-AN213,1,AN213+1))))&gt;0,AL213*COS(RADIANS(0.25*(_xlfn.SEQUENCE(AO213-AN213,1,AN213+1)))),0)/60)</f>
        <v>6408.7454192290279</v>
      </c>
      <c r="AQ213" s="17" cm="1">
        <f t="array" ref="AQ213">SUMPRODUCT(1362*POWER(0.7,POWER(1/($AI$2*AK213+$AJ$2*AL213*COS(RADIANS(0.25*(_xlfn.SEQUENCE(AO213-AN213,1,AN213+1))))+0.50572*POWER(96.07995-DEGREES(ACOS($AI$2*AK213+$AJ$2*AL213*COS(RADIANS(0.25*(_xlfn.SEQUENCE(AO213-AN213,1,AN213+1)))))),-1.6364)),0.678))/60)</f>
        <v>10373.656033667827</v>
      </c>
      <c r="AR213" s="15">
        <f t="shared" si="142"/>
        <v>1.6186718858487248</v>
      </c>
      <c r="AT213">
        <v>0.45143207267423047</v>
      </c>
      <c r="AU213">
        <v>63.164398570155548</v>
      </c>
      <c r="AV213">
        <v>2.2070433885704577</v>
      </c>
      <c r="AW213">
        <v>739.99550959325188</v>
      </c>
    </row>
    <row r="214" spans="4:49" ht="17" x14ac:dyDescent="0.2">
      <c r="D214" s="1">
        <f t="shared" si="143"/>
        <v>46235</v>
      </c>
      <c r="E214" s="6">
        <f t="shared" si="110"/>
        <v>0.5</v>
      </c>
      <c r="F214" s="2">
        <f t="shared" si="111"/>
        <v>2461254.3333333335</v>
      </c>
      <c r="G214" s="3">
        <f t="shared" si="112"/>
        <v>0.26582705909195042</v>
      </c>
      <c r="I214">
        <f t="shared" si="113"/>
        <v>130.44525038044776</v>
      </c>
      <c r="J214">
        <f t="shared" si="114"/>
        <v>9927.0507678328649</v>
      </c>
      <c r="K214">
        <f t="shared" si="115"/>
        <v>1.669745047478494E-2</v>
      </c>
      <c r="L214">
        <f t="shared" si="116"/>
        <v>-0.8542513801406949</v>
      </c>
      <c r="M214">
        <f t="shared" si="117"/>
        <v>129.59099900030708</v>
      </c>
      <c r="N214">
        <f t="shared" si="118"/>
        <v>9926.1965164527246</v>
      </c>
      <c r="O214">
        <f t="shared" si="119"/>
        <v>1.0149282488694364</v>
      </c>
      <c r="P214">
        <f t="shared" si="120"/>
        <v>129.58763409781042</v>
      </c>
      <c r="Q214">
        <f t="shared" si="121"/>
        <v>23.435834249609158</v>
      </c>
      <c r="R214">
        <f t="shared" si="122"/>
        <v>23.438070982961058</v>
      </c>
      <c r="S214">
        <f t="shared" si="123"/>
        <v>132.02745068046673</v>
      </c>
      <c r="T214" s="19">
        <f t="shared" si="124"/>
        <v>17.850370022103274</v>
      </c>
      <c r="U214">
        <f t="shared" si="125"/>
        <v>4.3029921644752611E-2</v>
      </c>
      <c r="V214">
        <f t="shared" si="126"/>
        <v>-6.3402846473622709</v>
      </c>
      <c r="W214">
        <f t="shared" si="127"/>
        <v>105.50233923078723</v>
      </c>
      <c r="X214" s="6">
        <f t="shared" si="128"/>
        <v>0.50982483656066824</v>
      </c>
      <c r="Y214" s="6">
        <f t="shared" si="129"/>
        <v>0.2167627831418148</v>
      </c>
      <c r="Z214" s="6">
        <f t="shared" si="130"/>
        <v>0.80288688997952162</v>
      </c>
      <c r="AA214" s="19">
        <f t="shared" si="131"/>
        <v>844.01871384629783</v>
      </c>
      <c r="AB214">
        <f t="shared" si="132"/>
        <v>705.85223535263776</v>
      </c>
      <c r="AC214">
        <f t="shared" si="133"/>
        <v>-3.5369411618405593</v>
      </c>
      <c r="AD214">
        <f t="shared" si="108"/>
        <v>19.991773658468649</v>
      </c>
      <c r="AE214">
        <f t="shared" si="134"/>
        <v>70.008226341531355</v>
      </c>
      <c r="AF214">
        <f t="shared" si="135"/>
        <v>5.8705150331346172E-3</v>
      </c>
      <c r="AG214">
        <f t="shared" si="136"/>
        <v>70.014096856564493</v>
      </c>
      <c r="AH214">
        <f t="shared" si="109"/>
        <v>170.1098308581611</v>
      </c>
      <c r="AK214">
        <f t="shared" si="137"/>
        <v>0.30653222531701607</v>
      </c>
      <c r="AL214">
        <f t="shared" si="138"/>
        <v>0.95186028115590482</v>
      </c>
      <c r="AM214">
        <f t="shared" si="139"/>
        <v>844</v>
      </c>
      <c r="AN214">
        <f t="shared" si="140"/>
        <v>-422</v>
      </c>
      <c r="AO214">
        <f t="shared" si="141"/>
        <v>422</v>
      </c>
      <c r="AP214" s="16" cm="1">
        <f t="array" ref="AP214">SUMPRODUCT(1362*POWER(0.7,POWER(1/($AI$2*AK214+$AJ$2*AL214*COS(RADIANS(0.25*(_xlfn.SEQUENCE(AO214-AN214,1,AN214+1))))+0.50572*POWER(96.07995-DEGREES(ACOS($AI$2*AK214+$AJ$2*AL214*COS(RADIANS(0.25*(_xlfn.SEQUENCE(AO214-AN214,1,AN214+1)))))),-1.6364)),0.678))*IF(AL214*COS(RADIANS(0.25*(_xlfn.SEQUENCE(AO214-AN214,1,AN214+1))))&gt;0,AL214*COS(RADIANS(0.25*(_xlfn.SEQUENCE(AO214-AN214,1,AN214+1)))),0)/60)</f>
        <v>6413.1058639421626</v>
      </c>
      <c r="AQ214" s="17" cm="1">
        <f t="array" ref="AQ214">SUMPRODUCT(1362*POWER(0.7,POWER(1/($AI$2*AK214+$AJ$2*AL214*COS(RADIANS(0.25*(_xlfn.SEQUENCE(AO214-AN214,1,AN214+1))))+0.50572*POWER(96.07995-DEGREES(ACOS($AI$2*AK214+$AJ$2*AL214*COS(RADIANS(0.25*(_xlfn.SEQUENCE(AO214-AN214,1,AN214+1)))))),-1.6364)),0.678))/60)</f>
        <v>10348.053690284487</v>
      </c>
      <c r="AR214" s="15">
        <f t="shared" si="142"/>
        <v>1.6135791159267556</v>
      </c>
      <c r="AT214">
        <v>0.45246849685331614</v>
      </c>
      <c r="AU214">
        <v>63.097829213390341</v>
      </c>
      <c r="AV214">
        <v>2.2020330584356058</v>
      </c>
      <c r="AW214">
        <v>740.69093967787137</v>
      </c>
    </row>
    <row r="215" spans="4:49" ht="17" x14ac:dyDescent="0.2">
      <c r="D215" s="1">
        <f t="shared" si="143"/>
        <v>46236</v>
      </c>
      <c r="E215" s="6">
        <f t="shared" si="110"/>
        <v>0.5</v>
      </c>
      <c r="F215" s="2">
        <f t="shared" si="111"/>
        <v>2461255.3333333335</v>
      </c>
      <c r="G215" s="3">
        <f t="shared" si="112"/>
        <v>0.26585443759982175</v>
      </c>
      <c r="I215">
        <f t="shared" si="113"/>
        <v>131.4308977450255</v>
      </c>
      <c r="J215">
        <f t="shared" si="114"/>
        <v>9928.0363681123508</v>
      </c>
      <c r="K215">
        <f t="shared" si="115"/>
        <v>1.6697449322030277E-2</v>
      </c>
      <c r="L215">
        <f t="shared" si="116"/>
        <v>-0.88304226940184738</v>
      </c>
      <c r="M215">
        <f t="shared" si="117"/>
        <v>130.54785547562366</v>
      </c>
      <c r="N215">
        <f t="shared" si="118"/>
        <v>9927.1533258429481</v>
      </c>
      <c r="O215">
        <f t="shared" si="119"/>
        <v>1.0147992861720208</v>
      </c>
      <c r="P215">
        <f t="shared" si="120"/>
        <v>130.54449443203561</v>
      </c>
      <c r="Q215">
        <f t="shared" si="121"/>
        <v>23.435833893575015</v>
      </c>
      <c r="R215">
        <f t="shared" si="122"/>
        <v>23.438069475098825</v>
      </c>
      <c r="S215">
        <f t="shared" si="123"/>
        <v>132.995017772647</v>
      </c>
      <c r="T215" s="19">
        <f t="shared" si="124"/>
        <v>17.593187215997002</v>
      </c>
      <c r="U215">
        <f t="shared" si="125"/>
        <v>4.3029915950705447E-2</v>
      </c>
      <c r="V215">
        <f t="shared" si="126"/>
        <v>-6.2680082821725351</v>
      </c>
      <c r="W215">
        <f t="shared" si="127"/>
        <v>105.27429728925664</v>
      </c>
      <c r="X215" s="6">
        <f t="shared" si="128"/>
        <v>0.50977464464039757</v>
      </c>
      <c r="Y215" s="6">
        <f t="shared" si="129"/>
        <v>0.21734604105912914</v>
      </c>
      <c r="Z215" s="6">
        <f t="shared" si="130"/>
        <v>0.802203248221666</v>
      </c>
      <c r="AA215" s="19">
        <f t="shared" si="131"/>
        <v>842.1943783140531</v>
      </c>
      <c r="AB215">
        <f t="shared" si="132"/>
        <v>705.9245117178275</v>
      </c>
      <c r="AC215">
        <f t="shared" si="133"/>
        <v>-3.5188720705431251</v>
      </c>
      <c r="AD215">
        <f t="shared" si="108"/>
        <v>20.243919912194546</v>
      </c>
      <c r="AE215">
        <f t="shared" si="134"/>
        <v>69.756080087805458</v>
      </c>
      <c r="AF215">
        <f t="shared" si="135"/>
        <v>5.9510296206666119E-3</v>
      </c>
      <c r="AG215">
        <f t="shared" si="136"/>
        <v>69.762031117426119</v>
      </c>
      <c r="AH215">
        <f t="shared" si="109"/>
        <v>170.26535838767563</v>
      </c>
      <c r="AK215">
        <f t="shared" si="137"/>
        <v>0.30225654898871673</v>
      </c>
      <c r="AL215">
        <f t="shared" si="138"/>
        <v>0.95322661450120638</v>
      </c>
      <c r="AM215">
        <f t="shared" si="139"/>
        <v>842</v>
      </c>
      <c r="AN215">
        <f t="shared" si="140"/>
        <v>-421</v>
      </c>
      <c r="AO215">
        <f t="shared" si="141"/>
        <v>421</v>
      </c>
      <c r="AP215" s="16" cm="1">
        <f t="array" ref="AP215">SUMPRODUCT(1362*POWER(0.7,POWER(1/($AI$2*AK215+$AJ$2*AL215*COS(RADIANS(0.25*(_xlfn.SEQUENCE(AO215-AN215,1,AN215+1))))+0.50572*POWER(96.07995-DEGREES(ACOS($AI$2*AK215+$AJ$2*AL215*COS(RADIANS(0.25*(_xlfn.SEQUENCE(AO215-AN215,1,AN215+1)))))),-1.6364)),0.678))*IF(AL215*COS(RADIANS(0.25*(_xlfn.SEQUENCE(AO215-AN215,1,AN215+1))))&gt;0,AL215*COS(RADIANS(0.25*(_xlfn.SEQUENCE(AO215-AN215,1,AN215+1)))),0)/60)</f>
        <v>6417.3493738876859</v>
      </c>
      <c r="AQ215" s="17" cm="1">
        <f t="array" ref="AQ215">SUMPRODUCT(1362*POWER(0.7,POWER(1/($AI$2*AK215+$AJ$2*AL215*COS(RADIANS(0.25*(_xlfn.SEQUENCE(AO215-AN215,1,AN215+1))))+0.50572*POWER(96.07995-DEGREES(ACOS($AI$2*AK215+$AJ$2*AL215*COS(RADIANS(0.25*(_xlfn.SEQUENCE(AO215-AN215,1,AN215+1)))))),-1.6364)),0.678))/60)</f>
        <v>10321.963624016338</v>
      </c>
      <c r="AR215" s="15">
        <f t="shared" si="142"/>
        <v>1.6084465754687753</v>
      </c>
      <c r="AT215">
        <v>0.45349177762998805</v>
      </c>
      <c r="AU215">
        <v>63.032065533990931</v>
      </c>
      <c r="AV215">
        <v>2.1971084116583994</v>
      </c>
      <c r="AW215">
        <v>741.37561123221644</v>
      </c>
    </row>
    <row r="216" spans="4:49" ht="17" x14ac:dyDescent="0.2">
      <c r="D216" s="1">
        <f t="shared" si="143"/>
        <v>46237</v>
      </c>
      <c r="E216" s="6">
        <f t="shared" si="110"/>
        <v>0.5</v>
      </c>
      <c r="F216" s="2">
        <f t="shared" si="111"/>
        <v>2461256.3333333335</v>
      </c>
      <c r="G216" s="3">
        <f t="shared" si="112"/>
        <v>0.26588181610769307</v>
      </c>
      <c r="I216">
        <f t="shared" si="113"/>
        <v>132.41654510960507</v>
      </c>
      <c r="J216">
        <f t="shared" si="114"/>
        <v>9929.0219683918385</v>
      </c>
      <c r="K216">
        <f t="shared" si="115"/>
        <v>1.6697448169275427E-2</v>
      </c>
      <c r="L216">
        <f t="shared" si="116"/>
        <v>-0.91158588673752117</v>
      </c>
      <c r="M216">
        <f t="shared" si="117"/>
        <v>131.50495922286754</v>
      </c>
      <c r="N216">
        <f t="shared" si="118"/>
        <v>9928.1103825051014</v>
      </c>
      <c r="O216">
        <f t="shared" si="119"/>
        <v>1.0146660545069623</v>
      </c>
      <c r="P216">
        <f t="shared" si="120"/>
        <v>131.50160203619873</v>
      </c>
      <c r="Q216">
        <f t="shared" si="121"/>
        <v>23.435833537540876</v>
      </c>
      <c r="R216">
        <f t="shared" si="122"/>
        <v>23.438067965327011</v>
      </c>
      <c r="S216">
        <f t="shared" si="123"/>
        <v>133.96005850595884</v>
      </c>
      <c r="T216" s="19">
        <f t="shared" si="124"/>
        <v>17.331241992436471</v>
      </c>
      <c r="U216">
        <f t="shared" si="125"/>
        <v>4.3029910249447655E-2</v>
      </c>
      <c r="V216">
        <f t="shared" si="126"/>
        <v>-6.1856277420932759</v>
      </c>
      <c r="W216">
        <f t="shared" si="127"/>
        <v>105.04297583289495</v>
      </c>
      <c r="X216" s="6">
        <f t="shared" si="128"/>
        <v>0.50971743593200913</v>
      </c>
      <c r="Y216" s="6">
        <f t="shared" si="129"/>
        <v>0.21793139195174535</v>
      </c>
      <c r="Z216" s="6">
        <f t="shared" si="130"/>
        <v>0.80150347991227289</v>
      </c>
      <c r="AA216" s="19">
        <f t="shared" si="131"/>
        <v>840.34380666315963</v>
      </c>
      <c r="AB216">
        <f t="shared" si="132"/>
        <v>706.00689225790666</v>
      </c>
      <c r="AC216">
        <f t="shared" si="133"/>
        <v>-3.4982769355233359</v>
      </c>
      <c r="AD216">
        <f t="shared" si="108"/>
        <v>20.500575358760976</v>
      </c>
      <c r="AE216">
        <f t="shared" si="134"/>
        <v>69.499424641239017</v>
      </c>
      <c r="AF216">
        <f t="shared" si="135"/>
        <v>6.0332518329251714E-3</v>
      </c>
      <c r="AG216">
        <f t="shared" si="136"/>
        <v>69.505457893071949</v>
      </c>
      <c r="AH216">
        <f t="shared" si="109"/>
        <v>170.42605317564312</v>
      </c>
      <c r="AK216">
        <f t="shared" si="137"/>
        <v>0.29789543764263643</v>
      </c>
      <c r="AL216">
        <f t="shared" si="138"/>
        <v>0.95459850630079146</v>
      </c>
      <c r="AM216">
        <f t="shared" si="139"/>
        <v>840</v>
      </c>
      <c r="AN216">
        <f t="shared" si="140"/>
        <v>-420</v>
      </c>
      <c r="AO216">
        <f t="shared" si="141"/>
        <v>420</v>
      </c>
      <c r="AP216" s="16" cm="1">
        <f t="array" ref="AP216">SUMPRODUCT(1362*POWER(0.7,POWER(1/($AI$2*AK216+$AJ$2*AL216*COS(RADIANS(0.25*(_xlfn.SEQUENCE(AO216-AN216,1,AN216+1))))+0.50572*POWER(96.07995-DEGREES(ACOS($AI$2*AK216+$AJ$2*AL216*COS(RADIANS(0.25*(_xlfn.SEQUENCE(AO216-AN216,1,AN216+1)))))),-1.6364)),0.678))*IF(AL216*COS(RADIANS(0.25*(_xlfn.SEQUENCE(AO216-AN216,1,AN216+1))))&gt;0,AL216*COS(RADIANS(0.25*(_xlfn.SEQUENCE(AO216-AN216,1,AN216+1)))),0)/60)</f>
        <v>6421.4626242830054</v>
      </c>
      <c r="AQ216" s="17" cm="1">
        <f t="array" ref="AQ216">SUMPRODUCT(1362*POWER(0.7,POWER(1/($AI$2*AK216+$AJ$2*AL216*COS(RADIANS(0.25*(_xlfn.SEQUENCE(AO216-AN216,1,AN216+1))))+0.50572*POWER(96.07995-DEGREES(ACOS($AI$2*AK216+$AJ$2*AL216*COS(RADIANS(0.25*(_xlfn.SEQUENCE(AO216-AN216,1,AN216+1)))))),-1.6364)),0.678))/60)</f>
        <v>10295.392888378585</v>
      </c>
      <c r="AR216" s="15">
        <f t="shared" si="142"/>
        <v>1.6032784882132871</v>
      </c>
      <c r="AT216">
        <v>0.45450189552245535</v>
      </c>
      <c r="AU216">
        <v>62.967110109176637</v>
      </c>
      <c r="AV216">
        <v>2.1922685506311428</v>
      </c>
      <c r="AW216">
        <v>742.04959398649373</v>
      </c>
    </row>
    <row r="217" spans="4:49" ht="17" x14ac:dyDescent="0.2">
      <c r="D217" s="1">
        <f t="shared" si="143"/>
        <v>46238</v>
      </c>
      <c r="E217" s="6">
        <f t="shared" si="110"/>
        <v>0.5</v>
      </c>
      <c r="F217" s="2">
        <f t="shared" si="111"/>
        <v>2461257.3333333335</v>
      </c>
      <c r="G217" s="3">
        <f t="shared" si="112"/>
        <v>0.26590919461556439</v>
      </c>
      <c r="I217">
        <f t="shared" si="113"/>
        <v>133.40219247418281</v>
      </c>
      <c r="J217">
        <f t="shared" si="114"/>
        <v>9930.0075686713262</v>
      </c>
      <c r="K217">
        <f t="shared" si="115"/>
        <v>1.6697447016520383E-2</v>
      </c>
      <c r="L217">
        <f t="shared" si="116"/>
        <v>-0.93987411492927941</v>
      </c>
      <c r="M217">
        <f t="shared" si="117"/>
        <v>132.46231835925354</v>
      </c>
      <c r="N217">
        <f t="shared" si="118"/>
        <v>9929.0676945563973</v>
      </c>
      <c r="O217">
        <f t="shared" si="119"/>
        <v>1.0145285899316718</v>
      </c>
      <c r="P217">
        <f t="shared" si="120"/>
        <v>132.45896502751134</v>
      </c>
      <c r="Q217">
        <f t="shared" si="121"/>
        <v>23.435833181506734</v>
      </c>
      <c r="R217">
        <f t="shared" si="122"/>
        <v>23.438066453646595</v>
      </c>
      <c r="S217">
        <f t="shared" si="123"/>
        <v>134.92258188471089</v>
      </c>
      <c r="T217" s="19">
        <f t="shared" si="124"/>
        <v>17.064616155519786</v>
      </c>
      <c r="U217">
        <f t="shared" si="125"/>
        <v>4.3029904540982926E-2</v>
      </c>
      <c r="V217">
        <f t="shared" si="126"/>
        <v>-6.0931817706056197</v>
      </c>
      <c r="W217">
        <f t="shared" si="127"/>
        <v>104.80847854432062</v>
      </c>
      <c r="X217" s="6">
        <f t="shared" si="128"/>
        <v>0.50965323734069834</v>
      </c>
      <c r="Y217" s="6">
        <f t="shared" si="129"/>
        <v>0.21851857471758554</v>
      </c>
      <c r="Z217" s="6">
        <f t="shared" si="130"/>
        <v>0.80078789996381117</v>
      </c>
      <c r="AA217" s="19">
        <f t="shared" si="131"/>
        <v>838.46782835456497</v>
      </c>
      <c r="AB217">
        <f t="shared" si="132"/>
        <v>706.09933822939433</v>
      </c>
      <c r="AC217">
        <f t="shared" si="133"/>
        <v>-3.4751654426514165</v>
      </c>
      <c r="AD217">
        <f t="shared" si="108"/>
        <v>20.761676824894646</v>
      </c>
      <c r="AE217">
        <f t="shared" si="134"/>
        <v>69.23832317510535</v>
      </c>
      <c r="AF217">
        <f t="shared" si="135"/>
        <v>6.1171803284332093E-3</v>
      </c>
      <c r="AG217">
        <f t="shared" si="136"/>
        <v>69.244440355433781</v>
      </c>
      <c r="AH217">
        <f t="shared" si="109"/>
        <v>170.59161209608578</v>
      </c>
      <c r="AK217">
        <f t="shared" si="137"/>
        <v>0.29345000527880866</v>
      </c>
      <c r="AL217">
        <f t="shared" si="138"/>
        <v>0.95597442141611044</v>
      </c>
      <c r="AM217">
        <f t="shared" si="139"/>
        <v>838</v>
      </c>
      <c r="AN217">
        <f t="shared" si="140"/>
        <v>-419</v>
      </c>
      <c r="AO217">
        <f t="shared" si="141"/>
        <v>419</v>
      </c>
      <c r="AP217" s="16" cm="1">
        <f t="array" ref="AP217">SUMPRODUCT(1362*POWER(0.7,POWER(1/($AI$2*AK217+$AJ$2*AL217*COS(RADIANS(0.25*(_xlfn.SEQUENCE(AO217-AN217,1,AN217+1))))+0.50572*POWER(96.07995-DEGREES(ACOS($AI$2*AK217+$AJ$2*AL217*COS(RADIANS(0.25*(_xlfn.SEQUENCE(AO217-AN217,1,AN217+1)))))),-1.6364)),0.678))*IF(AL217*COS(RADIANS(0.25*(_xlfn.SEQUENCE(AO217-AN217,1,AN217+1))))&gt;0,AL217*COS(RADIANS(0.25*(_xlfn.SEQUENCE(AO217-AN217,1,AN217+1)))),0)/60)</f>
        <v>6425.4322588718023</v>
      </c>
      <c r="AQ217" s="17" cm="1">
        <f t="array" ref="AQ217">SUMPRODUCT(1362*POWER(0.7,POWER(1/($AI$2*AK217+$AJ$2*AL217*COS(RADIANS(0.25*(_xlfn.SEQUENCE(AO217-AN217,1,AN217+1))))+0.50572*POWER(96.07995-DEGREES(ACOS($AI$2*AK217+$AJ$2*AL217*COS(RADIANS(0.25*(_xlfn.SEQUENCE(AO217-AN217,1,AN217+1)))))),-1.6364)),0.678))/60)</f>
        <v>10268.348450992551</v>
      </c>
      <c r="AR217" s="15">
        <f t="shared" si="142"/>
        <v>1.5980790143440871</v>
      </c>
      <c r="AT217">
        <v>0.45549883129952917</v>
      </c>
      <c r="AU217">
        <v>62.902965494971454</v>
      </c>
      <c r="AV217">
        <v>2.1875125980450036</v>
      </c>
      <c r="AW217">
        <v>742.71295632460919</v>
      </c>
    </row>
    <row r="218" spans="4:49" ht="17" x14ac:dyDescent="0.2">
      <c r="D218" s="1">
        <f t="shared" si="143"/>
        <v>46239</v>
      </c>
      <c r="E218" s="6">
        <f t="shared" si="110"/>
        <v>0.5</v>
      </c>
      <c r="F218" s="2">
        <f t="shared" si="111"/>
        <v>2461258.3333333335</v>
      </c>
      <c r="G218" s="3">
        <f t="shared" si="112"/>
        <v>0.26593657312343572</v>
      </c>
      <c r="I218">
        <f t="shared" si="113"/>
        <v>134.38783983876056</v>
      </c>
      <c r="J218">
        <f t="shared" si="114"/>
        <v>9930.9931689508121</v>
      </c>
      <c r="K218">
        <f t="shared" si="115"/>
        <v>1.6697445863765151E-2</v>
      </c>
      <c r="L218">
        <f t="shared" si="116"/>
        <v>-0.96789889635243631</v>
      </c>
      <c r="M218">
        <f t="shared" si="117"/>
        <v>133.41994094240812</v>
      </c>
      <c r="N218">
        <f t="shared" si="118"/>
        <v>9930.0252700544588</v>
      </c>
      <c r="O218">
        <f t="shared" si="119"/>
        <v>1.0143869296793957</v>
      </c>
      <c r="P218">
        <f t="shared" si="120"/>
        <v>133.41659146359657</v>
      </c>
      <c r="Q218">
        <f t="shared" si="121"/>
        <v>23.435832825472595</v>
      </c>
      <c r="R218">
        <f t="shared" si="122"/>
        <v>23.438064940058574</v>
      </c>
      <c r="S218">
        <f t="shared" si="123"/>
        <v>135.88259992226003</v>
      </c>
      <c r="T218" s="19">
        <f t="shared" si="124"/>
        <v>16.793392146794812</v>
      </c>
      <c r="U218">
        <f t="shared" si="125"/>
        <v>4.3029898825315036E-2</v>
      </c>
      <c r="V218">
        <f t="shared" si="126"/>
        <v>-5.9907213818040157</v>
      </c>
      <c r="W218">
        <f t="shared" si="127"/>
        <v>104.57090759390951</v>
      </c>
      <c r="X218" s="6">
        <f t="shared" si="128"/>
        <v>0.5095820842929194</v>
      </c>
      <c r="Y218" s="6">
        <f t="shared" si="129"/>
        <v>0.21910734097650406</v>
      </c>
      <c r="Z218" s="6">
        <f t="shared" si="130"/>
        <v>0.80005682760933472</v>
      </c>
      <c r="AA218" s="19">
        <f t="shared" si="131"/>
        <v>836.56726075127608</v>
      </c>
      <c r="AB218">
        <f t="shared" si="132"/>
        <v>706.20179861819588</v>
      </c>
      <c r="AC218">
        <f t="shared" si="133"/>
        <v>-3.4495503454510299</v>
      </c>
      <c r="AD218">
        <f t="shared" si="108"/>
        <v>21.02716089654513</v>
      </c>
      <c r="AE218">
        <f t="shared" si="134"/>
        <v>68.972839103454874</v>
      </c>
      <c r="AF218">
        <f t="shared" si="135"/>
        <v>6.202814210531038E-3</v>
      </c>
      <c r="AG218">
        <f t="shared" si="136"/>
        <v>68.979041917665398</v>
      </c>
      <c r="AH218">
        <f t="shared" si="109"/>
        <v>170.76173502003564</v>
      </c>
      <c r="AK218">
        <f t="shared" si="137"/>
        <v>0.28892138851854643</v>
      </c>
      <c r="AL218">
        <f t="shared" si="138"/>
        <v>0.95735282485430373</v>
      </c>
      <c r="AM218">
        <f t="shared" si="139"/>
        <v>837</v>
      </c>
      <c r="AN218">
        <f t="shared" si="140"/>
        <v>-418.5</v>
      </c>
      <c r="AO218">
        <f t="shared" si="141"/>
        <v>418.5</v>
      </c>
      <c r="AP218" s="16" cm="1">
        <f t="array" ref="AP218">SUMPRODUCT(1362*POWER(0.7,POWER(1/($AI$2*AK218+$AJ$2*AL218*COS(RADIANS(0.25*(_xlfn.SEQUENCE(AO218-AN218,1,AN218+1))))+0.50572*POWER(96.07995-DEGREES(ACOS($AI$2*AK218+$AJ$2*AL218*COS(RADIANS(0.25*(_xlfn.SEQUENCE(AO218-AN218,1,AN218+1)))))),-1.6364)),0.678))*IF(AL218*COS(RADIANS(0.25*(_xlfn.SEQUENCE(AO218-AN218,1,AN218+1))))&gt;0,AL218*COS(RADIANS(0.25*(_xlfn.SEQUENCE(AO218-AN218,1,AN218+1)))),0)/60)</f>
        <v>6429.2525305465697</v>
      </c>
      <c r="AQ218" s="17" cm="1">
        <f t="array" ref="AQ218">SUMPRODUCT(1362*POWER(0.7,POWER(1/($AI$2*AK218+$AJ$2*AL218*COS(RADIANS(0.25*(_xlfn.SEQUENCE(AO218-AN218,1,AN218+1))))+0.50572*POWER(96.07995-DEGREES(ACOS($AI$2*AK218+$AJ$2*AL218*COS(RADIANS(0.25*(_xlfn.SEQUENCE(AO218-AN218,1,AN218+1)))))),-1.6364)),0.678))/60)</f>
        <v>10240.959832899387</v>
      </c>
      <c r="AR218" s="15">
        <f t="shared" si="142"/>
        <v>1.592869432992823</v>
      </c>
      <c r="AT218">
        <v>0.45648256598098969</v>
      </c>
      <c r="AU218">
        <v>62.839634225766957</v>
      </c>
      <c r="AV218">
        <v>2.1828396964692116</v>
      </c>
      <c r="AW218">
        <v>743.36576530371644</v>
      </c>
    </row>
    <row r="219" spans="4:49" ht="17" x14ac:dyDescent="0.2">
      <c r="D219" s="1">
        <f t="shared" si="143"/>
        <v>46240</v>
      </c>
      <c r="E219" s="6">
        <f t="shared" si="110"/>
        <v>0.5</v>
      </c>
      <c r="F219" s="2">
        <f t="shared" si="111"/>
        <v>2461259.3333333335</v>
      </c>
      <c r="G219" s="3">
        <f t="shared" si="112"/>
        <v>0.26596395163130698</v>
      </c>
      <c r="I219">
        <f t="shared" si="113"/>
        <v>135.3734872033383</v>
      </c>
      <c r="J219">
        <f t="shared" si="114"/>
        <v>9931.978769230298</v>
      </c>
      <c r="K219">
        <f t="shared" si="115"/>
        <v>1.6697444711009729E-2</v>
      </c>
      <c r="L219">
        <f t="shared" si="116"/>
        <v>-0.99565223499110089</v>
      </c>
      <c r="M219">
        <f t="shared" si="117"/>
        <v>134.3778349683472</v>
      </c>
      <c r="N219">
        <f t="shared" si="118"/>
        <v>9930.9831169953068</v>
      </c>
      <c r="O219">
        <f t="shared" si="119"/>
        <v>1.0142411121519856</v>
      </c>
      <c r="P219">
        <f t="shared" si="120"/>
        <v>134.37448934046711</v>
      </c>
      <c r="Q219">
        <f t="shared" si="121"/>
        <v>23.435832469438452</v>
      </c>
      <c r="R219">
        <f t="shared" si="122"/>
        <v>23.438063424563925</v>
      </c>
      <c r="S219">
        <f t="shared" si="123"/>
        <v>136.84012758769418</v>
      </c>
      <c r="T219" s="19">
        <f t="shared" si="124"/>
        <v>16.517653001806949</v>
      </c>
      <c r="U219">
        <f t="shared" si="125"/>
        <v>4.3029893102447703E-2</v>
      </c>
      <c r="V219">
        <f t="shared" si="126"/>
        <v>-5.8783096152952856</v>
      </c>
      <c r="W219">
        <f t="shared" si="127"/>
        <v>104.33036355713872</v>
      </c>
      <c r="X219" s="6">
        <f t="shared" si="128"/>
        <v>0.50950402056617727</v>
      </c>
      <c r="Y219" s="6">
        <f t="shared" si="129"/>
        <v>0.21969745512968078</v>
      </c>
      <c r="Z219" s="6">
        <f t="shared" si="130"/>
        <v>0.79931058600267368</v>
      </c>
      <c r="AA219" s="19">
        <f t="shared" si="131"/>
        <v>834.6429084571098</v>
      </c>
      <c r="AB219">
        <f t="shared" si="132"/>
        <v>706.31421038470467</v>
      </c>
      <c r="AC219">
        <f t="shared" si="133"/>
        <v>-3.4214474038238336</v>
      </c>
      <c r="AD219">
        <f t="shared" si="108"/>
        <v>21.296963872667032</v>
      </c>
      <c r="AE219">
        <f t="shared" si="134"/>
        <v>68.703036127332965</v>
      </c>
      <c r="AF219">
        <f t="shared" si="135"/>
        <v>6.2901530194297778E-3</v>
      </c>
      <c r="AG219">
        <f t="shared" si="136"/>
        <v>68.7093262803524</v>
      </c>
      <c r="AH219">
        <f t="shared" si="109"/>
        <v>170.9361254147891</v>
      </c>
      <c r="AK219">
        <f t="shared" si="137"/>
        <v>0.28431074645980409</v>
      </c>
      <c r="AL219">
        <f t="shared" si="138"/>
        <v>0.95873218337941957</v>
      </c>
      <c r="AM219">
        <f t="shared" si="139"/>
        <v>835</v>
      </c>
      <c r="AN219">
        <f t="shared" si="140"/>
        <v>-417.5</v>
      </c>
      <c r="AO219">
        <f t="shared" si="141"/>
        <v>417.5</v>
      </c>
      <c r="AP219" s="16" cm="1">
        <f t="array" ref="AP219">SUMPRODUCT(1362*POWER(0.7,POWER(1/($AI$2*AK219+$AJ$2*AL219*COS(RADIANS(0.25*(_xlfn.SEQUENCE(AO219-AN219,1,AN219+1))))+0.50572*POWER(96.07995-DEGREES(ACOS($AI$2*AK219+$AJ$2*AL219*COS(RADIANS(0.25*(_xlfn.SEQUENCE(AO219-AN219,1,AN219+1)))))),-1.6364)),0.678))*IF(AL219*COS(RADIANS(0.25*(_xlfn.SEQUENCE(AO219-AN219,1,AN219+1))))&gt;0,AL219*COS(RADIANS(0.25*(_xlfn.SEQUENCE(AO219-AN219,1,AN219+1)))),0)/60)</f>
        <v>6432.8947301643002</v>
      </c>
      <c r="AQ219" s="17" cm="1">
        <f t="array" ref="AQ219">SUMPRODUCT(1362*POWER(0.7,POWER(1/($AI$2*AK219+$AJ$2*AL219*COS(RADIANS(0.25*(_xlfn.SEQUENCE(AO219-AN219,1,AN219+1))))+0.50572*POWER(96.07995-DEGREES(ACOS($AI$2*AK219+$AJ$2*AL219*COS(RADIANS(0.25*(_xlfn.SEQUENCE(AO219-AN219,1,AN219+1)))))),-1.6364)),0.678))/60)</f>
        <v>10212.989649277833</v>
      </c>
      <c r="AR219" s="15">
        <f t="shared" si="142"/>
        <v>1.5876195830453124</v>
      </c>
      <c r="AT219">
        <v>0.45745308083794634</v>
      </c>
      <c r="AU219">
        <v>62.777118813885892</v>
      </c>
      <c r="AV219">
        <v>2.1782490079426999</v>
      </c>
      <c r="AW219">
        <v>744.00808667329318</v>
      </c>
    </row>
    <row r="220" spans="4:49" ht="17" x14ac:dyDescent="0.2">
      <c r="D220" s="1">
        <f t="shared" si="143"/>
        <v>46241</v>
      </c>
      <c r="E220" s="6">
        <f t="shared" si="110"/>
        <v>0.5</v>
      </c>
      <c r="F220" s="2">
        <f t="shared" si="111"/>
        <v>2461260.3333333335</v>
      </c>
      <c r="G220" s="3">
        <f t="shared" si="112"/>
        <v>0.26599133013917831</v>
      </c>
      <c r="I220">
        <f t="shared" si="113"/>
        <v>136.35913456791968</v>
      </c>
      <c r="J220">
        <f t="shared" si="114"/>
        <v>9932.964369509782</v>
      </c>
      <c r="K220">
        <f t="shared" si="115"/>
        <v>1.6697443558254116E-2</v>
      </c>
      <c r="L220">
        <f t="shared" si="116"/>
        <v>-1.0231261984520681</v>
      </c>
      <c r="M220">
        <f t="shared" si="117"/>
        <v>135.33600836946761</v>
      </c>
      <c r="N220">
        <f t="shared" si="118"/>
        <v>9931.9412433113303</v>
      </c>
      <c r="O220">
        <f t="shared" si="119"/>
        <v>1.014091176912405</v>
      </c>
      <c r="P220">
        <f t="shared" si="120"/>
        <v>135.33266659051648</v>
      </c>
      <c r="Q220">
        <f t="shared" si="121"/>
        <v>23.435832113404313</v>
      </c>
      <c r="R220">
        <f t="shared" si="122"/>
        <v>23.438061907163647</v>
      </c>
      <c r="S220">
        <f t="shared" si="123"/>
        <v>137.79518275012242</v>
      </c>
      <c r="T220" s="19">
        <f t="shared" si="124"/>
        <v>16.237482308515759</v>
      </c>
      <c r="U220">
        <f t="shared" si="125"/>
        <v>4.3029887372384647E-2</v>
      </c>
      <c r="V220">
        <f t="shared" si="126"/>
        <v>-5.7560212777912847</v>
      </c>
      <c r="W220">
        <f t="shared" si="127"/>
        <v>104.08694534053426</v>
      </c>
      <c r="X220" s="6">
        <f t="shared" si="128"/>
        <v>0.5094190981095772</v>
      </c>
      <c r="Y220" s="6">
        <f t="shared" si="129"/>
        <v>0.22028869438587093</v>
      </c>
      <c r="Z220" s="6">
        <f t="shared" si="130"/>
        <v>0.79854950183328355</v>
      </c>
      <c r="AA220" s="19">
        <f t="shared" si="131"/>
        <v>832.69556272427405</v>
      </c>
      <c r="AB220">
        <f t="shared" si="132"/>
        <v>706.43649872220863</v>
      </c>
      <c r="AC220">
        <f t="shared" si="133"/>
        <v>-3.3908753194478436</v>
      </c>
      <c r="AD220">
        <f t="shared" si="108"/>
        <v>21.571021719693977</v>
      </c>
      <c r="AE220">
        <f t="shared" si="134"/>
        <v>68.428978280306026</v>
      </c>
      <c r="AF220">
        <f t="shared" si="135"/>
        <v>6.3791967241297433E-3</v>
      </c>
      <c r="AG220">
        <f t="shared" si="136"/>
        <v>68.435357477030152</v>
      </c>
      <c r="AH220">
        <f t="shared" si="109"/>
        <v>171.11449087949836</v>
      </c>
      <c r="AK220">
        <f t="shared" si="137"/>
        <v>0.27961926052852354</v>
      </c>
      <c r="AL220">
        <f t="shared" si="138"/>
        <v>0.96011096709780464</v>
      </c>
      <c r="AM220">
        <f t="shared" si="139"/>
        <v>833</v>
      </c>
      <c r="AN220">
        <f t="shared" si="140"/>
        <v>-416.5</v>
      </c>
      <c r="AO220">
        <f t="shared" si="141"/>
        <v>416.5</v>
      </c>
      <c r="AP220" s="16" cm="1">
        <f t="array" ref="AP220">SUMPRODUCT(1362*POWER(0.7,POWER(1/($AI$2*AK220+$AJ$2*AL220*COS(RADIANS(0.25*(_xlfn.SEQUENCE(AO220-AN220,1,AN220+1))))+0.50572*POWER(96.07995-DEGREES(ACOS($AI$2*AK220+$AJ$2*AL220*COS(RADIANS(0.25*(_xlfn.SEQUENCE(AO220-AN220,1,AN220+1)))))),-1.6364)),0.678))*IF(AL220*COS(RADIANS(0.25*(_xlfn.SEQUENCE(AO220-AN220,1,AN220+1))))&gt;0,AL220*COS(RADIANS(0.25*(_xlfn.SEQUENCE(AO220-AN220,1,AN220+1)))),0)/60)</f>
        <v>6436.3531909726344</v>
      </c>
      <c r="AQ220" s="17" cm="1">
        <f t="array" ref="AQ220">SUMPRODUCT(1362*POWER(0.7,POWER(1/($AI$2*AK220+$AJ$2*AL220*COS(RADIANS(0.25*(_xlfn.SEQUENCE(AO220-AN220,1,AN220+1))))+0.50572*POWER(96.07995-DEGREES(ACOS($AI$2*AK220+$AJ$2*AL220*COS(RADIANS(0.25*(_xlfn.SEQUENCE(AO220-AN220,1,AN220+1)))))),-1.6364)),0.678))/60)</f>
        <v>10184.565779886705</v>
      </c>
      <c r="AR220" s="15">
        <f t="shared" si="142"/>
        <v>1.5823503586116374</v>
      </c>
      <c r="AT220">
        <v>0.45841035739319536</v>
      </c>
      <c r="AU220">
        <v>62.715421749146238</v>
      </c>
      <c r="AV220">
        <v>2.1737397135777825</v>
      </c>
      <c r="AW220">
        <v>744.63998489375581</v>
      </c>
    </row>
    <row r="221" spans="4:49" ht="17" x14ac:dyDescent="0.2">
      <c r="D221" s="1">
        <f t="shared" si="143"/>
        <v>46242</v>
      </c>
      <c r="E221" s="6">
        <f t="shared" si="110"/>
        <v>0.5</v>
      </c>
      <c r="F221" s="2">
        <f t="shared" si="111"/>
        <v>2461261.3333333335</v>
      </c>
      <c r="G221" s="3">
        <f t="shared" si="112"/>
        <v>0.26601870864704963</v>
      </c>
      <c r="I221">
        <f t="shared" si="113"/>
        <v>137.34478193249925</v>
      </c>
      <c r="J221">
        <f t="shared" si="114"/>
        <v>9933.9499697892697</v>
      </c>
      <c r="K221">
        <f t="shared" si="115"/>
        <v>1.6697442405498315E-2</v>
      </c>
      <c r="L221">
        <f t="shared" si="116"/>
        <v>-1.050312919976947</v>
      </c>
      <c r="M221">
        <f t="shared" si="117"/>
        <v>136.29446901252228</v>
      </c>
      <c r="N221">
        <f t="shared" si="118"/>
        <v>9932.8996568692928</v>
      </c>
      <c r="O221">
        <f t="shared" si="119"/>
        <v>1.0139371646769733</v>
      </c>
      <c r="P221">
        <f t="shared" si="120"/>
        <v>136.2911310804943</v>
      </c>
      <c r="Q221">
        <f t="shared" si="121"/>
        <v>23.435831757370174</v>
      </c>
      <c r="R221">
        <f t="shared" si="122"/>
        <v>23.438060387858727</v>
      </c>
      <c r="S221">
        <f t="shared" si="123"/>
        <v>138.74778612080323</v>
      </c>
      <c r="T221" s="19">
        <f t="shared" si="124"/>
        <v>15.95296416761804</v>
      </c>
      <c r="U221">
        <f t="shared" si="125"/>
        <v>4.3029881635129635E-2</v>
      </c>
      <c r="V221">
        <f t="shared" si="126"/>
        <v>-5.6239426727667841</v>
      </c>
      <c r="W221">
        <f t="shared" si="127"/>
        <v>103.84075011602734</v>
      </c>
      <c r="X221" s="6">
        <f t="shared" si="128"/>
        <v>0.50932737685608798</v>
      </c>
      <c r="Y221" s="6">
        <f t="shared" si="129"/>
        <v>0.22088084875601202</v>
      </c>
      <c r="Z221" s="6">
        <f t="shared" si="130"/>
        <v>0.79777390495616396</v>
      </c>
      <c r="AA221" s="19">
        <f t="shared" si="131"/>
        <v>830.7260009282187</v>
      </c>
      <c r="AB221">
        <f t="shared" si="132"/>
        <v>706.56857732723324</v>
      </c>
      <c r="AC221">
        <f t="shared" si="133"/>
        <v>-3.3578556681916893</v>
      </c>
      <c r="AD221">
        <f t="shared" si="108"/>
        <v>21.849270026982378</v>
      </c>
      <c r="AE221">
        <f t="shared" si="134"/>
        <v>68.150729973017619</v>
      </c>
      <c r="AF221">
        <f t="shared" si="135"/>
        <v>6.4699457142547139E-3</v>
      </c>
      <c r="AG221">
        <f t="shared" si="136"/>
        <v>68.157199918731877</v>
      </c>
      <c r="AH221">
        <f t="shared" si="109"/>
        <v>171.29654362040299</v>
      </c>
      <c r="AK221">
        <f t="shared" si="137"/>
        <v>0.27484813432596161</v>
      </c>
      <c r="AL221">
        <f t="shared" si="138"/>
        <v>0.96148765101666189</v>
      </c>
      <c r="AM221">
        <f t="shared" si="139"/>
        <v>831</v>
      </c>
      <c r="AN221">
        <f t="shared" si="140"/>
        <v>-415.5</v>
      </c>
      <c r="AO221">
        <f t="shared" si="141"/>
        <v>415.5</v>
      </c>
      <c r="AP221" s="16" cm="1">
        <f t="array" ref="AP221">SUMPRODUCT(1362*POWER(0.7,POWER(1/($AI$2*AK221+$AJ$2*AL221*COS(RADIANS(0.25*(_xlfn.SEQUENCE(AO221-AN221,1,AN221+1))))+0.50572*POWER(96.07995-DEGREES(ACOS($AI$2*AK221+$AJ$2*AL221*COS(RADIANS(0.25*(_xlfn.SEQUENCE(AO221-AN221,1,AN221+1)))))),-1.6364)),0.678))*IF(AL221*COS(RADIANS(0.25*(_xlfn.SEQUENCE(AO221-AN221,1,AN221+1))))&gt;0,AL221*COS(RADIANS(0.25*(_xlfn.SEQUENCE(AO221-AN221,1,AN221+1)))),0)/60)</f>
        <v>6439.6145675154185</v>
      </c>
      <c r="AQ221" s="17" cm="1">
        <f t="array" ref="AQ221">SUMPRODUCT(1362*POWER(0.7,POWER(1/($AI$2*AK221+$AJ$2*AL221*COS(RADIANS(0.25*(_xlfn.SEQUENCE(AO221-AN221,1,AN221+1))))+0.50572*POWER(96.07995-DEGREES(ACOS($AI$2*AK221+$AJ$2*AL221*COS(RADIANS(0.25*(_xlfn.SEQUENCE(AO221-AN221,1,AN221+1)))))),-1.6364)),0.678))/60)</f>
        <v>10155.694812081547</v>
      </c>
      <c r="AR221" s="15">
        <f t="shared" si="142"/>
        <v>1.5770656311189593</v>
      </c>
      <c r="AT221">
        <v>0.45935437742157093</v>
      </c>
      <c r="AU221">
        <v>62.654545498425996</v>
      </c>
      <c r="AV221">
        <v>2.1693110131755282</v>
      </c>
      <c r="AW221">
        <v>745.26152315462389</v>
      </c>
    </row>
    <row r="222" spans="4:49" ht="17" x14ac:dyDescent="0.2">
      <c r="D222" s="1">
        <f t="shared" si="143"/>
        <v>46243</v>
      </c>
      <c r="E222" s="6">
        <f t="shared" si="110"/>
        <v>0.5</v>
      </c>
      <c r="F222" s="2">
        <f t="shared" si="111"/>
        <v>2461262.3333333335</v>
      </c>
      <c r="G222" s="3">
        <f t="shared" si="112"/>
        <v>0.26604608715492095</v>
      </c>
      <c r="I222">
        <f t="shared" si="113"/>
        <v>138.33042929708063</v>
      </c>
      <c r="J222">
        <f t="shared" si="114"/>
        <v>9934.9355700687556</v>
      </c>
      <c r="K222">
        <f t="shared" si="115"/>
        <v>1.6697441252742324E-2</v>
      </c>
      <c r="L222">
        <f t="shared" si="116"/>
        <v>-1.0772046004516318</v>
      </c>
      <c r="M222">
        <f t="shared" si="117"/>
        <v>137.25322469662899</v>
      </c>
      <c r="N222">
        <f t="shared" si="118"/>
        <v>9933.8583654683043</v>
      </c>
      <c r="O222">
        <f t="shared" si="119"/>
        <v>1.0137791173073494</v>
      </c>
      <c r="P222">
        <f t="shared" si="120"/>
        <v>137.24989060951506</v>
      </c>
      <c r="Q222">
        <f t="shared" si="121"/>
        <v>23.435831401336035</v>
      </c>
      <c r="R222">
        <f t="shared" si="122"/>
        <v>23.438058866650163</v>
      </c>
      <c r="S222">
        <f t="shared" si="123"/>
        <v>139.69796119341225</v>
      </c>
      <c r="T222" s="19">
        <f t="shared" si="124"/>
        <v>15.664183154786004</v>
      </c>
      <c r="U222">
        <f t="shared" si="125"/>
        <v>4.3029875890686443E-2</v>
      </c>
      <c r="V222">
        <f t="shared" si="126"/>
        <v>-5.4821713195645714</v>
      </c>
      <c r="W222">
        <f t="shared" si="127"/>
        <v>103.59187326348282</v>
      </c>
      <c r="X222" s="6">
        <f t="shared" si="128"/>
        <v>0.50922892452747526</v>
      </c>
      <c r="Y222" s="6">
        <f t="shared" si="129"/>
        <v>0.22147372101780077</v>
      </c>
      <c r="Z222" s="6">
        <f t="shared" si="130"/>
        <v>0.79698412803714969</v>
      </c>
      <c r="AA222" s="19">
        <f t="shared" si="131"/>
        <v>828.7349861078626</v>
      </c>
      <c r="AB222">
        <f t="shared" si="132"/>
        <v>706.71034868043535</v>
      </c>
      <c r="AC222">
        <f t="shared" si="133"/>
        <v>-3.3224128298911637</v>
      </c>
      <c r="AD222">
        <f t="shared" si="108"/>
        <v>22.1316439634885</v>
      </c>
      <c r="AE222">
        <f t="shared" si="134"/>
        <v>67.8683560365115</v>
      </c>
      <c r="AF222">
        <f t="shared" si="135"/>
        <v>6.5624007918494622E-3</v>
      </c>
      <c r="AG222">
        <f t="shared" si="136"/>
        <v>67.87491843730335</v>
      </c>
      <c r="AH222">
        <f t="shared" si="109"/>
        <v>171.48200086904444</v>
      </c>
      <c r="AK222">
        <f t="shared" si="137"/>
        <v>0.26999859347162369</v>
      </c>
      <c r="AL222">
        <f t="shared" si="138"/>
        <v>0.9628607165750116</v>
      </c>
      <c r="AM222">
        <f t="shared" si="139"/>
        <v>829</v>
      </c>
      <c r="AN222">
        <f t="shared" si="140"/>
        <v>-414.5</v>
      </c>
      <c r="AO222">
        <f t="shared" si="141"/>
        <v>414.5</v>
      </c>
      <c r="AP222" s="16" cm="1">
        <f t="array" ref="AP222">SUMPRODUCT(1362*POWER(0.7,POWER(1/($AI$2*AK222+$AJ$2*AL222*COS(RADIANS(0.25*(_xlfn.SEQUENCE(AO222-AN222,1,AN222+1))))+0.50572*POWER(96.07995-DEGREES(ACOS($AI$2*AK222+$AJ$2*AL222*COS(RADIANS(0.25*(_xlfn.SEQUENCE(AO222-AN222,1,AN222+1)))))),-1.6364)),0.678))*IF(AL222*COS(RADIANS(0.25*(_xlfn.SEQUENCE(AO222-AN222,1,AN222+1))))&gt;0,AL222*COS(RADIANS(0.25*(_xlfn.SEQUENCE(AO222-AN222,1,AN222+1)))),0)/60)</f>
        <v>6442.6655503969232</v>
      </c>
      <c r="AQ222" s="17" cm="1">
        <f t="array" ref="AQ222">SUMPRODUCT(1362*POWER(0.7,POWER(1/($AI$2*AK222+$AJ$2*AL222*COS(RADIANS(0.25*(_xlfn.SEQUENCE(AO222-AN222,1,AN222+1))))+0.50572*POWER(96.07995-DEGREES(ACOS($AI$2*AK222+$AJ$2*AL222*COS(RADIANS(0.25*(_xlfn.SEQUENCE(AO222-AN222,1,AN222+1)))))),-1.6364)),0.678))/60)</f>
        <v>10126.383235776864</v>
      </c>
      <c r="AR222" s="15">
        <f t="shared" si="142"/>
        <v>1.5717691934440075</v>
      </c>
      <c r="AT222">
        <v>0.46028512295029256</v>
      </c>
      <c r="AU222">
        <v>62.594492505228921</v>
      </c>
      <c r="AV222">
        <v>2.1649621248524555</v>
      </c>
      <c r="AW222">
        <v>745.87276339224297</v>
      </c>
    </row>
    <row r="223" spans="4:49" ht="17" x14ac:dyDescent="0.2">
      <c r="D223" s="1">
        <f t="shared" si="143"/>
        <v>46244</v>
      </c>
      <c r="E223" s="6">
        <f t="shared" si="110"/>
        <v>0.5</v>
      </c>
      <c r="F223" s="2">
        <f t="shared" si="111"/>
        <v>2461263.3333333335</v>
      </c>
      <c r="G223" s="3">
        <f t="shared" si="112"/>
        <v>0.26607346566279227</v>
      </c>
      <c r="I223">
        <f t="shared" si="113"/>
        <v>139.31607666166383</v>
      </c>
      <c r="J223">
        <f t="shared" si="114"/>
        <v>9935.9211703482397</v>
      </c>
      <c r="K223">
        <f t="shared" si="115"/>
        <v>1.6697440099986142E-2</v>
      </c>
      <c r="L223">
        <f t="shared" si="116"/>
        <v>-1.1037935104149379</v>
      </c>
      <c r="M223">
        <f t="shared" si="117"/>
        <v>138.2122831512489</v>
      </c>
      <c r="N223">
        <f t="shared" si="118"/>
        <v>9934.8173768378256</v>
      </c>
      <c r="O223">
        <f t="shared" si="119"/>
        <v>1.0136170778022444</v>
      </c>
      <c r="P223">
        <f t="shared" si="120"/>
        <v>138.20895290703666</v>
      </c>
      <c r="Q223">
        <f t="shared" si="121"/>
        <v>23.435831045301896</v>
      </c>
      <c r="R223">
        <f t="shared" si="122"/>
        <v>23.438057343538947</v>
      </c>
      <c r="S223">
        <f t="shared" si="123"/>
        <v>140.64573418263072</v>
      </c>
      <c r="T223" s="19">
        <f t="shared" si="124"/>
        <v>15.371224284855337</v>
      </c>
      <c r="U223">
        <f t="shared" si="125"/>
        <v>4.3029870139058783E-2</v>
      </c>
      <c r="V223">
        <f t="shared" si="126"/>
        <v>-5.3308156633229133</v>
      </c>
      <c r="W223">
        <f t="shared" si="127"/>
        <v>103.34040832117228</v>
      </c>
      <c r="X223" s="6">
        <f t="shared" si="128"/>
        <v>0.50912381643286309</v>
      </c>
      <c r="Y223" s="6">
        <f t="shared" si="129"/>
        <v>0.22206712665182901</v>
      </c>
      <c r="Z223" s="6">
        <f t="shared" si="130"/>
        <v>0.79618050621389724</v>
      </c>
      <c r="AA223" s="19">
        <f t="shared" si="131"/>
        <v>826.72326656937821</v>
      </c>
      <c r="AB223">
        <f t="shared" si="132"/>
        <v>706.86170433667712</v>
      </c>
      <c r="AC223">
        <f t="shared" si="133"/>
        <v>-3.2845739158307197</v>
      </c>
      <c r="AD223">
        <f t="shared" si="108"/>
        <v>22.418078235873498</v>
      </c>
      <c r="AE223">
        <f t="shared" si="134"/>
        <v>67.581921764126506</v>
      </c>
      <c r="AF223">
        <f t="shared" si="135"/>
        <v>6.6565631631666719E-3</v>
      </c>
      <c r="AG223">
        <f t="shared" si="136"/>
        <v>67.588578327289667</v>
      </c>
      <c r="AH223">
        <f t="shared" si="109"/>
        <v>171.67058524682511</v>
      </c>
      <c r="AK223">
        <f t="shared" si="137"/>
        <v>0.26507188544197324</v>
      </c>
      <c r="AL223">
        <f t="shared" si="138"/>
        <v>0.96422865314625317</v>
      </c>
      <c r="AM223">
        <f t="shared" si="139"/>
        <v>827</v>
      </c>
      <c r="AN223">
        <f t="shared" si="140"/>
        <v>-413.5</v>
      </c>
      <c r="AO223">
        <f t="shared" si="141"/>
        <v>413.5</v>
      </c>
      <c r="AP223" s="16" cm="1">
        <f t="array" ref="AP223">SUMPRODUCT(1362*POWER(0.7,POWER(1/($AI$2*AK223+$AJ$2*AL223*COS(RADIANS(0.25*(_xlfn.SEQUENCE(AO223-AN223,1,AN223+1))))+0.50572*POWER(96.07995-DEGREES(ACOS($AI$2*AK223+$AJ$2*AL223*COS(RADIANS(0.25*(_xlfn.SEQUENCE(AO223-AN223,1,AN223+1)))))),-1.6364)),0.678))*IF(AL223*COS(RADIANS(0.25*(_xlfn.SEQUENCE(AO223-AN223,1,AN223+1))))&gt;0,AL223*COS(RADIANS(0.25*(_xlfn.SEQUENCE(AO223-AN223,1,AN223+1)))),0)/60)</f>
        <v>6445.4928792581259</v>
      </c>
      <c r="AQ223" s="17" cm="1">
        <f t="array" ref="AQ223">SUMPRODUCT(1362*POWER(0.7,POWER(1/($AI$2*AK223+$AJ$2*AL223*COS(RADIANS(0.25*(_xlfn.SEQUENCE(AO223-AN223,1,AN223+1))))+0.50572*POWER(96.07995-DEGREES(ACOS($AI$2*AK223+$AJ$2*AL223*COS(RADIANS(0.25*(_xlfn.SEQUENCE(AO223-AN223,1,AN223+1)))))),-1.6364)),0.678))/60)</f>
        <v>10096.637442995727</v>
      </c>
      <c r="AR223" s="15">
        <f t="shared" si="142"/>
        <v>1.5664647579531337</v>
      </c>
      <c r="AT223">
        <v>0.46120257625930694</v>
      </c>
      <c r="AU223">
        <v>62.535265189251355</v>
      </c>
      <c r="AV223">
        <v>2.1606922846782233</v>
      </c>
      <c r="AW223">
        <v>746.47376630707674</v>
      </c>
    </row>
    <row r="224" spans="4:49" ht="17" x14ac:dyDescent="0.2">
      <c r="D224" s="1">
        <f t="shared" si="143"/>
        <v>46245</v>
      </c>
      <c r="E224" s="6">
        <f t="shared" si="110"/>
        <v>0.5</v>
      </c>
      <c r="F224" s="2">
        <f t="shared" si="111"/>
        <v>2461264.3333333335</v>
      </c>
      <c r="G224" s="3">
        <f t="shared" si="112"/>
        <v>0.2661008441706636</v>
      </c>
      <c r="I224">
        <f t="shared" si="113"/>
        <v>140.30172402624521</v>
      </c>
      <c r="J224">
        <f t="shared" si="114"/>
        <v>9936.9067706277274</v>
      </c>
      <c r="K224">
        <f t="shared" si="115"/>
        <v>1.6697438947229769E-2</v>
      </c>
      <c r="L224">
        <f t="shared" si="116"/>
        <v>-1.1300719920637958</v>
      </c>
      <c r="M224">
        <f t="shared" si="117"/>
        <v>139.17165203418142</v>
      </c>
      <c r="N224">
        <f t="shared" si="118"/>
        <v>9935.7766986356637</v>
      </c>
      <c r="O224">
        <f t="shared" si="119"/>
        <v>1.0134510902888703</v>
      </c>
      <c r="P224">
        <f t="shared" si="120"/>
        <v>139.16832563085524</v>
      </c>
      <c r="Q224">
        <f t="shared" si="121"/>
        <v>23.435830689267757</v>
      </c>
      <c r="R224">
        <f t="shared" si="122"/>
        <v>23.438055818526077</v>
      </c>
      <c r="S224">
        <f t="shared" si="123"/>
        <v>141.59113396133424</v>
      </c>
      <c r="T224" s="19">
        <f t="shared" si="124"/>
        <v>15.074172977959904</v>
      </c>
      <c r="U224">
        <f t="shared" si="125"/>
        <v>4.302986438025045E-2</v>
      </c>
      <c r="V224">
        <f t="shared" si="126"/>
        <v>-5.1699947771130823</v>
      </c>
      <c r="W224">
        <f t="shared" si="127"/>
        <v>103.08644694392051</v>
      </c>
      <c r="X224" s="6">
        <f t="shared" si="128"/>
        <v>0.50901213526188405</v>
      </c>
      <c r="Y224" s="6">
        <f t="shared" si="129"/>
        <v>0.22266089375099374</v>
      </c>
      <c r="Z224" s="6">
        <f t="shared" si="130"/>
        <v>0.79536337677277436</v>
      </c>
      <c r="AA224" s="19">
        <f t="shared" si="131"/>
        <v>824.69157555136405</v>
      </c>
      <c r="AB224">
        <f t="shared" si="132"/>
        <v>707.022525222887</v>
      </c>
      <c r="AC224">
        <f t="shared" si="133"/>
        <v>-3.2443686942782506</v>
      </c>
      <c r="AD224">
        <f t="shared" si="108"/>
        <v>22.708507048231265</v>
      </c>
      <c r="AE224">
        <f t="shared" si="134"/>
        <v>67.291492951768731</v>
      </c>
      <c r="AF224">
        <f t="shared" si="135"/>
        <v>6.7524344304703892E-3</v>
      </c>
      <c r="AG224">
        <f t="shared" si="136"/>
        <v>67.298245386199198</v>
      </c>
      <c r="AH224">
        <f t="shared" si="109"/>
        <v>171.8620250792228</v>
      </c>
      <c r="AK224">
        <f t="shared" si="137"/>
        <v>0.26006927940455121</v>
      </c>
      <c r="AL224">
        <f t="shared" si="138"/>
        <v>0.96558995951179893</v>
      </c>
      <c r="AM224">
        <f t="shared" si="139"/>
        <v>825</v>
      </c>
      <c r="AN224">
        <f t="shared" si="140"/>
        <v>-412.5</v>
      </c>
      <c r="AO224">
        <f t="shared" si="141"/>
        <v>412.5</v>
      </c>
      <c r="AP224" s="16" cm="1">
        <f t="array" ref="AP224">SUMPRODUCT(1362*POWER(0.7,POWER(1/($AI$2*AK224+$AJ$2*AL224*COS(RADIANS(0.25*(_xlfn.SEQUENCE(AO224-AN224,1,AN224+1))))+0.50572*POWER(96.07995-DEGREES(ACOS($AI$2*AK224+$AJ$2*AL224*COS(RADIANS(0.25*(_xlfn.SEQUENCE(AO224-AN224,1,AN224+1)))))),-1.6364)),0.678))*IF(AL224*COS(RADIANS(0.25*(_xlfn.SEQUENCE(AO224-AN224,1,AN224+1))))&gt;0,AL224*COS(RADIANS(0.25*(_xlfn.SEQUENCE(AO224-AN224,1,AN224+1)))),0)/60)</f>
        <v>6448.0833555669869</v>
      </c>
      <c r="AQ224" s="17" cm="1">
        <f t="array" ref="AQ224">SUMPRODUCT(1362*POWER(0.7,POWER(1/($AI$2*AK224+$AJ$2*AL224*COS(RADIANS(0.25*(_xlfn.SEQUENCE(AO224-AN224,1,AN224+1))))+0.50572*POWER(96.07995-DEGREES(ACOS($AI$2*AK224+$AJ$2*AL224*COS(RADIANS(0.25*(_xlfn.SEQUENCE(AO224-AN224,1,AN224+1)))))),-1.6364)),0.678))/60)</f>
        <v>10066.463728129187</v>
      </c>
      <c r="AR224" s="15">
        <f t="shared" si="142"/>
        <v>1.5611559548835938</v>
      </c>
      <c r="AT224">
        <v>0.46210671988162566</v>
      </c>
      <c r="AU224">
        <v>62.476865945950117</v>
      </c>
      <c r="AV224">
        <v>2.1565007463239798</v>
      </c>
      <c r="AW224">
        <v>747.06459138057699</v>
      </c>
    </row>
    <row r="225" spans="4:49" ht="17" x14ac:dyDescent="0.2">
      <c r="D225" s="1">
        <f t="shared" si="143"/>
        <v>46246</v>
      </c>
      <c r="E225" s="6">
        <f t="shared" si="110"/>
        <v>0.5</v>
      </c>
      <c r="F225" s="2">
        <f t="shared" si="111"/>
        <v>2461265.3333333335</v>
      </c>
      <c r="G225" s="3">
        <f t="shared" si="112"/>
        <v>0.26612822267853492</v>
      </c>
      <c r="I225">
        <f t="shared" si="113"/>
        <v>141.28737139082841</v>
      </c>
      <c r="J225">
        <f t="shared" si="114"/>
        <v>9937.8923709072133</v>
      </c>
      <c r="K225">
        <f t="shared" si="115"/>
        <v>1.6697437794473205E-2</v>
      </c>
      <c r="L225">
        <f t="shared" si="116"/>
        <v>-1.1560324612561848</v>
      </c>
      <c r="M225">
        <f t="shared" si="117"/>
        <v>140.13133892957222</v>
      </c>
      <c r="N225">
        <f t="shared" si="118"/>
        <v>9936.7363384459568</v>
      </c>
      <c r="O225">
        <f t="shared" si="119"/>
        <v>1.0132812000141216</v>
      </c>
      <c r="P225">
        <f t="shared" si="120"/>
        <v>140.12801636511315</v>
      </c>
      <c r="Q225">
        <f t="shared" si="121"/>
        <v>23.435830333233618</v>
      </c>
      <c r="R225">
        <f t="shared" si="122"/>
        <v>23.438054291612548</v>
      </c>
      <c r="S225">
        <f t="shared" si="123"/>
        <v>142.5341919966022</v>
      </c>
      <c r="T225" s="19">
        <f t="shared" si="124"/>
        <v>14.77311502761782</v>
      </c>
      <c r="U225">
        <f t="shared" si="125"/>
        <v>4.3029858614265198E-2</v>
      </c>
      <c r="V225">
        <f t="shared" si="126"/>
        <v>-4.9998380576477981</v>
      </c>
      <c r="W225">
        <f t="shared" si="127"/>
        <v>102.83007886865339</v>
      </c>
      <c r="X225" s="6">
        <f t="shared" si="128"/>
        <v>0.50889397087336652</v>
      </c>
      <c r="Y225" s="6">
        <f t="shared" si="129"/>
        <v>0.22325486290488486</v>
      </c>
      <c r="Z225" s="6">
        <f t="shared" si="130"/>
        <v>0.79453307884184821</v>
      </c>
      <c r="AA225" s="19">
        <f t="shared" si="131"/>
        <v>822.6406309492271</v>
      </c>
      <c r="AB225">
        <f t="shared" si="132"/>
        <v>707.19268194235224</v>
      </c>
      <c r="AC225">
        <f t="shared" si="133"/>
        <v>-3.2018295144119406</v>
      </c>
      <c r="AD225">
        <f t="shared" si="108"/>
        <v>23.002864063586738</v>
      </c>
      <c r="AE225">
        <f t="shared" si="134"/>
        <v>66.997135936413258</v>
      </c>
      <c r="AF225">
        <f t="shared" si="135"/>
        <v>6.8500165838686327E-3</v>
      </c>
      <c r="AG225">
        <f t="shared" si="136"/>
        <v>67.003985952997127</v>
      </c>
      <c r="AH225">
        <f t="shared" si="109"/>
        <v>172.05605466295685</v>
      </c>
      <c r="AK225">
        <f t="shared" si="137"/>
        <v>0.25499206604736985</v>
      </c>
      <c r="AL225">
        <f t="shared" si="138"/>
        <v>0.96694314530529346</v>
      </c>
      <c r="AM225">
        <f t="shared" si="139"/>
        <v>823</v>
      </c>
      <c r="AN225">
        <f t="shared" si="140"/>
        <v>-411.5</v>
      </c>
      <c r="AO225">
        <f t="shared" si="141"/>
        <v>411.5</v>
      </c>
      <c r="AP225" s="16" cm="1">
        <f t="array" ref="AP225">SUMPRODUCT(1362*POWER(0.7,POWER(1/($AI$2*AK225+$AJ$2*AL225*COS(RADIANS(0.25*(_xlfn.SEQUENCE(AO225-AN225,1,AN225+1))))+0.50572*POWER(96.07995-DEGREES(ACOS($AI$2*AK225+$AJ$2*AL225*COS(RADIANS(0.25*(_xlfn.SEQUENCE(AO225-AN225,1,AN225+1)))))),-1.6364)),0.678))*IF(AL225*COS(RADIANS(0.25*(_xlfn.SEQUENCE(AO225-AN225,1,AN225+1))))&gt;0,AL225*COS(RADIANS(0.25*(_xlfn.SEQUENCE(AO225-AN225,1,AN225+1)))),0)/60)</f>
        <v>6450.4238552213146</v>
      </c>
      <c r="AQ225" s="17" cm="1">
        <f t="array" ref="AQ225">SUMPRODUCT(1362*POWER(0.7,POWER(1/($AI$2*AK225+$AJ$2*AL225*COS(RADIANS(0.25*(_xlfn.SEQUENCE(AO225-AN225,1,AN225+1))))+0.50572*POWER(96.07995-DEGREES(ACOS($AI$2*AK225+$AJ$2*AL225*COS(RADIANS(0.25*(_xlfn.SEQUENCE(AO225-AN225,1,AN225+1)))))),-1.6364)),0.678))/60)</f>
        <v>10035.868288838456</v>
      </c>
      <c r="AR225" s="15">
        <f t="shared" si="142"/>
        <v>1.5558463310461208</v>
      </c>
      <c r="AT225">
        <v>0.46299753660365728</v>
      </c>
      <c r="AU225">
        <v>62.419297146111937</v>
      </c>
      <c r="AV225">
        <v>2.1523867807210615</v>
      </c>
      <c r="AW225">
        <v>747.6452968916401</v>
      </c>
    </row>
    <row r="226" spans="4:49" ht="17" x14ac:dyDescent="0.2">
      <c r="D226" s="1">
        <f t="shared" si="143"/>
        <v>46247</v>
      </c>
      <c r="E226" s="6">
        <f t="shared" si="110"/>
        <v>0.5</v>
      </c>
      <c r="F226" s="2">
        <f t="shared" si="111"/>
        <v>2461266.3333333335</v>
      </c>
      <c r="G226" s="3">
        <f t="shared" si="112"/>
        <v>0.26615560118640624</v>
      </c>
      <c r="I226">
        <f t="shared" si="113"/>
        <v>142.27301875541161</v>
      </c>
      <c r="J226">
        <f t="shared" si="114"/>
        <v>9938.8779711866973</v>
      </c>
      <c r="K226">
        <f t="shared" si="115"/>
        <v>1.6697436641716454E-2</v>
      </c>
      <c r="L226">
        <f t="shared" si="116"/>
        <v>-1.1816674095113275</v>
      </c>
      <c r="M226">
        <f t="shared" si="117"/>
        <v>141.09135134590028</v>
      </c>
      <c r="N226">
        <f t="shared" si="118"/>
        <v>9937.6963037771857</v>
      </c>
      <c r="O226">
        <f t="shared" si="119"/>
        <v>1.0131074533354818</v>
      </c>
      <c r="P226">
        <f t="shared" si="120"/>
        <v>141.08803261828609</v>
      </c>
      <c r="Q226">
        <f t="shared" si="121"/>
        <v>23.435829977199479</v>
      </c>
      <c r="R226">
        <f t="shared" si="122"/>
        <v>23.438052762799366</v>
      </c>
      <c r="S226">
        <f t="shared" si="123"/>
        <v>143.47494228472792</v>
      </c>
      <c r="T226" s="19">
        <f t="shared" si="124"/>
        <v>14.468136570778338</v>
      </c>
      <c r="U226">
        <f t="shared" si="125"/>
        <v>4.302985284110683E-2</v>
      </c>
      <c r="V226">
        <f t="shared" si="126"/>
        <v>-4.8204849159136929</v>
      </c>
      <c r="W226">
        <f t="shared" si="127"/>
        <v>102.57139188707339</v>
      </c>
      <c r="X226" s="6">
        <f t="shared" si="128"/>
        <v>0.50876942008049564</v>
      </c>
      <c r="Y226" s="6">
        <f t="shared" si="129"/>
        <v>0.22384888706084732</v>
      </c>
      <c r="Z226" s="6">
        <f t="shared" si="130"/>
        <v>0.7936899531001439</v>
      </c>
      <c r="AA226" s="19">
        <f t="shared" si="131"/>
        <v>820.57113509658711</v>
      </c>
      <c r="AB226">
        <f t="shared" si="132"/>
        <v>707.37203508408629</v>
      </c>
      <c r="AC226">
        <f t="shared" si="133"/>
        <v>-3.156991228978427</v>
      </c>
      <c r="AD226">
        <f t="shared" si="108"/>
        <v>23.301082367274873</v>
      </c>
      <c r="AE226">
        <f t="shared" si="134"/>
        <v>66.698917632725127</v>
      </c>
      <c r="AF226">
        <f t="shared" si="135"/>
        <v>6.9493119931761486E-3</v>
      </c>
      <c r="AG226">
        <f t="shared" si="136"/>
        <v>66.705866944718309</v>
      </c>
      <c r="AH226">
        <f t="shared" si="109"/>
        <v>172.25241448927977</v>
      </c>
      <c r="AK226">
        <f t="shared" si="137"/>
        <v>0.24984155740361622</v>
      </c>
      <c r="AL226">
        <f t="shared" si="138"/>
        <v>0.96828673242698904</v>
      </c>
      <c r="AM226">
        <f t="shared" si="139"/>
        <v>821</v>
      </c>
      <c r="AN226">
        <f t="shared" si="140"/>
        <v>-410.5</v>
      </c>
      <c r="AO226">
        <f t="shared" si="141"/>
        <v>410.5</v>
      </c>
      <c r="AP226" s="16" cm="1">
        <f t="array" ref="AP226">SUMPRODUCT(1362*POWER(0.7,POWER(1/($AI$2*AK226+$AJ$2*AL226*COS(RADIANS(0.25*(_xlfn.SEQUENCE(AO226-AN226,1,AN226+1))))+0.50572*POWER(96.07995-DEGREES(ACOS($AI$2*AK226+$AJ$2*AL226*COS(RADIANS(0.25*(_xlfn.SEQUENCE(AO226-AN226,1,AN226+1)))))),-1.6364)),0.678))*IF(AL226*COS(RADIANS(0.25*(_xlfn.SEQUENCE(AO226-AN226,1,AN226+1))))&gt;0,AL226*COS(RADIANS(0.25*(_xlfn.SEQUENCE(AO226-AN226,1,AN226+1)))),0)/60)</f>
        <v>6452.501340964116</v>
      </c>
      <c r="AQ226" s="17" cm="1">
        <f t="array" ref="AQ226">SUMPRODUCT(1362*POWER(0.7,POWER(1/($AI$2*AK226+$AJ$2*AL226*COS(RADIANS(0.25*(_xlfn.SEQUENCE(AO226-AN226,1,AN226+1))))+0.50572*POWER(96.07995-DEGREES(ACOS($AI$2*AK226+$AJ$2*AL226*COS(RADIANS(0.25*(_xlfn.SEQUENCE(AO226-AN226,1,AN226+1)))))),-1.6364)),0.678))/60)</f>
        <v>10004.857227538421</v>
      </c>
      <c r="AR226" s="15">
        <f t="shared" si="142"/>
        <v>1.5505393488292591</v>
      </c>
      <c r="AT226">
        <v>0.46387500946553573</v>
      </c>
      <c r="AU226">
        <v>62.362561135424365</v>
      </c>
      <c r="AV226">
        <v>2.1483496757297309</v>
      </c>
      <c r="AW226">
        <v>748.2159399326614</v>
      </c>
    </row>
    <row r="227" spans="4:49" ht="17" x14ac:dyDescent="0.2">
      <c r="D227" s="1">
        <f t="shared" si="143"/>
        <v>46248</v>
      </c>
      <c r="E227" s="6">
        <f t="shared" si="110"/>
        <v>0.5</v>
      </c>
      <c r="F227" s="2">
        <f t="shared" si="111"/>
        <v>2461267.3333333335</v>
      </c>
      <c r="G227" s="3">
        <f t="shared" si="112"/>
        <v>0.26618297969427757</v>
      </c>
      <c r="I227">
        <f t="shared" si="113"/>
        <v>143.25866611999481</v>
      </c>
      <c r="J227">
        <f t="shared" si="114"/>
        <v>9939.8635714661814</v>
      </c>
      <c r="K227">
        <f t="shared" si="115"/>
        <v>1.6697435488959512E-2</v>
      </c>
      <c r="L227">
        <f t="shared" si="116"/>
        <v>-1.2069694060069631</v>
      </c>
      <c r="M227">
        <f t="shared" si="117"/>
        <v>142.05169671398784</v>
      </c>
      <c r="N227">
        <f t="shared" si="118"/>
        <v>9938.6566020601749</v>
      </c>
      <c r="O227">
        <f t="shared" si="119"/>
        <v>1.0129298977116614</v>
      </c>
      <c r="P227">
        <f t="shared" si="120"/>
        <v>142.04838182119306</v>
      </c>
      <c r="Q227">
        <f t="shared" si="121"/>
        <v>23.435829621165343</v>
      </c>
      <c r="R227">
        <f t="shared" si="122"/>
        <v>23.438051232087535</v>
      </c>
      <c r="S227">
        <f t="shared" si="123"/>
        <v>144.41342128547419</v>
      </c>
      <c r="T227" s="19">
        <f t="shared" si="124"/>
        <v>14.159324059809494</v>
      </c>
      <c r="U227">
        <f t="shared" si="125"/>
        <v>4.3029847060779135E-2</v>
      </c>
      <c r="V227">
        <f t="shared" si="126"/>
        <v>-4.6320844640508296</v>
      </c>
      <c r="W227">
        <f t="shared" si="127"/>
        <v>102.31047182516065</v>
      </c>
      <c r="X227" s="6">
        <f t="shared" si="128"/>
        <v>0.50863858643336868</v>
      </c>
      <c r="Y227" s="6">
        <f t="shared" si="129"/>
        <v>0.22444283136347801</v>
      </c>
      <c r="Z227" s="6">
        <f t="shared" si="130"/>
        <v>0.79283434150325938</v>
      </c>
      <c r="AA227" s="19">
        <f t="shared" si="131"/>
        <v>818.48377460128518</v>
      </c>
      <c r="AB227">
        <f t="shared" si="132"/>
        <v>707.56043553594918</v>
      </c>
      <c r="AC227">
        <f t="shared" si="133"/>
        <v>-3.1098911160127045</v>
      </c>
      <c r="AD227">
        <f t="shared" si="108"/>
        <v>23.60309443230555</v>
      </c>
      <c r="AE227">
        <f t="shared" si="134"/>
        <v>66.396905567694446</v>
      </c>
      <c r="AF227">
        <f t="shared" si="135"/>
        <v>7.0503233998072063E-3</v>
      </c>
      <c r="AG227">
        <f t="shared" si="136"/>
        <v>66.403955891094256</v>
      </c>
      <c r="AH227">
        <f t="shared" si="109"/>
        <v>172.45085142652761</v>
      </c>
      <c r="AK227">
        <f t="shared" si="137"/>
        <v>0.24461908667129295</v>
      </c>
      <c r="AL227">
        <f t="shared" si="138"/>
        <v>0.96961925642805924</v>
      </c>
      <c r="AM227">
        <f t="shared" si="139"/>
        <v>818</v>
      </c>
      <c r="AN227">
        <f t="shared" si="140"/>
        <v>-409</v>
      </c>
      <c r="AO227">
        <f t="shared" si="141"/>
        <v>409</v>
      </c>
      <c r="AP227" s="16" cm="1">
        <f t="array" ref="AP227">SUMPRODUCT(1362*POWER(0.7,POWER(1/($AI$2*AK227+$AJ$2*AL227*COS(RADIANS(0.25*(_xlfn.SEQUENCE(AO227-AN227,1,AN227+1))))+0.50572*POWER(96.07995-DEGREES(ACOS($AI$2*AK227+$AJ$2*AL227*COS(RADIANS(0.25*(_xlfn.SEQUENCE(AO227-AN227,1,AN227+1)))))),-1.6364)),0.678))*IF(AL227*COS(RADIANS(0.25*(_xlfn.SEQUENCE(AO227-AN227,1,AN227+1))))&gt;0,AL227*COS(RADIANS(0.25*(_xlfn.SEQUENCE(AO227-AN227,1,AN227+1)))),0)/60)</f>
        <v>6454.2960623795498</v>
      </c>
      <c r="AQ227" s="17" cm="1">
        <f t="array" ref="AQ227">SUMPRODUCT(1362*POWER(0.7,POWER(1/($AI$2*AK227+$AJ$2*AL227*COS(RADIANS(0.25*(_xlfn.SEQUENCE(AO227-AN227,1,AN227+1))))+0.50572*POWER(96.07995-DEGREES(ACOS($AI$2*AK227+$AJ$2*AL227*COS(RADIANS(0.25*(_xlfn.SEQUENCE(AO227-AN227,1,AN227+1)))))),-1.6364)),0.678))/60)</f>
        <v>9973.315097483357</v>
      </c>
      <c r="AR227" s="15">
        <f t="shared" si="142"/>
        <v>1.5452211985773745</v>
      </c>
      <c r="AT227">
        <v>0.46473912176144228</v>
      </c>
      <c r="AU227">
        <v>62.30666023404833</v>
      </c>
      <c r="AV227">
        <v>2.1443887358176714</v>
      </c>
      <c r="AW227">
        <v>748.77657642519068</v>
      </c>
    </row>
    <row r="228" spans="4:49" ht="17" x14ac:dyDescent="0.2">
      <c r="D228" s="1">
        <f t="shared" si="143"/>
        <v>46249</v>
      </c>
      <c r="E228" s="6">
        <f t="shared" si="110"/>
        <v>0.5</v>
      </c>
      <c r="F228" s="2">
        <f t="shared" si="111"/>
        <v>2461268.3333333335</v>
      </c>
      <c r="G228" s="3">
        <f t="shared" si="112"/>
        <v>0.26621035820214889</v>
      </c>
      <c r="I228">
        <f t="shared" si="113"/>
        <v>144.2443134845762</v>
      </c>
      <c r="J228">
        <f t="shared" si="114"/>
        <v>9940.8491717456673</v>
      </c>
      <c r="K228">
        <f t="shared" si="115"/>
        <v>1.6697434336202382E-2</v>
      </c>
      <c r="L228">
        <f t="shared" si="116"/>
        <v>-1.2319310995728794</v>
      </c>
      <c r="M228">
        <f t="shared" si="117"/>
        <v>143.01238238500332</v>
      </c>
      <c r="N228">
        <f t="shared" si="118"/>
        <v>9939.6172406460937</v>
      </c>
      <c r="O228">
        <f t="shared" si="119"/>
        <v>1.0127485816929596</v>
      </c>
      <c r="P228">
        <f t="shared" si="120"/>
        <v>143.00907132499921</v>
      </c>
      <c r="Q228">
        <f t="shared" si="121"/>
        <v>23.435829265131204</v>
      </c>
      <c r="R228">
        <f t="shared" si="122"/>
        <v>23.438049699478047</v>
      </c>
      <c r="S228">
        <f t="shared" si="123"/>
        <v>145.34966785573548</v>
      </c>
      <c r="T228" s="19">
        <f t="shared" si="124"/>
        <v>13.846764236424375</v>
      </c>
      <c r="U228">
        <f t="shared" si="125"/>
        <v>4.3029841273285865E-2</v>
      </c>
      <c r="V228">
        <f t="shared" si="126"/>
        <v>-4.4347951997784145</v>
      </c>
      <c r="W228">
        <f t="shared" si="127"/>
        <v>102.04740252921141</v>
      </c>
      <c r="X228" s="6">
        <f t="shared" si="128"/>
        <v>0.50850157999984602</v>
      </c>
      <c r="Y228" s="6">
        <f t="shared" si="129"/>
        <v>0.2250365729742588</v>
      </c>
      <c r="Z228" s="6">
        <f t="shared" si="130"/>
        <v>0.79196658702543332</v>
      </c>
      <c r="AA228" s="19">
        <f t="shared" si="131"/>
        <v>816.37922023369129</v>
      </c>
      <c r="AB228">
        <f t="shared" si="132"/>
        <v>707.75772480022169</v>
      </c>
      <c r="AC228">
        <f t="shared" si="133"/>
        <v>-3.0605687999445763</v>
      </c>
      <c r="AD228">
        <f t="shared" si="108"/>
        <v>23.908832086773739</v>
      </c>
      <c r="AE228">
        <f t="shared" si="134"/>
        <v>66.091167913226258</v>
      </c>
      <c r="AF228">
        <f t="shared" si="135"/>
        <v>7.1530539086836122E-3</v>
      </c>
      <c r="AG228">
        <f t="shared" si="136"/>
        <v>66.098320967134939</v>
      </c>
      <c r="AH228">
        <f t="shared" si="109"/>
        <v>172.65111886490672</v>
      </c>
      <c r="AK228">
        <f t="shared" si="137"/>
        <v>0.23932600802780418</v>
      </c>
      <c r="AL228">
        <f t="shared" si="138"/>
        <v>0.97093926786461537</v>
      </c>
      <c r="AM228">
        <f t="shared" si="139"/>
        <v>816</v>
      </c>
      <c r="AN228">
        <f t="shared" si="140"/>
        <v>-408</v>
      </c>
      <c r="AO228">
        <f t="shared" si="141"/>
        <v>408</v>
      </c>
      <c r="AP228" s="16" cm="1">
        <f t="array" ref="AP228">SUMPRODUCT(1362*POWER(0.7,POWER(1/($AI$2*AK228+$AJ$2*AL228*COS(RADIANS(0.25*(_xlfn.SEQUENCE(AO228-AN228,1,AN228+1))))+0.50572*POWER(96.07995-DEGREES(ACOS($AI$2*AK228+$AJ$2*AL228*COS(RADIANS(0.25*(_xlfn.SEQUENCE(AO228-AN228,1,AN228+1)))))),-1.6364)),0.678))*IF(AL228*COS(RADIANS(0.25*(_xlfn.SEQUENCE(AO228-AN228,1,AN228+1))))&gt;0,AL228*COS(RADIANS(0.25*(_xlfn.SEQUENCE(AO228-AN228,1,AN228+1)))),0)/60)</f>
        <v>6455.8089245919873</v>
      </c>
      <c r="AQ228" s="17" cm="1">
        <f t="array" ref="AQ228">SUMPRODUCT(1362*POWER(0.7,POWER(1/($AI$2*AK228+$AJ$2*AL228*COS(RADIANS(0.25*(_xlfn.SEQUENCE(AO228-AN228,1,AN228+1))))+0.50572*POWER(96.07995-DEGREES(ACOS($AI$2*AK228+$AJ$2*AL228*COS(RADIANS(0.25*(_xlfn.SEQUENCE(AO228-AN228,1,AN228+1)))))),-1.6364)),0.678))/60)</f>
        <v>9941.4922660665979</v>
      </c>
      <c r="AR228" s="15">
        <f t="shared" si="142"/>
        <v>1.539929756625334</v>
      </c>
      <c r="AT228">
        <v>0.46558985703992462</v>
      </c>
      <c r="AU228">
        <v>62.251596736192646</v>
      </c>
      <c r="AV228">
        <v>2.1405032817479395</v>
      </c>
      <c r="AW228">
        <v>749.32726113520459</v>
      </c>
    </row>
    <row r="229" spans="4:49" ht="17" x14ac:dyDescent="0.2">
      <c r="D229" s="1">
        <f t="shared" si="143"/>
        <v>46250</v>
      </c>
      <c r="E229" s="6">
        <f t="shared" si="110"/>
        <v>0.5</v>
      </c>
      <c r="F229" s="2">
        <f t="shared" si="111"/>
        <v>2461269.3333333335</v>
      </c>
      <c r="G229" s="3">
        <f t="shared" si="112"/>
        <v>0.26623773671002021</v>
      </c>
      <c r="I229">
        <f t="shared" si="113"/>
        <v>145.22996084916122</v>
      </c>
      <c r="J229">
        <f t="shared" si="114"/>
        <v>9941.8347720251495</v>
      </c>
      <c r="K229">
        <f t="shared" si="115"/>
        <v>1.6697433183445059E-2</v>
      </c>
      <c r="L229">
        <f t="shared" si="116"/>
        <v>-1.2565452206806897</v>
      </c>
      <c r="M229">
        <f t="shared" si="117"/>
        <v>143.97341562848052</v>
      </c>
      <c r="N229">
        <f t="shared" si="118"/>
        <v>9940.5782268044695</v>
      </c>
      <c r="O229">
        <f t="shared" si="119"/>
        <v>1.0125635549113519</v>
      </c>
      <c r="P229">
        <f t="shared" si="120"/>
        <v>143.97010839923502</v>
      </c>
      <c r="Q229">
        <f t="shared" si="121"/>
        <v>23.435828909097069</v>
      </c>
      <c r="R229">
        <f t="shared" si="122"/>
        <v>23.438048164971917</v>
      </c>
      <c r="S229">
        <f t="shared" si="123"/>
        <v>146.28372318280873</v>
      </c>
      <c r="T229" s="19">
        <f t="shared" si="124"/>
        <v>13.530544107522628</v>
      </c>
      <c r="U229">
        <f t="shared" si="125"/>
        <v>4.3029835478630846E-2</v>
      </c>
      <c r="V229">
        <f t="shared" si="126"/>
        <v>-4.2287846896221275</v>
      </c>
      <c r="W229">
        <f t="shared" si="127"/>
        <v>101.78226585810938</v>
      </c>
      <c r="X229" s="6">
        <f t="shared" si="128"/>
        <v>0.5083585171455709</v>
      </c>
      <c r="Y229" s="6">
        <f t="shared" si="129"/>
        <v>0.2256300008730448</v>
      </c>
      <c r="Z229" s="6">
        <f t="shared" si="130"/>
        <v>0.79108703341809705</v>
      </c>
      <c r="AA229" s="19">
        <f t="shared" si="131"/>
        <v>814.25812686487507</v>
      </c>
      <c r="AB229">
        <f t="shared" si="132"/>
        <v>707.96373531037784</v>
      </c>
      <c r="AC229">
        <f t="shared" si="133"/>
        <v>-3.0090661724055394</v>
      </c>
      <c r="AD229">
        <f t="shared" si="108"/>
        <v>24.218226483365907</v>
      </c>
      <c r="AE229">
        <f t="shared" si="134"/>
        <v>65.78177351663409</v>
      </c>
      <c r="AF229">
        <f t="shared" si="135"/>
        <v>7.257506980140405E-3</v>
      </c>
      <c r="AG229">
        <f t="shared" si="136"/>
        <v>65.789031023614228</v>
      </c>
      <c r="AH229">
        <f t="shared" si="109"/>
        <v>172.85297682642306</v>
      </c>
      <c r="AK229">
        <f t="shared" si="137"/>
        <v>0.2339636964392155</v>
      </c>
      <c r="AL229">
        <f t="shared" si="138"/>
        <v>0.97224533362135435</v>
      </c>
      <c r="AM229">
        <f t="shared" si="139"/>
        <v>814</v>
      </c>
      <c r="AN229">
        <f t="shared" si="140"/>
        <v>-407</v>
      </c>
      <c r="AO229">
        <f t="shared" si="141"/>
        <v>407</v>
      </c>
      <c r="AP229" s="16" cm="1">
        <f t="array" ref="AP229">SUMPRODUCT(1362*POWER(0.7,POWER(1/($AI$2*AK229+$AJ$2*AL229*COS(RADIANS(0.25*(_xlfn.SEQUENCE(AO229-AN229,1,AN229+1))))+0.50572*POWER(96.07995-DEGREES(ACOS($AI$2*AK229+$AJ$2*AL229*COS(RADIANS(0.25*(_xlfn.SEQUENCE(AO229-AN229,1,AN229+1)))))),-1.6364)),0.678))*IF(AL229*COS(RADIANS(0.25*(_xlfn.SEQUENCE(AO229-AN229,1,AN229+1))))&gt;0,AL229*COS(RADIANS(0.25*(_xlfn.SEQUENCE(AO229-AN229,1,AN229+1)))),0)/60)</f>
        <v>6457.0203073254961</v>
      </c>
      <c r="AQ229" s="17" cm="1">
        <f t="array" ref="AQ229">SUMPRODUCT(1362*POWER(0.7,POWER(1/($AI$2*AK229+$AJ$2*AL229*COS(RADIANS(0.25*(_xlfn.SEQUENCE(AO229-AN229,1,AN229+1))))+0.50572*POWER(96.07995-DEGREES(ACOS($AI$2*AK229+$AJ$2*AL229*COS(RADIANS(0.25*(_xlfn.SEQUENCE(AO229-AN229,1,AN229+1)))))),-1.6364)),0.678))/60)</f>
        <v>9909.2717946560424</v>
      </c>
      <c r="AR229" s="15">
        <f t="shared" si="142"/>
        <v>1.5346508641786309</v>
      </c>
      <c r="AT229">
        <v>0.46642719910420938</v>
      </c>
      <c r="AU229">
        <v>62.197372909690472</v>
      </c>
      <c r="AV229">
        <v>2.1366926502761214</v>
      </c>
      <c r="AW229">
        <v>749.86804768799698</v>
      </c>
    </row>
    <row r="230" spans="4:49" ht="17" x14ac:dyDescent="0.2">
      <c r="D230" s="1">
        <f t="shared" si="143"/>
        <v>46251</v>
      </c>
      <c r="E230" s="6">
        <f t="shared" si="110"/>
        <v>0.5</v>
      </c>
      <c r="F230" s="2">
        <f t="shared" si="111"/>
        <v>2461270.3333333335</v>
      </c>
      <c r="G230" s="3">
        <f t="shared" si="112"/>
        <v>0.26626511521789153</v>
      </c>
      <c r="I230">
        <f t="shared" si="113"/>
        <v>146.21560821374624</v>
      </c>
      <c r="J230">
        <f t="shared" si="114"/>
        <v>9942.8203723046354</v>
      </c>
      <c r="K230">
        <f t="shared" si="115"/>
        <v>1.6697432030687548E-2</v>
      </c>
      <c r="L230">
        <f t="shared" si="116"/>
        <v>-1.2808045834306441</v>
      </c>
      <c r="M230">
        <f t="shared" si="117"/>
        <v>144.9348036303156</v>
      </c>
      <c r="N230">
        <f t="shared" si="118"/>
        <v>9941.5395677212055</v>
      </c>
      <c r="O230">
        <f t="shared" si="119"/>
        <v>1.0123748680703015</v>
      </c>
      <c r="P230">
        <f t="shared" si="120"/>
        <v>144.93150022979339</v>
      </c>
      <c r="Q230">
        <f t="shared" si="121"/>
        <v>23.435828553062933</v>
      </c>
      <c r="R230">
        <f t="shared" si="122"/>
        <v>23.438046628570149</v>
      </c>
      <c r="S230">
        <f t="shared" si="123"/>
        <v>147.21563071740212</v>
      </c>
      <c r="T230" s="19">
        <f t="shared" si="124"/>
        <v>13.210750922939418</v>
      </c>
      <c r="U230">
        <f t="shared" si="125"/>
        <v>4.3029829676817878E-2</v>
      </c>
      <c r="V230">
        <f t="shared" si="126"/>
        <v>-4.0142292521583309</v>
      </c>
      <c r="W230">
        <f t="shared" si="127"/>
        <v>101.51514168154006</v>
      </c>
      <c r="X230" s="6">
        <f t="shared" si="128"/>
        <v>0.50820952031399891</v>
      </c>
      <c r="Y230" s="6">
        <f t="shared" si="129"/>
        <v>0.22622301564305428</v>
      </c>
      <c r="Z230" s="6">
        <f t="shared" si="130"/>
        <v>0.79019602498494346</v>
      </c>
      <c r="AA230" s="19">
        <f t="shared" si="131"/>
        <v>812.12113345232046</v>
      </c>
      <c r="AB230">
        <f t="shared" si="132"/>
        <v>708.17829074784163</v>
      </c>
      <c r="AC230">
        <f t="shared" si="133"/>
        <v>-2.9554273130395927</v>
      </c>
      <c r="AD230">
        <f t="shared" si="108"/>
        <v>24.531208070974429</v>
      </c>
      <c r="AE230">
        <f t="shared" si="134"/>
        <v>65.468791929025571</v>
      </c>
      <c r="AF230">
        <f t="shared" si="135"/>
        <v>7.3636864217987239E-3</v>
      </c>
      <c r="AG230">
        <f t="shared" si="136"/>
        <v>65.476155615447368</v>
      </c>
      <c r="AH230">
        <f t="shared" si="109"/>
        <v>173.05619204269954</v>
      </c>
      <c r="AK230">
        <f t="shared" si="137"/>
        <v>0.22853354746424998</v>
      </c>
      <c r="AL230">
        <f t="shared" si="138"/>
        <v>0.97353603820475254</v>
      </c>
      <c r="AM230">
        <f t="shared" si="139"/>
        <v>812</v>
      </c>
      <c r="AN230">
        <f t="shared" si="140"/>
        <v>-406</v>
      </c>
      <c r="AO230">
        <f t="shared" si="141"/>
        <v>406</v>
      </c>
      <c r="AP230" s="16" cm="1">
        <f t="array" ref="AP230">SUMPRODUCT(1362*POWER(0.7,POWER(1/($AI$2*AK230+$AJ$2*AL230*COS(RADIANS(0.25*(_xlfn.SEQUENCE(AO230-AN230,1,AN230+1))))+0.50572*POWER(96.07995-DEGREES(ACOS($AI$2*AK230+$AJ$2*AL230*COS(RADIANS(0.25*(_xlfn.SEQUENCE(AO230-AN230,1,AN230+1)))))),-1.6364)),0.678))*IF(AL230*COS(RADIANS(0.25*(_xlfn.SEQUENCE(AO230-AN230,1,AN230+1))))&gt;0,AL230*COS(RADIANS(0.25*(_xlfn.SEQUENCE(AO230-AN230,1,AN230+1)))),0)/60)</f>
        <v>6457.9176412662555</v>
      </c>
      <c r="AQ230" s="17" cm="1">
        <f t="array" ref="AQ230">SUMPRODUCT(1362*POWER(0.7,POWER(1/($AI$2*AK230+$AJ$2*AL230*COS(RADIANS(0.25*(_xlfn.SEQUENCE(AO230-AN230,1,AN230+1))))+0.50572*POWER(96.07995-DEGREES(ACOS($AI$2*AK230+$AJ$2*AL230*COS(RADIANS(0.25*(_xlfn.SEQUENCE(AO230-AN230,1,AN230+1)))))),-1.6364)),0.678))/60)</f>
        <v>9876.6594094165102</v>
      </c>
      <c r="AR230" s="15">
        <f t="shared" si="142"/>
        <v>1.5293876382542275</v>
      </c>
      <c r="AT230">
        <v>0.46725113201251045</v>
      </c>
      <c r="AU230">
        <v>62.143990995578093</v>
      </c>
      <c r="AV230">
        <v>2.1329561938564234</v>
      </c>
      <c r="AW230">
        <v>750.39898858269908</v>
      </c>
    </row>
    <row r="231" spans="4:49" ht="17" x14ac:dyDescent="0.2">
      <c r="D231" s="1">
        <f t="shared" si="143"/>
        <v>46252</v>
      </c>
      <c r="E231" s="6">
        <f t="shared" si="110"/>
        <v>0.5</v>
      </c>
      <c r="F231" s="2">
        <f t="shared" si="111"/>
        <v>2461271.3333333335</v>
      </c>
      <c r="G231" s="3">
        <f t="shared" si="112"/>
        <v>0.26629249372576286</v>
      </c>
      <c r="I231">
        <f t="shared" si="113"/>
        <v>147.20125557833126</v>
      </c>
      <c r="J231">
        <f t="shared" si="114"/>
        <v>9943.8059725841194</v>
      </c>
      <c r="K231">
        <f t="shared" si="115"/>
        <v>1.6697430877929846E-2</v>
      </c>
      <c r="L231">
        <f t="shared" si="116"/>
        <v>-1.3047020875327766</v>
      </c>
      <c r="M231">
        <f t="shared" si="117"/>
        <v>145.89655349079848</v>
      </c>
      <c r="N231">
        <f t="shared" si="118"/>
        <v>9942.5012704965866</v>
      </c>
      <c r="O231">
        <f t="shared" si="119"/>
        <v>1.012182572934289</v>
      </c>
      <c r="P231">
        <f t="shared" si="120"/>
        <v>145.89325391696099</v>
      </c>
      <c r="Q231">
        <f t="shared" si="121"/>
        <v>23.435828197028794</v>
      </c>
      <c r="R231">
        <f t="shared" si="122"/>
        <v>23.438045090273743</v>
      </c>
      <c r="S231">
        <f t="shared" si="123"/>
        <v>148.14543610659291</v>
      </c>
      <c r="T231" s="19">
        <f t="shared" si="124"/>
        <v>12.887472155059314</v>
      </c>
      <c r="U231">
        <f t="shared" si="125"/>
        <v>4.3029823867850751E-2</v>
      </c>
      <c r="V231">
        <f t="shared" si="126"/>
        <v>-3.7913136424458758</v>
      </c>
      <c r="W231">
        <f t="shared" si="127"/>
        <v>101.2461078838345</v>
      </c>
      <c r="X231" s="6">
        <f t="shared" si="128"/>
        <v>0.50805471780725397</v>
      </c>
      <c r="Y231" s="6">
        <f t="shared" si="129"/>
        <v>0.226815529241047</v>
      </c>
      <c r="Z231" s="6">
        <f t="shared" si="130"/>
        <v>0.78929390637346097</v>
      </c>
      <c r="AA231" s="19">
        <f t="shared" si="131"/>
        <v>809.96886307067598</v>
      </c>
      <c r="AB231">
        <f t="shared" si="132"/>
        <v>708.4012063575542</v>
      </c>
      <c r="AC231">
        <f t="shared" si="133"/>
        <v>-2.8996984106114496</v>
      </c>
      <c r="AD231">
        <f t="shared" si="108"/>
        <v>24.847706568441716</v>
      </c>
      <c r="AE231">
        <f t="shared" si="134"/>
        <v>65.152293431558292</v>
      </c>
      <c r="AF231">
        <f t="shared" si="135"/>
        <v>7.4715963803783387E-3</v>
      </c>
      <c r="AG231">
        <f t="shared" si="136"/>
        <v>65.159765027938676</v>
      </c>
      <c r="AH231">
        <f t="shared" si="109"/>
        <v>173.26053800333978</v>
      </c>
      <c r="AK231">
        <f t="shared" si="137"/>
        <v>0.2230369770525614</v>
      </c>
      <c r="AL231">
        <f t="shared" si="138"/>
        <v>0.97480998500592675</v>
      </c>
      <c r="AM231">
        <f t="shared" si="139"/>
        <v>810</v>
      </c>
      <c r="AN231">
        <f t="shared" si="140"/>
        <v>-405</v>
      </c>
      <c r="AO231">
        <f t="shared" si="141"/>
        <v>405</v>
      </c>
      <c r="AP231" s="16" cm="1">
        <f t="array" ref="AP231">SUMPRODUCT(1362*POWER(0.7,POWER(1/($AI$2*AK231+$AJ$2*AL231*COS(RADIANS(0.25*(_xlfn.SEQUENCE(AO231-AN231,1,AN231+1))))+0.50572*POWER(96.07995-DEGREES(ACOS($AI$2*AK231+$AJ$2*AL231*COS(RADIANS(0.25*(_xlfn.SEQUENCE(AO231-AN231,1,AN231+1)))))),-1.6364)),0.678))*IF(AL231*COS(RADIANS(0.25*(_xlfn.SEQUENCE(AO231-AN231,1,AN231+1))))&gt;0,AL231*COS(RADIANS(0.25*(_xlfn.SEQUENCE(AO231-AN231,1,AN231+1)))),0)/60)</f>
        <v>6458.488503303578</v>
      </c>
      <c r="AQ231" s="17" cm="1">
        <f t="array" ref="AQ231">SUMPRODUCT(1362*POWER(0.7,POWER(1/($AI$2*AK231+$AJ$2*AL231*COS(RADIANS(0.25*(_xlfn.SEQUENCE(AO231-AN231,1,AN231+1))))+0.50572*POWER(96.07995-DEGREES(ACOS($AI$2*AK231+$AJ$2*AL231*COS(RADIANS(0.25*(_xlfn.SEQUENCE(AO231-AN231,1,AN231+1)))))),-1.6364)),0.678))/60)</f>
        <v>9843.6607546877749</v>
      </c>
      <c r="AR231" s="15">
        <f t="shared" si="142"/>
        <v>1.5241431102111043</v>
      </c>
      <c r="AT231">
        <v>0.46806164007833317</v>
      </c>
      <c r="AU231">
        <v>62.091453207675897</v>
      </c>
      <c r="AV231">
        <v>2.1292932803564368</v>
      </c>
      <c r="AW231">
        <v>750.92013520643627</v>
      </c>
    </row>
    <row r="232" spans="4:49" ht="17" x14ac:dyDescent="0.2">
      <c r="D232" s="1">
        <f t="shared" si="143"/>
        <v>46253</v>
      </c>
      <c r="E232" s="6">
        <f t="shared" si="110"/>
        <v>0.5</v>
      </c>
      <c r="F232" s="2">
        <f t="shared" si="111"/>
        <v>2461272.3333333335</v>
      </c>
      <c r="G232" s="3">
        <f t="shared" si="112"/>
        <v>0.26631987223363418</v>
      </c>
      <c r="I232">
        <f t="shared" si="113"/>
        <v>148.1869029429181</v>
      </c>
      <c r="J232">
        <f t="shared" si="114"/>
        <v>9944.7915728636017</v>
      </c>
      <c r="K232">
        <f t="shared" si="115"/>
        <v>1.6697429725171953E-2</v>
      </c>
      <c r="L232">
        <f t="shared" si="116"/>
        <v>-1.328230720284431</v>
      </c>
      <c r="M232">
        <f t="shared" si="117"/>
        <v>146.85867222263366</v>
      </c>
      <c r="N232">
        <f t="shared" si="118"/>
        <v>9943.4633421433173</v>
      </c>
      <c r="O232">
        <f t="shared" si="119"/>
        <v>1.0119867223180621</v>
      </c>
      <c r="P232">
        <f t="shared" si="120"/>
        <v>146.85537647343904</v>
      </c>
      <c r="Q232">
        <f t="shared" si="121"/>
        <v>23.435827840994659</v>
      </c>
      <c r="R232">
        <f t="shared" si="122"/>
        <v>23.438043550083723</v>
      </c>
      <c r="S232">
        <f t="shared" si="123"/>
        <v>149.07318712683303</v>
      </c>
      <c r="T232" s="19">
        <f t="shared" si="124"/>
        <v>12.560795480281817</v>
      </c>
      <c r="U232">
        <f t="shared" si="125"/>
        <v>4.302981805173331E-2</v>
      </c>
      <c r="V232">
        <f t="shared" si="126"/>
        <v>-3.5602307387537033</v>
      </c>
      <c r="W232">
        <f t="shared" si="127"/>
        <v>100.97524037315812</v>
      </c>
      <c r="X232" s="6">
        <f t="shared" si="128"/>
        <v>0.50789424356857893</v>
      </c>
      <c r="Y232" s="6">
        <f t="shared" si="129"/>
        <v>0.22740746475425083</v>
      </c>
      <c r="Z232" s="6">
        <f t="shared" si="130"/>
        <v>0.78838102238290697</v>
      </c>
      <c r="AA232" s="19">
        <f t="shared" si="131"/>
        <v>807.80192298526492</v>
      </c>
      <c r="AB232">
        <f t="shared" si="132"/>
        <v>708.63228926124634</v>
      </c>
      <c r="AC232">
        <f t="shared" si="133"/>
        <v>-2.8419276846884145</v>
      </c>
      <c r="AD232">
        <f t="shared" si="108"/>
        <v>25.167650940407192</v>
      </c>
      <c r="AE232">
        <f t="shared" si="134"/>
        <v>64.832349059592815</v>
      </c>
      <c r="AF232">
        <f t="shared" si="135"/>
        <v>7.581241333405723E-3</v>
      </c>
      <c r="AG232">
        <f t="shared" si="136"/>
        <v>64.839930300926227</v>
      </c>
      <c r="AH232">
        <f t="shared" si="109"/>
        <v>173.46579497733319</v>
      </c>
      <c r="AK232">
        <f t="shared" si="137"/>
        <v>0.21747542133738204</v>
      </c>
      <c r="AL232">
        <f t="shared" si="138"/>
        <v>0.97606579753320322</v>
      </c>
      <c r="AM232">
        <f t="shared" si="139"/>
        <v>808</v>
      </c>
      <c r="AN232">
        <f t="shared" si="140"/>
        <v>-404</v>
      </c>
      <c r="AO232">
        <f t="shared" si="141"/>
        <v>404</v>
      </c>
      <c r="AP232" s="16" cm="1">
        <f t="array" ref="AP232">SUMPRODUCT(1362*POWER(0.7,POWER(1/($AI$2*AK232+$AJ$2*AL232*COS(RADIANS(0.25*(_xlfn.SEQUENCE(AO232-AN232,1,AN232+1))))+0.50572*POWER(96.07995-DEGREES(ACOS($AI$2*AK232+$AJ$2*AL232*COS(RADIANS(0.25*(_xlfn.SEQUENCE(AO232-AN232,1,AN232+1)))))),-1.6364)),0.678))*IF(AL232*COS(RADIANS(0.25*(_xlfn.SEQUENCE(AO232-AN232,1,AN232+1))))&gt;0,AL232*COS(RADIANS(0.25*(_xlfn.SEQUENCE(AO232-AN232,1,AN232+1)))),0)/60)</f>
        <v>6458.720627897178</v>
      </c>
      <c r="AQ232" s="17" cm="1">
        <f t="array" ref="AQ232">SUMPRODUCT(1362*POWER(0.7,POWER(1/($AI$2*AK232+$AJ$2*AL232*COS(RADIANS(0.25*(_xlfn.SEQUENCE(AO232-AN232,1,AN232+1))))+0.50572*POWER(96.07995-DEGREES(ACOS($AI$2*AK232+$AJ$2*AL232*COS(RADIANS(0.25*(_xlfn.SEQUENCE(AO232-AN232,1,AN232+1)))))),-1.6364)),0.678))/60)</f>
        <v>9810.2813970749285</v>
      </c>
      <c r="AR232" s="15">
        <f t="shared" si="142"/>
        <v>1.5189202261979471</v>
      </c>
      <c r="AT232">
        <v>0.46885870787077211</v>
      </c>
      <c r="AU232">
        <v>62.039761732171989</v>
      </c>
      <c r="AV232">
        <v>2.1257032927803499</v>
      </c>
      <c r="AW232">
        <v>751.43153784812773</v>
      </c>
    </row>
    <row r="233" spans="4:49" ht="17" x14ac:dyDescent="0.2">
      <c r="D233" s="1">
        <f t="shared" si="143"/>
        <v>46254</v>
      </c>
      <c r="E233" s="6">
        <f t="shared" si="110"/>
        <v>0.5</v>
      </c>
      <c r="F233" s="2">
        <f t="shared" si="111"/>
        <v>2461273.3333333335</v>
      </c>
      <c r="G233" s="3">
        <f t="shared" si="112"/>
        <v>0.2663472507415055</v>
      </c>
      <c r="I233">
        <f t="shared" si="113"/>
        <v>149.17255030750312</v>
      </c>
      <c r="J233">
        <f t="shared" si="114"/>
        <v>9945.7771731430857</v>
      </c>
      <c r="K233">
        <f t="shared" si="115"/>
        <v>1.6697428572413874E-2</v>
      </c>
      <c r="L233">
        <f t="shared" si="116"/>
        <v>-1.351383558542725</v>
      </c>
      <c r="M233">
        <f t="shared" si="117"/>
        <v>147.82116674896039</v>
      </c>
      <c r="N233">
        <f t="shared" si="118"/>
        <v>9944.4257895845421</v>
      </c>
      <c r="O233">
        <f t="shared" si="119"/>
        <v>1.0117873700756062</v>
      </c>
      <c r="P233">
        <f t="shared" si="120"/>
        <v>147.81787482236354</v>
      </c>
      <c r="Q233">
        <f t="shared" si="121"/>
        <v>23.435827484960523</v>
      </c>
      <c r="R233">
        <f t="shared" si="122"/>
        <v>23.438042008001094</v>
      </c>
      <c r="S233">
        <f t="shared" si="123"/>
        <v>149.99893361714467</v>
      </c>
      <c r="T233" s="19">
        <f t="shared" si="124"/>
        <v>12.230808762304314</v>
      </c>
      <c r="U233">
        <f t="shared" si="125"/>
        <v>4.3029812228469362E-2</v>
      </c>
      <c r="V233">
        <f t="shared" si="126"/>
        <v>-3.321181232641869</v>
      </c>
      <c r="W233">
        <f t="shared" si="127"/>
        <v>100.70261309575061</v>
      </c>
      <c r="X233" s="6">
        <f t="shared" si="128"/>
        <v>0.50772823696711245</v>
      </c>
      <c r="Y233" s="6">
        <f t="shared" si="129"/>
        <v>0.22799875614558296</v>
      </c>
      <c r="Z233" s="6">
        <f t="shared" si="130"/>
        <v>0.78745771778864193</v>
      </c>
      <c r="AA233" s="19">
        <f t="shared" si="131"/>
        <v>805.62090476600486</v>
      </c>
      <c r="AB233">
        <f t="shared" si="132"/>
        <v>708.87133876735811</v>
      </c>
      <c r="AC233">
        <f t="shared" si="133"/>
        <v>-2.7821653081604723</v>
      </c>
      <c r="AD233">
        <f t="shared" si="108"/>
        <v>25.490969375231558</v>
      </c>
      <c r="AE233">
        <f t="shared" si="134"/>
        <v>64.509030624768442</v>
      </c>
      <c r="AF233">
        <f t="shared" si="135"/>
        <v>7.6926260807731158E-3</v>
      </c>
      <c r="AG233">
        <f t="shared" si="136"/>
        <v>64.516723250849211</v>
      </c>
      <c r="AH233">
        <f t="shared" si="109"/>
        <v>173.67175000988266</v>
      </c>
      <c r="AK233">
        <f t="shared" si="137"/>
        <v>0.21185033642234491</v>
      </c>
      <c r="AL233">
        <f t="shared" si="138"/>
        <v>0.97730212061457189</v>
      </c>
      <c r="AM233">
        <f t="shared" si="139"/>
        <v>806</v>
      </c>
      <c r="AN233">
        <f t="shared" si="140"/>
        <v>-403</v>
      </c>
      <c r="AO233">
        <f t="shared" si="141"/>
        <v>403</v>
      </c>
      <c r="AP233" s="16" cm="1">
        <f t="array" ref="AP233">SUMPRODUCT(1362*POWER(0.7,POWER(1/($AI$2*AK233+$AJ$2*AL233*COS(RADIANS(0.25*(_xlfn.SEQUENCE(AO233-AN233,1,AN233+1))))+0.50572*POWER(96.07995-DEGREES(ACOS($AI$2*AK233+$AJ$2*AL233*COS(RADIANS(0.25*(_xlfn.SEQUENCE(AO233-AN233,1,AN233+1)))))),-1.6364)),0.678))*IF(AL233*COS(RADIANS(0.25*(_xlfn.SEQUENCE(AO233-AN233,1,AN233+1))))&gt;0,AL233*COS(RADIANS(0.25*(_xlfn.SEQUENCE(AO233-AN233,1,AN233+1)))),0)/60)</f>
        <v>6458.6019182974123</v>
      </c>
      <c r="AQ233" s="17" cm="1">
        <f t="array" ref="AQ233">SUMPRODUCT(1362*POWER(0.7,POWER(1/($AI$2*AK233+$AJ$2*AL233*COS(RADIANS(0.25*(_xlfn.SEQUENCE(AO233-AN233,1,AN233+1))))+0.50572*POWER(96.07995-DEGREES(ACOS($AI$2*AK233+$AJ$2*AL233*COS(RADIANS(0.25*(_xlfn.SEQUENCE(AO233-AN233,1,AN233+1)))))),-1.6364)),0.678))/60)</f>
        <v>9776.526829787299</v>
      </c>
      <c r="AR233" s="15">
        <f t="shared" si="142"/>
        <v>1.5137218477717456</v>
      </c>
      <c r="AT233">
        <v>0.46964232021480556</v>
      </c>
      <c r="AU233">
        <v>61.988918727208521</v>
      </c>
      <c r="AV233">
        <v>2.1221856290003571</v>
      </c>
      <c r="AW233">
        <v>751.93324571193887</v>
      </c>
    </row>
    <row r="234" spans="4:49" ht="17" x14ac:dyDescent="0.2">
      <c r="D234" s="1">
        <f t="shared" si="143"/>
        <v>46255</v>
      </c>
      <c r="E234" s="6">
        <f t="shared" si="110"/>
        <v>0.5</v>
      </c>
      <c r="F234" s="2">
        <f t="shared" si="111"/>
        <v>2461274.3333333335</v>
      </c>
      <c r="G234" s="3">
        <f t="shared" si="112"/>
        <v>0.26637462924937683</v>
      </c>
      <c r="I234">
        <f t="shared" si="113"/>
        <v>150.15819767208995</v>
      </c>
      <c r="J234">
        <f t="shared" si="114"/>
        <v>9946.7627734225698</v>
      </c>
      <c r="K234">
        <f t="shared" si="115"/>
        <v>1.6697427419655603E-2</v>
      </c>
      <c r="L234">
        <f t="shared" si="116"/>
        <v>-1.3741537706911722</v>
      </c>
      <c r="M234">
        <f t="shared" si="117"/>
        <v>148.78404390139877</v>
      </c>
      <c r="N234">
        <f t="shared" si="118"/>
        <v>9945.3886196518779</v>
      </c>
      <c r="O234">
        <f t="shared" si="119"/>
        <v>1.011584571088828</v>
      </c>
      <c r="P234">
        <f t="shared" si="120"/>
        <v>148.7807557953513</v>
      </c>
      <c r="Q234">
        <f t="shared" si="121"/>
        <v>23.435827128926391</v>
      </c>
      <c r="R234">
        <f t="shared" si="122"/>
        <v>23.438040464026873</v>
      </c>
      <c r="S234">
        <f t="shared" si="123"/>
        <v>150.92272741265106</v>
      </c>
      <c r="T234" s="19">
        <f t="shared" si="124"/>
        <v>11.897600037179133</v>
      </c>
      <c r="U234">
        <f t="shared" si="125"/>
        <v>4.3029806398062739E-2</v>
      </c>
      <c r="V234">
        <f t="shared" si="126"/>
        <v>-3.074373323383627</v>
      </c>
      <c r="W234">
        <f t="shared" si="127"/>
        <v>100.42829805492255</v>
      </c>
      <c r="X234" s="6">
        <f t="shared" si="128"/>
        <v>0.50755684258568312</v>
      </c>
      <c r="Y234" s="6">
        <f t="shared" si="129"/>
        <v>0.22858934798867603</v>
      </c>
      <c r="Z234" s="6">
        <f t="shared" si="130"/>
        <v>0.78652433718269021</v>
      </c>
      <c r="AA234" s="19">
        <f t="shared" si="131"/>
        <v>803.4263844393804</v>
      </c>
      <c r="AB234">
        <f t="shared" si="132"/>
        <v>709.11814667661633</v>
      </c>
      <c r="AC234">
        <f t="shared" si="133"/>
        <v>-2.7204633308459165</v>
      </c>
      <c r="AD234">
        <f t="shared" si="108"/>
        <v>25.817589264965108</v>
      </c>
      <c r="AE234">
        <f t="shared" si="134"/>
        <v>64.182410735034892</v>
      </c>
      <c r="AF234">
        <f t="shared" si="135"/>
        <v>7.8057557361006953E-3</v>
      </c>
      <c r="AG234">
        <f t="shared" si="136"/>
        <v>64.190216490770993</v>
      </c>
      <c r="AH234">
        <f t="shared" si="109"/>
        <v>173.87819689692503</v>
      </c>
      <c r="AK234">
        <f t="shared" si="137"/>
        <v>0.2061631981621766</v>
      </c>
      <c r="AL234">
        <f t="shared" si="138"/>
        <v>0.97851762157027256</v>
      </c>
      <c r="AM234">
        <f t="shared" si="139"/>
        <v>803</v>
      </c>
      <c r="AN234">
        <f t="shared" si="140"/>
        <v>-401.5</v>
      </c>
      <c r="AO234">
        <f t="shared" si="141"/>
        <v>401.5</v>
      </c>
      <c r="AP234" s="16" cm="1">
        <f t="array" ref="AP234">SUMPRODUCT(1362*POWER(0.7,POWER(1/($AI$2*AK234+$AJ$2*AL234*COS(RADIANS(0.25*(_xlfn.SEQUENCE(AO234-AN234,1,AN234+1))))+0.50572*POWER(96.07995-DEGREES(ACOS($AI$2*AK234+$AJ$2*AL234*COS(RADIANS(0.25*(_xlfn.SEQUENCE(AO234-AN234,1,AN234+1)))))),-1.6364)),0.678))*IF(AL234*COS(RADIANS(0.25*(_xlfn.SEQUENCE(AO234-AN234,1,AN234+1))))&gt;0,AL234*COS(RADIANS(0.25*(_xlfn.SEQUENCE(AO234-AN234,1,AN234+1)))),0)/60)</f>
        <v>6458.1264341140786</v>
      </c>
      <c r="AQ234" s="17" cm="1">
        <f t="array" ref="AQ234">SUMPRODUCT(1362*POWER(0.7,POWER(1/($AI$2*AK234+$AJ$2*AL234*COS(RADIANS(0.25*(_xlfn.SEQUENCE(AO234-AN234,1,AN234+1))))+0.50572*POWER(96.07995-DEGREES(ACOS($AI$2*AK234+$AJ$2*AL234*COS(RADIANS(0.25*(_xlfn.SEQUENCE(AO234-AN234,1,AN234+1)))))),-1.6364)),0.678))/60)</f>
        <v>9742.2818610047616</v>
      </c>
      <c r="AR234" s="15">
        <f t="shared" si="142"/>
        <v>1.5085306799728522</v>
      </c>
      <c r="AT234">
        <v>0.47041246219158395</v>
      </c>
      <c r="AU234">
        <v>61.938926322470856</v>
      </c>
      <c r="AV234">
        <v>2.1187397014960534</v>
      </c>
      <c r="AW234">
        <v>752.4253069303893</v>
      </c>
    </row>
    <row r="235" spans="4:49" ht="17" x14ac:dyDescent="0.2">
      <c r="D235" s="1">
        <f t="shared" si="143"/>
        <v>46256</v>
      </c>
      <c r="E235" s="6">
        <f t="shared" si="110"/>
        <v>0.5</v>
      </c>
      <c r="F235" s="2">
        <f t="shared" si="111"/>
        <v>2461275.3333333335</v>
      </c>
      <c r="G235" s="3">
        <f t="shared" si="112"/>
        <v>0.26640200775724815</v>
      </c>
      <c r="I235">
        <f t="shared" si="113"/>
        <v>151.14384503667679</v>
      </c>
      <c r="J235">
        <f t="shared" si="114"/>
        <v>9947.748373702052</v>
      </c>
      <c r="K235">
        <f t="shared" si="115"/>
        <v>1.6697426266897141E-2</v>
      </c>
      <c r="L235">
        <f t="shared" si="116"/>
        <v>-1.3965346186009058</v>
      </c>
      <c r="M235">
        <f t="shared" si="117"/>
        <v>149.7473104180759</v>
      </c>
      <c r="N235">
        <f t="shared" si="118"/>
        <v>9946.3518390834506</v>
      </c>
      <c r="O235">
        <f t="shared" si="119"/>
        <v>1.0113783812559587</v>
      </c>
      <c r="P235">
        <f t="shared" si="120"/>
        <v>149.74402613052615</v>
      </c>
      <c r="Q235">
        <f t="shared" si="121"/>
        <v>23.435826772892256</v>
      </c>
      <c r="R235">
        <f t="shared" si="122"/>
        <v>23.438038918162064</v>
      </c>
      <c r="S235">
        <f t="shared" si="123"/>
        <v>151.84462227850679</v>
      </c>
      <c r="T235" s="19">
        <f t="shared" si="124"/>
        <v>11.561257500123316</v>
      </c>
      <c r="U235">
        <f t="shared" si="125"/>
        <v>4.3029800560517265E-2</v>
      </c>
      <c r="V235">
        <f t="shared" si="126"/>
        <v>-2.8200224176532451</v>
      </c>
      <c r="W235">
        <f t="shared" si="127"/>
        <v>100.15236533454241</v>
      </c>
      <c r="X235" s="6">
        <f t="shared" si="128"/>
        <v>0.50738021001225919</v>
      </c>
      <c r="Y235" s="6">
        <f t="shared" si="129"/>
        <v>0.22917919519408581</v>
      </c>
      <c r="Z235" s="6">
        <f t="shared" si="130"/>
        <v>0.78558122483043258</v>
      </c>
      <c r="AA235" s="19">
        <f t="shared" si="131"/>
        <v>801.21892267633928</v>
      </c>
      <c r="AB235">
        <f t="shared" si="132"/>
        <v>709.3724975823468</v>
      </c>
      <c r="AC235">
        <f t="shared" si="133"/>
        <v>-2.6568756044133011</v>
      </c>
      <c r="AD235">
        <f t="shared" si="108"/>
        <v>26.147437187291231</v>
      </c>
      <c r="AE235">
        <f t="shared" si="134"/>
        <v>63.852562812708769</v>
      </c>
      <c r="AF235">
        <f t="shared" si="135"/>
        <v>7.9206357178406121E-3</v>
      </c>
      <c r="AG235">
        <f t="shared" si="136"/>
        <v>63.860483448426606</v>
      </c>
      <c r="AH235">
        <f t="shared" si="109"/>
        <v>174.08493613945132</v>
      </c>
      <c r="AK235">
        <f t="shared" si="137"/>
        <v>0.20041550193737798</v>
      </c>
      <c r="AL235">
        <f t="shared" si="138"/>
        <v>0.97971099135571038</v>
      </c>
      <c r="AM235">
        <f t="shared" si="139"/>
        <v>801</v>
      </c>
      <c r="AN235">
        <f t="shared" si="140"/>
        <v>-400.5</v>
      </c>
      <c r="AO235">
        <f t="shared" si="141"/>
        <v>400.5</v>
      </c>
      <c r="AP235" s="16" cm="1">
        <f t="array" ref="AP235">SUMPRODUCT(1362*POWER(0.7,POWER(1/($AI$2*AK235+$AJ$2*AL235*COS(RADIANS(0.25*(_xlfn.SEQUENCE(AO235-AN235,1,AN235+1))))+0.50572*POWER(96.07995-DEGREES(ACOS($AI$2*AK235+$AJ$2*AL235*COS(RADIANS(0.25*(_xlfn.SEQUENCE(AO235-AN235,1,AN235+1)))))),-1.6364)),0.678))*IF(AL235*COS(RADIANS(0.25*(_xlfn.SEQUENCE(AO235-AN235,1,AN235+1))))&gt;0,AL235*COS(RADIANS(0.25*(_xlfn.SEQUENCE(AO235-AN235,1,AN235+1)))),0)/60)</f>
        <v>6457.2703606628138</v>
      </c>
      <c r="AQ235" s="17" cm="1">
        <f t="array" ref="AQ235">SUMPRODUCT(1362*POWER(0.7,POWER(1/($AI$2*AK235+$AJ$2*AL235*COS(RADIANS(0.25*(_xlfn.SEQUENCE(AO235-AN235,1,AN235+1))))+0.50572*POWER(96.07995-DEGREES(ACOS($AI$2*AK235+$AJ$2*AL235*COS(RADIANS(0.25*(_xlfn.SEQUENCE(AO235-AN235,1,AN235+1)))))),-1.6364)),0.678))/60)</f>
        <v>9707.7961394712238</v>
      </c>
      <c r="AR235" s="15">
        <f t="shared" si="142"/>
        <v>1.5033900699915492</v>
      </c>
      <c r="AT235">
        <v>0.47116911913871429</v>
      </c>
      <c r="AU235">
        <v>61.889786618779738</v>
      </c>
      <c r="AV235">
        <v>2.1153649371015817</v>
      </c>
      <c r="AW235">
        <v>752.90776857712683</v>
      </c>
    </row>
    <row r="236" spans="4:49" ht="17" x14ac:dyDescent="0.2">
      <c r="D236" s="1">
        <f t="shared" si="143"/>
        <v>46257</v>
      </c>
      <c r="E236" s="6">
        <f t="shared" si="110"/>
        <v>0.5</v>
      </c>
      <c r="F236" s="2">
        <f t="shared" si="111"/>
        <v>2461276.3333333335</v>
      </c>
      <c r="G236" s="3">
        <f t="shared" si="112"/>
        <v>0.26642938626511947</v>
      </c>
      <c r="I236">
        <f t="shared" si="113"/>
        <v>152.12949240126545</v>
      </c>
      <c r="J236">
        <f t="shared" si="114"/>
        <v>9948.7339739815343</v>
      </c>
      <c r="K236">
        <f t="shared" si="115"/>
        <v>1.6697425114138489E-2</v>
      </c>
      <c r="L236">
        <f t="shared" si="116"/>
        <v>-1.4185194595860526</v>
      </c>
      <c r="M236">
        <f t="shared" si="117"/>
        <v>150.71097294167939</v>
      </c>
      <c r="N236">
        <f t="shared" si="118"/>
        <v>9947.3154545219477</v>
      </c>
      <c r="O236">
        <f t="shared" si="119"/>
        <v>1.0111688574796616</v>
      </c>
      <c r="P236">
        <f t="shared" si="120"/>
        <v>150.70769247057245</v>
      </c>
      <c r="Q236">
        <f t="shared" si="121"/>
        <v>23.43582641685812</v>
      </c>
      <c r="R236">
        <f t="shared" si="122"/>
        <v>23.438037370407692</v>
      </c>
      <c r="S236">
        <f t="shared" si="123"/>
        <v>152.76467384436967</v>
      </c>
      <c r="T236" s="19">
        <f t="shared" si="124"/>
        <v>11.221869494025457</v>
      </c>
      <c r="U236">
        <f t="shared" si="125"/>
        <v>4.3029794715836761E-2</v>
      </c>
      <c r="V236">
        <f t="shared" si="126"/>
        <v>-2.5583508353214151</v>
      </c>
      <c r="W236">
        <f t="shared" si="127"/>
        <v>99.874883126728605</v>
      </c>
      <c r="X236" s="6">
        <f t="shared" si="128"/>
        <v>0.50719849363563974</v>
      </c>
      <c r="Y236" s="6">
        <f t="shared" si="129"/>
        <v>0.22976826272806031</v>
      </c>
      <c r="Z236" s="6">
        <f t="shared" si="130"/>
        <v>0.78462872454321919</v>
      </c>
      <c r="AA236" s="19">
        <f t="shared" si="131"/>
        <v>798.99906501382884</v>
      </c>
      <c r="AB236">
        <f t="shared" si="132"/>
        <v>709.6341691646785</v>
      </c>
      <c r="AC236">
        <f t="shared" si="133"/>
        <v>-2.5914577088303759</v>
      </c>
      <c r="AD236">
        <f t="shared" si="108"/>
        <v>26.480438889396606</v>
      </c>
      <c r="AE236">
        <f t="shared" si="134"/>
        <v>63.519561110603391</v>
      </c>
      <c r="AF236">
        <f t="shared" si="135"/>
        <v>8.0372717400671555E-3</v>
      </c>
      <c r="AG236">
        <f t="shared" si="136"/>
        <v>63.527598382343456</v>
      </c>
      <c r="AH236">
        <f t="shared" si="109"/>
        <v>174.29177487965205</v>
      </c>
      <c r="AK236">
        <f t="shared" si="137"/>
        <v>0.19460876242247055</v>
      </c>
      <c r="AL236">
        <f t="shared" si="138"/>
        <v>0.98088094567505713</v>
      </c>
      <c r="AM236">
        <f t="shared" si="139"/>
        <v>799</v>
      </c>
      <c r="AN236">
        <f t="shared" si="140"/>
        <v>-399.5</v>
      </c>
      <c r="AO236">
        <f t="shared" si="141"/>
        <v>399.5</v>
      </c>
      <c r="AP236" s="16" cm="1">
        <f t="array" ref="AP236">SUMPRODUCT(1362*POWER(0.7,POWER(1/($AI$2*AK236+$AJ$2*AL236*COS(RADIANS(0.25*(_xlfn.SEQUENCE(AO236-AN236,1,AN236+1))))+0.50572*POWER(96.07995-DEGREES(ACOS($AI$2*AK236+$AJ$2*AL236*COS(RADIANS(0.25*(_xlfn.SEQUENCE(AO236-AN236,1,AN236+1)))))),-1.6364)),0.678))*IF(AL236*COS(RADIANS(0.25*(_xlfn.SEQUENCE(AO236-AN236,1,AN236+1))))&gt;0,AL236*COS(RADIANS(0.25*(_xlfn.SEQUENCE(AO236-AN236,1,AN236+1)))),0)/60)</f>
        <v>6456.0282815000237</v>
      </c>
      <c r="AQ236" s="17" cm="1">
        <f t="array" ref="AQ236">SUMPRODUCT(1362*POWER(0.7,POWER(1/($AI$2*AK236+$AJ$2*AL236*COS(RADIANS(0.25*(_xlfn.SEQUENCE(AO236-AN236,1,AN236+1))))+0.50572*POWER(96.07995-DEGREES(ACOS($AI$2*AK236+$AJ$2*AL236*COS(RADIANS(0.25*(_xlfn.SEQUENCE(AO236-AN236,1,AN236+1)))))),-1.6364)),0.678))/60)</f>
        <v>9672.9513932841</v>
      </c>
      <c r="AR236" s="15">
        <f t="shared" si="142"/>
        <v>1.4982820662360299</v>
      </c>
      <c r="AT236">
        <v>0.47191227665053892</v>
      </c>
      <c r="AU236">
        <v>61.841501687686723</v>
      </c>
      <c r="AV236">
        <v>2.1120607767603383</v>
      </c>
      <c r="AW236">
        <v>753.38067667937298</v>
      </c>
    </row>
    <row r="237" spans="4:49" ht="17" x14ac:dyDescent="0.2">
      <c r="D237" s="1">
        <f t="shared" si="143"/>
        <v>46258</v>
      </c>
      <c r="E237" s="6">
        <f t="shared" si="110"/>
        <v>0.5</v>
      </c>
      <c r="F237" s="2">
        <f t="shared" si="111"/>
        <v>2461277.3333333335</v>
      </c>
      <c r="G237" s="3">
        <f t="shared" si="112"/>
        <v>0.2664567647729908</v>
      </c>
      <c r="I237">
        <f t="shared" si="113"/>
        <v>153.11513976585411</v>
      </c>
      <c r="J237">
        <f t="shared" si="114"/>
        <v>9949.7195742610165</v>
      </c>
      <c r="K237">
        <f t="shared" si="115"/>
        <v>1.6697423961379649E-2</v>
      </c>
      <c r="L237">
        <f t="shared" si="116"/>
        <v>-1.4401017483519818</v>
      </c>
      <c r="M237">
        <f t="shared" si="117"/>
        <v>151.67503801750212</v>
      </c>
      <c r="N237">
        <f t="shared" si="118"/>
        <v>9948.2794725126641</v>
      </c>
      <c r="O237">
        <f t="shared" si="119"/>
        <v>1.0109560576548646</v>
      </c>
      <c r="P237">
        <f t="shared" si="120"/>
        <v>151.67176136077984</v>
      </c>
      <c r="Q237">
        <f t="shared" si="121"/>
        <v>23.435826060823988</v>
      </c>
      <c r="R237">
        <f t="shared" si="122"/>
        <v>23.438035820764775</v>
      </c>
      <c r="S237">
        <f t="shared" si="123"/>
        <v>153.68293953946588</v>
      </c>
      <c r="T237" s="19">
        <f t="shared" si="124"/>
        <v>10.879524499620189</v>
      </c>
      <c r="U237">
        <f t="shared" si="125"/>
        <v>4.3029788864025115E-2</v>
      </c>
      <c r="V237">
        <f t="shared" si="126"/>
        <v>-2.2895875221396689</v>
      </c>
      <c r="W237">
        <f t="shared" si="127"/>
        <v>99.595917763493603</v>
      </c>
      <c r="X237" s="6">
        <f t="shared" si="128"/>
        <v>0.50701185244593039</v>
      </c>
      <c r="Y237" s="6">
        <f t="shared" si="129"/>
        <v>0.23035652532511486</v>
      </c>
      <c r="Z237" s="6">
        <f t="shared" si="130"/>
        <v>0.78366717956674592</v>
      </c>
      <c r="AA237" s="19">
        <f t="shared" si="131"/>
        <v>796.76734210794882</v>
      </c>
      <c r="AB237">
        <f t="shared" si="132"/>
        <v>709.9029324778603</v>
      </c>
      <c r="AC237">
        <f t="shared" si="133"/>
        <v>-2.524266880534924</v>
      </c>
      <c r="AD237">
        <f t="shared" si="108"/>
        <v>26.816519273683472</v>
      </c>
      <c r="AE237">
        <f t="shared" si="134"/>
        <v>63.183480726316532</v>
      </c>
      <c r="AF237">
        <f t="shared" si="135"/>
        <v>8.1556698028833162E-3</v>
      </c>
      <c r="AG237">
        <f t="shared" si="136"/>
        <v>63.191636396119414</v>
      </c>
      <c r="AH237">
        <f t="shared" si="109"/>
        <v>174.498526820763</v>
      </c>
      <c r="AK237">
        <f t="shared" si="137"/>
        <v>0.18874451334787151</v>
      </c>
      <c r="AL237">
        <f t="shared" si="138"/>
        <v>0.98202622606581902</v>
      </c>
      <c r="AM237">
        <f t="shared" si="139"/>
        <v>797</v>
      </c>
      <c r="AN237">
        <f t="shared" si="140"/>
        <v>-398.5</v>
      </c>
      <c r="AO237">
        <f t="shared" si="141"/>
        <v>398.5</v>
      </c>
      <c r="AP237" s="16" cm="1">
        <f t="array" ref="AP237">SUMPRODUCT(1362*POWER(0.7,POWER(1/($AI$2*AK237+$AJ$2*AL237*COS(RADIANS(0.25*(_xlfn.SEQUENCE(AO237-AN237,1,AN237+1))))+0.50572*POWER(96.07995-DEGREES(ACOS($AI$2*AK237+$AJ$2*AL237*COS(RADIANS(0.25*(_xlfn.SEQUENCE(AO237-AN237,1,AN237+1)))))),-1.6364)),0.678))*IF(AL237*COS(RADIANS(0.25*(_xlfn.SEQUENCE(AO237-AN237,1,AN237+1))))&gt;0,AL237*COS(RADIANS(0.25*(_xlfn.SEQUENCE(AO237-AN237,1,AN237+1)))),0)/60)</f>
        <v>6454.3888847264698</v>
      </c>
      <c r="AQ237" s="17" cm="1">
        <f t="array" ref="AQ237">SUMPRODUCT(1362*POWER(0.7,POWER(1/($AI$2*AK237+$AJ$2*AL237*COS(RADIANS(0.25*(_xlfn.SEQUENCE(AO237-AN237,1,AN237+1))))+0.50572*POWER(96.07995-DEGREES(ACOS($AI$2*AK237+$AJ$2*AL237*COS(RADIANS(0.25*(_xlfn.SEQUENCE(AO237-AN237,1,AN237+1)))))),-1.6364)),0.678))/60)</f>
        <v>9637.7528465253909</v>
      </c>
      <c r="AR237" s="15">
        <f t="shared" si="142"/>
        <v>1.4932091974395851</v>
      </c>
      <c r="AT237">
        <v>0.47264192057841004</v>
      </c>
      <c r="AU237">
        <v>61.794073571073021</v>
      </c>
      <c r="AV237">
        <v>2.1088266752870219</v>
      </c>
      <c r="AW237">
        <v>753.84407623004483</v>
      </c>
    </row>
    <row r="238" spans="4:49" ht="17" x14ac:dyDescent="0.2">
      <c r="D238" s="1">
        <f t="shared" si="143"/>
        <v>46259</v>
      </c>
      <c r="E238" s="6">
        <f t="shared" si="110"/>
        <v>0.5</v>
      </c>
      <c r="F238" s="2">
        <f t="shared" si="111"/>
        <v>2461278.3333333335</v>
      </c>
      <c r="G238" s="3">
        <f t="shared" si="112"/>
        <v>0.26648414328086212</v>
      </c>
      <c r="I238">
        <f t="shared" si="113"/>
        <v>154.10078713043913</v>
      </c>
      <c r="J238">
        <f t="shared" si="114"/>
        <v>9950.7051745404988</v>
      </c>
      <c r="K238">
        <f t="shared" si="115"/>
        <v>1.6697422808620618E-2</v>
      </c>
      <c r="L238">
        <f t="shared" si="116"/>
        <v>-1.4612750389368847</v>
      </c>
      <c r="M238">
        <f t="shared" si="117"/>
        <v>152.63951209150224</v>
      </c>
      <c r="N238">
        <f t="shared" si="118"/>
        <v>9949.2438995015618</v>
      </c>
      <c r="O238">
        <f t="shared" si="119"/>
        <v>1.0107400406562903</v>
      </c>
      <c r="P238">
        <f t="shared" si="120"/>
        <v>152.63623924710319</v>
      </c>
      <c r="Q238">
        <f t="shared" si="121"/>
        <v>23.435825704789853</v>
      </c>
      <c r="R238">
        <f t="shared" si="122"/>
        <v>23.438034269234326</v>
      </c>
      <c r="S238">
        <f t="shared" si="123"/>
        <v>154.59947852834597</v>
      </c>
      <c r="T238" s="19">
        <f t="shared" si="124"/>
        <v>10.534311127278288</v>
      </c>
      <c r="U238">
        <f t="shared" si="125"/>
        <v>4.3029783005086149E-2</v>
      </c>
      <c r="V238">
        <f t="shared" si="126"/>
        <v>-2.0139677699990162</v>
      </c>
      <c r="W238">
        <f t="shared" si="127"/>
        <v>99.315533752079475</v>
      </c>
      <c r="X238" s="6">
        <f t="shared" si="128"/>
        <v>0.50682044984027708</v>
      </c>
      <c r="Y238" s="6">
        <f t="shared" si="129"/>
        <v>0.23094396719561183</v>
      </c>
      <c r="Z238" s="6">
        <f t="shared" si="130"/>
        <v>0.78269693248494232</v>
      </c>
      <c r="AA238" s="19">
        <f t="shared" si="131"/>
        <v>794.5242700166358</v>
      </c>
      <c r="AB238">
        <f t="shared" si="132"/>
        <v>710.17855223000106</v>
      </c>
      <c r="AC238">
        <f t="shared" si="133"/>
        <v>-2.4553619424997351</v>
      </c>
      <c r="AD238">
        <f t="shared" si="108"/>
        <v>27.155602385251967</v>
      </c>
      <c r="AE238">
        <f t="shared" si="134"/>
        <v>62.844397614748033</v>
      </c>
      <c r="AF238">
        <f t="shared" si="135"/>
        <v>8.2758361823764733E-3</v>
      </c>
      <c r="AG238">
        <f t="shared" si="136"/>
        <v>62.852673450930411</v>
      </c>
      <c r="AH238">
        <f t="shared" si="109"/>
        <v>174.70501213240652</v>
      </c>
      <c r="AK238">
        <f t="shared" si="137"/>
        <v>0.1828243072551109</v>
      </c>
      <c r="AL238">
        <f t="shared" si="138"/>
        <v>0.98314560095475623</v>
      </c>
      <c r="AM238">
        <f t="shared" si="139"/>
        <v>795</v>
      </c>
      <c r="AN238">
        <f t="shared" si="140"/>
        <v>-397.5</v>
      </c>
      <c r="AO238">
        <f t="shared" si="141"/>
        <v>397.5</v>
      </c>
      <c r="AP238" s="16" cm="1">
        <f t="array" ref="AP238">SUMPRODUCT(1362*POWER(0.7,POWER(1/($AI$2*AK238+$AJ$2*AL238*COS(RADIANS(0.25*(_xlfn.SEQUENCE(AO238-AN238,1,AN238+1))))+0.50572*POWER(96.07995-DEGREES(ACOS($AI$2*AK238+$AJ$2*AL238*COS(RADIANS(0.25*(_xlfn.SEQUENCE(AO238-AN238,1,AN238+1)))))),-1.6364)),0.678))*IF(AL238*COS(RADIANS(0.25*(_xlfn.SEQUENCE(AO238-AN238,1,AN238+1))))&gt;0,AL238*COS(RADIANS(0.25*(_xlfn.SEQUENCE(AO238-AN238,1,AN238+1)))),0)/60)</f>
        <v>6452.34108165616</v>
      </c>
      <c r="AQ238" s="17" cm="1">
        <f t="array" ref="AQ238">SUMPRODUCT(1362*POWER(0.7,POWER(1/($AI$2*AK238+$AJ$2*AL238*COS(RADIANS(0.25*(_xlfn.SEQUENCE(AO238-AN238,1,AN238+1))))+0.50572*POWER(96.07995-DEGREES(ACOS($AI$2*AK238+$AJ$2*AL238*COS(RADIANS(0.25*(_xlfn.SEQUENCE(AO238-AN238,1,AN238+1)))))),-1.6364)),0.678))/60)</f>
        <v>9602.2056749065341</v>
      </c>
      <c r="AR238" s="15">
        <f t="shared" si="142"/>
        <v>1.4881739129081937</v>
      </c>
      <c r="AT238">
        <v>0.47335803703095913</v>
      </c>
      <c r="AU238">
        <v>61.747504280751741</v>
      </c>
      <c r="AV238">
        <v>2.105662101136839</v>
      </c>
      <c r="AW238">
        <v>754.29801119956176</v>
      </c>
    </row>
    <row r="239" spans="4:49" ht="17" x14ac:dyDescent="0.2">
      <c r="D239" s="1">
        <f t="shared" si="143"/>
        <v>46260</v>
      </c>
      <c r="E239" s="6">
        <f t="shared" si="110"/>
        <v>0.5</v>
      </c>
      <c r="F239" s="2">
        <f t="shared" si="111"/>
        <v>2461279.3333333335</v>
      </c>
      <c r="G239" s="3">
        <f t="shared" si="112"/>
        <v>0.26651152178873344</v>
      </c>
      <c r="I239">
        <f t="shared" si="113"/>
        <v>155.08643449502961</v>
      </c>
      <c r="J239">
        <f t="shared" si="114"/>
        <v>9951.690774819981</v>
      </c>
      <c r="K239">
        <f t="shared" si="115"/>
        <v>1.6697421655861397E-2</v>
      </c>
      <c r="L239">
        <f t="shared" si="116"/>
        <v>-1.4820329866458333</v>
      </c>
      <c r="M239">
        <f t="shared" si="117"/>
        <v>153.60440150838377</v>
      </c>
      <c r="N239">
        <f t="shared" si="118"/>
        <v>9950.2087418333358</v>
      </c>
      <c r="O239">
        <f t="shared" si="119"/>
        <v>1.0105208663257057</v>
      </c>
      <c r="P239">
        <f t="shared" si="120"/>
        <v>153.60113247424329</v>
      </c>
      <c r="Q239">
        <f t="shared" si="121"/>
        <v>23.435825348755721</v>
      </c>
      <c r="R239">
        <f t="shared" si="122"/>
        <v>23.438032715817371</v>
      </c>
      <c r="S239">
        <f t="shared" si="123"/>
        <v>155.51435164740082</v>
      </c>
      <c r="T239" s="19">
        <f t="shared" si="124"/>
        <v>10.186318110364596</v>
      </c>
      <c r="U239">
        <f t="shared" si="125"/>
        <v>4.3029777139023735E-2</v>
      </c>
      <c r="V239">
        <f t="shared" si="126"/>
        <v>-1.7317329453728842</v>
      </c>
      <c r="W239">
        <f t="shared" si="127"/>
        <v>99.03379381373945</v>
      </c>
      <c r="X239" s="6">
        <f t="shared" si="128"/>
        <v>0.50662445343428664</v>
      </c>
      <c r="Y239" s="6">
        <f t="shared" si="129"/>
        <v>0.23153058172945487</v>
      </c>
      <c r="Z239" s="6">
        <f t="shared" si="130"/>
        <v>0.78171832513911854</v>
      </c>
      <c r="AA239" s="19">
        <f t="shared" si="131"/>
        <v>792.2703505099156</v>
      </c>
      <c r="AB239">
        <f t="shared" si="132"/>
        <v>710.46078705462719</v>
      </c>
      <c r="AC239">
        <f t="shared" si="133"/>
        <v>-2.3848032363432026</v>
      </c>
      <c r="AD239">
        <f t="shared" si="108"/>
        <v>27.497611401069982</v>
      </c>
      <c r="AE239">
        <f t="shared" si="134"/>
        <v>62.502388598930018</v>
      </c>
      <c r="AF239">
        <f t="shared" si="135"/>
        <v>8.3977774200499466E-3</v>
      </c>
      <c r="AG239">
        <f t="shared" si="136"/>
        <v>62.510786376350069</v>
      </c>
      <c r="AH239">
        <f t="shared" si="109"/>
        <v>174.91105734307348</v>
      </c>
      <c r="AK239">
        <f t="shared" si="137"/>
        <v>0.17684971524520859</v>
      </c>
      <c r="AL239">
        <f t="shared" si="138"/>
        <v>0.98423786668553281</v>
      </c>
      <c r="AM239">
        <f t="shared" si="139"/>
        <v>792</v>
      </c>
      <c r="AN239">
        <f t="shared" si="140"/>
        <v>-396</v>
      </c>
      <c r="AO239">
        <f t="shared" si="141"/>
        <v>396</v>
      </c>
      <c r="AP239" s="16" cm="1">
        <f t="array" ref="AP239">SUMPRODUCT(1362*POWER(0.7,POWER(1/($AI$2*AK239+$AJ$2*AL239*COS(RADIANS(0.25*(_xlfn.SEQUENCE(AO239-AN239,1,AN239+1))))+0.50572*POWER(96.07995-DEGREES(ACOS($AI$2*AK239+$AJ$2*AL239*COS(RADIANS(0.25*(_xlfn.SEQUENCE(AO239-AN239,1,AN239+1)))))),-1.6364)),0.678))*IF(AL239*COS(RADIANS(0.25*(_xlfn.SEQUENCE(AO239-AN239,1,AN239+1))))&gt;0,AL239*COS(RADIANS(0.25*(_xlfn.SEQUENCE(AO239-AN239,1,AN239+1)))),0)/60)</f>
        <v>6449.8687628265734</v>
      </c>
      <c r="AQ239" s="17" cm="1">
        <f t="array" ref="AQ239">SUMPRODUCT(1362*POWER(0.7,POWER(1/($AI$2*AK239+$AJ$2*AL239*COS(RADIANS(0.25*(_xlfn.SEQUENCE(AO239-AN239,1,AN239+1))))+0.50572*POWER(96.07995-DEGREES(ACOS($AI$2*AK239+$AJ$2*AL239*COS(RADIANS(0.25*(_xlfn.SEQUENCE(AO239-AN239,1,AN239+1)))))),-1.6364)),0.678))/60)</f>
        <v>9566.1967162725832</v>
      </c>
      <c r="AR239" s="15">
        <f t="shared" si="142"/>
        <v>1.4831614515022036</v>
      </c>
      <c r="AT239">
        <v>0.47406061237436103</v>
      </c>
      <c r="AU239">
        <v>61.701795798074095</v>
      </c>
      <c r="AV239">
        <v>2.1025665361816768</v>
      </c>
      <c r="AW239">
        <v>754.74252454734119</v>
      </c>
    </row>
    <row r="240" spans="4:49" ht="17" x14ac:dyDescent="0.2">
      <c r="D240" s="1">
        <f t="shared" si="143"/>
        <v>46261</v>
      </c>
      <c r="E240" s="6">
        <f t="shared" si="110"/>
        <v>0.5</v>
      </c>
      <c r="F240" s="2">
        <f t="shared" si="111"/>
        <v>2461280.3333333335</v>
      </c>
      <c r="G240" s="3">
        <f t="shared" si="112"/>
        <v>0.26653890029660476</v>
      </c>
      <c r="I240">
        <f t="shared" si="113"/>
        <v>156.07208185961827</v>
      </c>
      <c r="J240">
        <f t="shared" si="114"/>
        <v>9952.6763750994633</v>
      </c>
      <c r="K240">
        <f t="shared" si="115"/>
        <v>1.6697420503101985E-2</v>
      </c>
      <c r="L240">
        <f t="shared" si="116"/>
        <v>-1.5023693499767061</v>
      </c>
      <c r="M240">
        <f t="shared" si="117"/>
        <v>154.56971250964156</v>
      </c>
      <c r="N240">
        <f t="shared" si="118"/>
        <v>9951.1740057494862</v>
      </c>
      <c r="O240">
        <f t="shared" si="119"/>
        <v>1.010298595458875</v>
      </c>
      <c r="P240">
        <f t="shared" si="120"/>
        <v>154.5664472836917</v>
      </c>
      <c r="Q240">
        <f t="shared" si="121"/>
        <v>23.435824992721585</v>
      </c>
      <c r="R240">
        <f t="shared" si="122"/>
        <v>23.438031160514935</v>
      </c>
      <c r="S240">
        <f t="shared" si="123"/>
        <v>156.42762134213837</v>
      </c>
      <c r="T240" s="19">
        <f t="shared" si="124"/>
        <v>9.8356343001368689</v>
      </c>
      <c r="U240">
        <f t="shared" si="125"/>
        <v>4.3029771265841725E-2</v>
      </c>
      <c r="V240">
        <f t="shared" si="126"/>
        <v>-1.4431302264815606</v>
      </c>
      <c r="W240">
        <f t="shared" si="127"/>
        <v>98.750758925748528</v>
      </c>
      <c r="X240" s="6">
        <f t="shared" si="128"/>
        <v>0.50642403487950105</v>
      </c>
      <c r="Y240" s="6">
        <f t="shared" si="129"/>
        <v>0.23211637119686626</v>
      </c>
      <c r="Z240" s="6">
        <f t="shared" si="130"/>
        <v>0.78073169856213587</v>
      </c>
      <c r="AA240" s="19">
        <f t="shared" si="131"/>
        <v>790.00607140598822</v>
      </c>
      <c r="AB240">
        <f t="shared" si="132"/>
        <v>710.74938977351849</v>
      </c>
      <c r="AC240">
        <f t="shared" si="133"/>
        <v>-2.3126525566203782</v>
      </c>
      <c r="AD240">
        <f t="shared" si="108"/>
        <v>27.842468620720091</v>
      </c>
      <c r="AE240">
        <f t="shared" si="134"/>
        <v>62.157531379279909</v>
      </c>
      <c r="AF240">
        <f t="shared" si="135"/>
        <v>8.5215003116451554E-3</v>
      </c>
      <c r="AG240">
        <f t="shared" si="136"/>
        <v>62.166052879591554</v>
      </c>
      <c r="AH240">
        <f t="shared" si="109"/>
        <v>175.11649522132723</v>
      </c>
      <c r="AK240">
        <f t="shared" si="137"/>
        <v>0.17082232672041545</v>
      </c>
      <c r="AL240">
        <f t="shared" si="138"/>
        <v>0.98530184851842417</v>
      </c>
      <c r="AM240">
        <f t="shared" si="139"/>
        <v>790</v>
      </c>
      <c r="AN240">
        <f t="shared" si="140"/>
        <v>-395</v>
      </c>
      <c r="AO240">
        <f t="shared" si="141"/>
        <v>395</v>
      </c>
      <c r="AP240" s="16" cm="1">
        <f t="array" ref="AP240">SUMPRODUCT(1362*POWER(0.7,POWER(1/($AI$2*AK240+$AJ$2*AL240*COS(RADIANS(0.25*(_xlfn.SEQUENCE(AO240-AN240,1,AN240+1))))+0.50572*POWER(96.07995-DEGREES(ACOS($AI$2*AK240+$AJ$2*AL240*COS(RADIANS(0.25*(_xlfn.SEQUENCE(AO240-AN240,1,AN240+1)))))),-1.6364)),0.678))*IF(AL240*COS(RADIANS(0.25*(_xlfn.SEQUENCE(AO240-AN240,1,AN240+1))))&gt;0,AL240*COS(RADIANS(0.25*(_xlfn.SEQUENCE(AO240-AN240,1,AN240+1)))),0)/60)</f>
        <v>6446.9719849767625</v>
      </c>
      <c r="AQ240" s="17" cm="1">
        <f t="array" ref="AQ240">SUMPRODUCT(1362*POWER(0.7,POWER(1/($AI$2*AK240+$AJ$2*AL240*COS(RADIANS(0.25*(_xlfn.SEQUENCE(AO240-AN240,1,AN240+1))))+0.50572*POWER(96.07995-DEGREES(ACOS($AI$2*AK240+$AJ$2*AL240*COS(RADIANS(0.25*(_xlfn.SEQUENCE(AO240-AN240,1,AN240+1)))))),-1.6364)),0.678))/60)</f>
        <v>9529.9714899855971</v>
      </c>
      <c r="AR240" s="15">
        <f t="shared" si="142"/>
        <v>1.4782089191938603</v>
      </c>
      <c r="AT240">
        <v>0.47474963323259411</v>
      </c>
      <c r="AU240">
        <v>61.656950073539214</v>
      </c>
      <c r="AV240">
        <v>2.0995394754930556</v>
      </c>
      <c r="AW240">
        <v>755.1776582329901</v>
      </c>
    </row>
    <row r="241" spans="4:49" ht="17" x14ac:dyDescent="0.2">
      <c r="D241" s="1">
        <f t="shared" si="143"/>
        <v>46262</v>
      </c>
      <c r="E241" s="6">
        <f t="shared" si="110"/>
        <v>0.5</v>
      </c>
      <c r="F241" s="2">
        <f t="shared" si="111"/>
        <v>2461281.3333333335</v>
      </c>
      <c r="G241" s="3">
        <f t="shared" si="112"/>
        <v>0.26656627880447609</v>
      </c>
      <c r="I241">
        <f t="shared" si="113"/>
        <v>157.05772922420874</v>
      </c>
      <c r="J241">
        <f t="shared" si="114"/>
        <v>9953.6619753789455</v>
      </c>
      <c r="K241">
        <f t="shared" si="115"/>
        <v>1.6697419350342385E-2</v>
      </c>
      <c r="L241">
        <f t="shared" si="116"/>
        <v>-1.5222779925379875</v>
      </c>
      <c r="M241">
        <f t="shared" si="117"/>
        <v>155.53545123167075</v>
      </c>
      <c r="N241">
        <f t="shared" si="118"/>
        <v>9952.1396973864066</v>
      </c>
      <c r="O241">
        <f t="shared" si="119"/>
        <v>1.010073289792218</v>
      </c>
      <c r="P241">
        <f t="shared" si="120"/>
        <v>155.53218981184031</v>
      </c>
      <c r="Q241">
        <f t="shared" si="121"/>
        <v>23.435824636687453</v>
      </c>
      <c r="R241">
        <f t="shared" si="122"/>
        <v>23.43802960332804</v>
      </c>
      <c r="S241">
        <f t="shared" si="123"/>
        <v>157.33935160536038</v>
      </c>
      <c r="T241" s="19">
        <f t="shared" si="124"/>
        <v>9.4823486621009483</v>
      </c>
      <c r="U241">
        <f t="shared" si="125"/>
        <v>4.3029765385544004E-2</v>
      </c>
      <c r="V241">
        <f t="shared" si="126"/>
        <v>-1.1484123495941765</v>
      </c>
      <c r="W241">
        <f t="shared" si="127"/>
        <v>98.466488366391175</v>
      </c>
      <c r="X241" s="6">
        <f t="shared" si="128"/>
        <v>0.50621936968721803</v>
      </c>
      <c r="Y241" s="6">
        <f t="shared" si="129"/>
        <v>0.23270134644724258</v>
      </c>
      <c r="Z241" s="6">
        <f t="shared" si="130"/>
        <v>0.77973739292719357</v>
      </c>
      <c r="AA241" s="19">
        <f t="shared" si="131"/>
        <v>787.7319069311294</v>
      </c>
      <c r="AB241">
        <f t="shared" si="132"/>
        <v>711.04410765040575</v>
      </c>
      <c r="AC241">
        <f t="shared" si="133"/>
        <v>-2.2389730873985627</v>
      </c>
      <c r="AD241">
        <f t="shared" si="108"/>
        <v>28.190095458667379</v>
      </c>
      <c r="AE241">
        <f t="shared" si="134"/>
        <v>61.809904541332621</v>
      </c>
      <c r="AF241">
        <f t="shared" si="135"/>
        <v>8.6470118952852986E-3</v>
      </c>
      <c r="AG241">
        <f t="shared" si="136"/>
        <v>61.818551553227906</v>
      </c>
      <c r="AH241">
        <f t="shared" si="109"/>
        <v>175.32116464719013</v>
      </c>
      <c r="AK241">
        <f t="shared" si="137"/>
        <v>0.16474374911855963</v>
      </c>
      <c r="AL241">
        <f t="shared" si="138"/>
        <v>0.98633640160259783</v>
      </c>
      <c r="AM241">
        <f t="shared" si="139"/>
        <v>788</v>
      </c>
      <c r="AN241">
        <f t="shared" si="140"/>
        <v>-394</v>
      </c>
      <c r="AO241">
        <f t="shared" si="141"/>
        <v>394</v>
      </c>
      <c r="AP241" s="16" cm="1">
        <f t="array" ref="AP241">SUMPRODUCT(1362*POWER(0.7,POWER(1/($AI$2*AK241+$AJ$2*AL241*COS(RADIANS(0.25*(_xlfn.SEQUENCE(AO241-AN241,1,AN241+1))))+0.50572*POWER(96.07995-DEGREES(ACOS($AI$2*AK241+$AJ$2*AL241*COS(RADIANS(0.25*(_xlfn.SEQUENCE(AO241-AN241,1,AN241+1)))))),-1.6364)),0.678))*IF(AL241*COS(RADIANS(0.25*(_xlfn.SEQUENCE(AO241-AN241,1,AN241+1))))&gt;0,AL241*COS(RADIANS(0.25*(_xlfn.SEQUENCE(AO241-AN241,1,AN241+1)))),0)/60)</f>
        <v>6443.6349854062992</v>
      </c>
      <c r="AQ241" s="17" cm="1">
        <f t="array" ref="AQ241">SUMPRODUCT(1362*POWER(0.7,POWER(1/($AI$2*AK241+$AJ$2*AL241*COS(RADIANS(0.25*(_xlfn.SEQUENCE(AO241-AN241,1,AN241+1))))+0.50572*POWER(96.07995-DEGREES(ACOS($AI$2*AK241+$AJ$2*AL241*COS(RADIANS(0.25*(_xlfn.SEQUENCE(AO241-AN241,1,AN241+1)))))),-1.6364)),0.678))/60)</f>
        <v>9493.4129361093146</v>
      </c>
      <c r="AR241" s="15">
        <f t="shared" si="142"/>
        <v>1.4733008554348945</v>
      </c>
      <c r="AT241">
        <v>0.47542508648769433</v>
      </c>
      <c r="AU241">
        <v>61.612969026408251</v>
      </c>
      <c r="AV241">
        <v>2.096580427131701</v>
      </c>
      <c r="AW241">
        <v>755.60345322719752</v>
      </c>
    </row>
    <row r="242" spans="4:49" ht="17" x14ac:dyDescent="0.2">
      <c r="D242" s="1">
        <f t="shared" si="143"/>
        <v>46263</v>
      </c>
      <c r="E242" s="6">
        <f t="shared" si="110"/>
        <v>0.5</v>
      </c>
      <c r="F242" s="2">
        <f t="shared" si="111"/>
        <v>2461282.3333333335</v>
      </c>
      <c r="G242" s="3">
        <f t="shared" si="112"/>
        <v>0.26659365731234741</v>
      </c>
      <c r="I242">
        <f t="shared" si="113"/>
        <v>158.04337658879922</v>
      </c>
      <c r="J242">
        <f t="shared" si="114"/>
        <v>9954.6475756584259</v>
      </c>
      <c r="K242">
        <f t="shared" si="115"/>
        <v>1.6697418197582595E-2</v>
      </c>
      <c r="L242">
        <f t="shared" si="116"/>
        <v>-1.5417528849571898</v>
      </c>
      <c r="M242">
        <f t="shared" si="117"/>
        <v>156.50162370384203</v>
      </c>
      <c r="N242">
        <f t="shared" si="118"/>
        <v>9953.1058227734684</v>
      </c>
      <c r="O242">
        <f t="shared" si="119"/>
        <v>1.0098450119891802</v>
      </c>
      <c r="P242">
        <f t="shared" si="120"/>
        <v>156.49836608805657</v>
      </c>
      <c r="Q242">
        <f t="shared" si="121"/>
        <v>23.435824280653321</v>
      </c>
      <c r="R242">
        <f t="shared" si="122"/>
        <v>23.43802804425771</v>
      </c>
      <c r="S242">
        <f t="shared" si="123"/>
        <v>158.24960791617926</v>
      </c>
      <c r="T242" s="19">
        <f t="shared" si="124"/>
        <v>9.1265502738078315</v>
      </c>
      <c r="U242">
        <f t="shared" si="125"/>
        <v>4.3029759498134437E-2</v>
      </c>
      <c r="V242">
        <f t="shared" si="126"/>
        <v>-0.84783736484072814</v>
      </c>
      <c r="W242">
        <f t="shared" si="127"/>
        <v>98.181039762743865</v>
      </c>
      <c r="X242" s="6">
        <f t="shared" si="128"/>
        <v>0.50601063705891702</v>
      </c>
      <c r="Y242" s="6">
        <f t="shared" si="129"/>
        <v>0.2332855266068507</v>
      </c>
      <c r="Z242" s="6">
        <f t="shared" si="130"/>
        <v>0.7787357475109834</v>
      </c>
      <c r="AA242" s="19">
        <f t="shared" si="131"/>
        <v>785.44831810195092</v>
      </c>
      <c r="AB242">
        <f t="shared" si="132"/>
        <v>711.34468263515919</v>
      </c>
      <c r="AC242">
        <f t="shared" si="133"/>
        <v>-2.163829341210203</v>
      </c>
      <c r="AD242">
        <f t="shared" si="108"/>
        <v>28.540412437918331</v>
      </c>
      <c r="AE242">
        <f t="shared" si="134"/>
        <v>61.459587562081666</v>
      </c>
      <c r="AF242">
        <f t="shared" si="135"/>
        <v>8.7743194388426524E-3</v>
      </c>
      <c r="AG242">
        <f t="shared" si="136"/>
        <v>61.468361881520508</v>
      </c>
      <c r="AH242">
        <f t="shared" si="109"/>
        <v>175.52491047508852</v>
      </c>
      <c r="AK242">
        <f t="shared" si="137"/>
        <v>0.15861560764046556</v>
      </c>
      <c r="AL242">
        <f t="shared" si="138"/>
        <v>0.98734041192126132</v>
      </c>
      <c r="AM242">
        <f t="shared" si="139"/>
        <v>785</v>
      </c>
      <c r="AN242">
        <f t="shared" si="140"/>
        <v>-392.5</v>
      </c>
      <c r="AO242">
        <f t="shared" si="141"/>
        <v>392.5</v>
      </c>
      <c r="AP242" s="16" cm="1">
        <f t="array" ref="AP242">SUMPRODUCT(1362*POWER(0.7,POWER(1/($AI$2*AK242+$AJ$2*AL242*COS(RADIANS(0.25*(_xlfn.SEQUENCE(AO242-AN242,1,AN242+1))))+0.50572*POWER(96.07995-DEGREES(ACOS($AI$2*AK242+$AJ$2*AL242*COS(RADIANS(0.25*(_xlfn.SEQUENCE(AO242-AN242,1,AN242+1)))))),-1.6364)),0.678))*IF(AL242*COS(RADIANS(0.25*(_xlfn.SEQUENCE(AO242-AN242,1,AN242+1))))&gt;0,AL242*COS(RADIANS(0.25*(_xlfn.SEQUENCE(AO242-AN242,1,AN242+1)))),0)/60)</f>
        <v>6439.852443834905</v>
      </c>
      <c r="AQ242" s="17" cm="1">
        <f t="array" ref="AQ242">SUMPRODUCT(1362*POWER(0.7,POWER(1/($AI$2*AK242+$AJ$2*AL242*COS(RADIANS(0.25*(_xlfn.SEQUENCE(AO242-AN242,1,AN242+1))))+0.50572*POWER(96.07995-DEGREES(ACOS($AI$2*AK242+$AJ$2*AL242*COS(RADIANS(0.25*(_xlfn.SEQUENCE(AO242-AN242,1,AN242+1)))))),-1.6364)),0.678))/60)</f>
        <v>9456.4051160337076</v>
      </c>
      <c r="AR242" s="15">
        <f t="shared" si="142"/>
        <v>1.4684195326690526</v>
      </c>
      <c r="AT242">
        <v>0.47608695928000533</v>
      </c>
      <c r="AU242">
        <v>61.569854544322617</v>
      </c>
      <c r="AV242">
        <v>2.0936889119435516</v>
      </c>
      <c r="AW242">
        <v>756.01994952233383</v>
      </c>
    </row>
    <row r="243" spans="4:49" ht="17" x14ac:dyDescent="0.2">
      <c r="D243" s="1">
        <f t="shared" si="143"/>
        <v>46264</v>
      </c>
      <c r="E243" s="6">
        <f t="shared" si="110"/>
        <v>0.5</v>
      </c>
      <c r="F243" s="2">
        <f t="shared" si="111"/>
        <v>2461283.3333333335</v>
      </c>
      <c r="G243" s="3">
        <f t="shared" si="112"/>
        <v>0.26662103582021873</v>
      </c>
      <c r="I243">
        <f t="shared" si="113"/>
        <v>159.0290239533897</v>
      </c>
      <c r="J243">
        <f t="shared" si="114"/>
        <v>9955.6331759379063</v>
      </c>
      <c r="K243">
        <f t="shared" si="115"/>
        <v>1.6697417044822613E-2</v>
      </c>
      <c r="L243">
        <f t="shared" si="116"/>
        <v>-1.5607881067800391</v>
      </c>
      <c r="M243">
        <f t="shared" si="117"/>
        <v>157.46823584660964</v>
      </c>
      <c r="N243">
        <f t="shared" si="118"/>
        <v>9954.0723878311255</v>
      </c>
      <c r="O243">
        <f t="shared" si="119"/>
        <v>1.0096138256262999</v>
      </c>
      <c r="P243">
        <f t="shared" si="120"/>
        <v>157.46498203279151</v>
      </c>
      <c r="Q243">
        <f t="shared" si="121"/>
        <v>23.435823924619189</v>
      </c>
      <c r="R243">
        <f t="shared" si="122"/>
        <v>23.438026483304974</v>
      </c>
      <c r="S243">
        <f t="shared" si="123"/>
        <v>159.15845717996402</v>
      </c>
      <c r="T243" s="19">
        <f t="shared" si="124"/>
        <v>8.7683283240176966</v>
      </c>
      <c r="U243">
        <f t="shared" si="125"/>
        <v>4.3029753603616896E-2</v>
      </c>
      <c r="V243">
        <f t="shared" si="126"/>
        <v>-0.54166840177786935</v>
      </c>
      <c r="W243">
        <f t="shared" si="127"/>
        <v>97.894469141032431</v>
      </c>
      <c r="X243" s="6">
        <f t="shared" si="128"/>
        <v>0.50579801972345673</v>
      </c>
      <c r="Y243" s="6">
        <f t="shared" si="129"/>
        <v>0.23386893877614442</v>
      </c>
      <c r="Z243" s="6">
        <f t="shared" si="130"/>
        <v>0.77772710067076911</v>
      </c>
      <c r="AA243" s="19">
        <f t="shared" si="131"/>
        <v>783.15575312825945</v>
      </c>
      <c r="AB243">
        <f t="shared" si="132"/>
        <v>711.65085159822206</v>
      </c>
      <c r="AC243">
        <f t="shared" si="133"/>
        <v>-2.0872871004444846</v>
      </c>
      <c r="AD243">
        <f t="shared" si="108"/>
        <v>28.893339185000482</v>
      </c>
      <c r="AE243">
        <f t="shared" si="134"/>
        <v>61.106660814999515</v>
      </c>
      <c r="AF243">
        <f t="shared" si="135"/>
        <v>8.9034304264494074E-3</v>
      </c>
      <c r="AG243">
        <f t="shared" si="136"/>
        <v>61.115564245425965</v>
      </c>
      <c r="AH243">
        <f t="shared" si="109"/>
        <v>175.72758338963706</v>
      </c>
      <c r="AK243">
        <f t="shared" si="137"/>
        <v>0.15243954496989498</v>
      </c>
      <c r="AL243">
        <f t="shared" si="138"/>
        <v>0.9883127972101603</v>
      </c>
      <c r="AM243">
        <f t="shared" si="139"/>
        <v>783</v>
      </c>
      <c r="AN243">
        <f t="shared" si="140"/>
        <v>-391.5</v>
      </c>
      <c r="AO243">
        <f t="shared" si="141"/>
        <v>391.5</v>
      </c>
      <c r="AP243" s="16" cm="1">
        <f t="array" ref="AP243">SUMPRODUCT(1362*POWER(0.7,POWER(1/($AI$2*AK243+$AJ$2*AL243*COS(RADIANS(0.25*(_xlfn.SEQUENCE(AO243-AN243,1,AN243+1))))+0.50572*POWER(96.07995-DEGREES(ACOS($AI$2*AK243+$AJ$2*AL243*COS(RADIANS(0.25*(_xlfn.SEQUENCE(AO243-AN243,1,AN243+1)))))),-1.6364)),0.678))*IF(AL243*COS(RADIANS(0.25*(_xlfn.SEQUENCE(AO243-AN243,1,AN243+1))))&gt;0,AL243*COS(RADIANS(0.25*(_xlfn.SEQUENCE(AO243-AN243,1,AN243+1)))),0)/60)</f>
        <v>6435.60484038092</v>
      </c>
      <c r="AQ243" s="17" cm="1">
        <f t="array" ref="AQ243">SUMPRODUCT(1362*POWER(0.7,POWER(1/($AI$2*AK243+$AJ$2*AL243*COS(RADIANS(0.25*(_xlfn.SEQUENCE(AO243-AN243,1,AN243+1))))+0.50572*POWER(96.07995-DEGREES(ACOS($AI$2*AK243+$AJ$2*AL243*COS(RADIANS(0.25*(_xlfn.SEQUENCE(AO243-AN243,1,AN243+1)))))),-1.6364)),0.678))/60)</f>
        <v>9419.1992999119539</v>
      </c>
      <c r="AR243" s="15">
        <f t="shared" si="142"/>
        <v>1.463607467135045</v>
      </c>
      <c r="AT243">
        <v>0.47673523900842329</v>
      </c>
      <c r="AU243">
        <v>61.527608482926567</v>
      </c>
      <c r="AV243">
        <v>2.0908644633620503</v>
      </c>
      <c r="AW243">
        <v>756.42718614276134</v>
      </c>
    </row>
    <row r="244" spans="4:49" ht="17" x14ac:dyDescent="0.2">
      <c r="D244" s="1">
        <f t="shared" si="143"/>
        <v>46265</v>
      </c>
      <c r="E244" s="6">
        <f t="shared" si="110"/>
        <v>0.5</v>
      </c>
      <c r="F244" s="2">
        <f t="shared" si="111"/>
        <v>2461284.3333333335</v>
      </c>
      <c r="G244" s="3">
        <f t="shared" si="112"/>
        <v>0.26664841432809006</v>
      </c>
      <c r="I244">
        <f t="shared" si="113"/>
        <v>160.01467131798017</v>
      </c>
      <c r="J244">
        <f t="shared" si="114"/>
        <v>9956.6187762173886</v>
      </c>
      <c r="K244">
        <f t="shared" si="115"/>
        <v>1.6697415892062441E-2</v>
      </c>
      <c r="L244">
        <f t="shared" si="116"/>
        <v>-1.579377848359345</v>
      </c>
      <c r="M244">
        <f t="shared" si="117"/>
        <v>158.43529346962083</v>
      </c>
      <c r="N244">
        <f t="shared" si="118"/>
        <v>9955.0393983690301</v>
      </c>
      <c r="O244">
        <f t="shared" si="119"/>
        <v>1.009379795178986</v>
      </c>
      <c r="P244">
        <f t="shared" si="120"/>
        <v>158.43204345568904</v>
      </c>
      <c r="Q244">
        <f t="shared" si="121"/>
        <v>23.435823568585057</v>
      </c>
      <c r="R244">
        <f t="shared" si="122"/>
        <v>23.438024920470863</v>
      </c>
      <c r="S244">
        <f t="shared" si="123"/>
        <v>160.06596766920106</v>
      </c>
      <c r="T244" s="19">
        <f t="shared" si="124"/>
        <v>8.4077721131904077</v>
      </c>
      <c r="U244">
        <f t="shared" si="125"/>
        <v>4.3029747701995288E-2</v>
      </c>
      <c r="V244">
        <f t="shared" si="126"/>
        <v>-0.23017344488715086</v>
      </c>
      <c r="W244">
        <f t="shared" si="127"/>
        <v>97.606830979384526</v>
      </c>
      <c r="X244" s="6">
        <f t="shared" si="128"/>
        <v>0.50558170378117162</v>
      </c>
      <c r="Y244" s="6">
        <f t="shared" si="129"/>
        <v>0.23445161772732573</v>
      </c>
      <c r="Z244" s="6">
        <f t="shared" si="130"/>
        <v>0.77671178983501754</v>
      </c>
      <c r="AA244" s="19">
        <f t="shared" si="131"/>
        <v>780.85464783507621</v>
      </c>
      <c r="AB244">
        <f t="shared" si="132"/>
        <v>711.96234655511284</v>
      </c>
      <c r="AC244">
        <f t="shared" si="133"/>
        <v>-2.0094133612217888</v>
      </c>
      <c r="AD244">
        <f t="shared" si="108"/>
        <v>29.248794426157385</v>
      </c>
      <c r="AE244">
        <f t="shared" si="134"/>
        <v>60.751205573842611</v>
      </c>
      <c r="AF244">
        <f t="shared" si="135"/>
        <v>9.0343525440560145E-3</v>
      </c>
      <c r="AG244">
        <f t="shared" si="136"/>
        <v>60.760239926386667</v>
      </c>
      <c r="AH244">
        <f t="shared" si="109"/>
        <v>175.92903975546176</v>
      </c>
      <c r="AK244">
        <f t="shared" si="137"/>
        <v>0.1462172209860691</v>
      </c>
      <c r="AL244">
        <f t="shared" si="138"/>
        <v>0.98925250784979613</v>
      </c>
      <c r="AM244">
        <f t="shared" si="139"/>
        <v>781</v>
      </c>
      <c r="AN244">
        <f t="shared" si="140"/>
        <v>-390.5</v>
      </c>
      <c r="AO244">
        <f t="shared" si="141"/>
        <v>390.5</v>
      </c>
      <c r="AP244" s="16" cm="1">
        <f t="array" ref="AP244">SUMPRODUCT(1362*POWER(0.7,POWER(1/($AI$2*AK244+$AJ$2*AL244*COS(RADIANS(0.25*(_xlfn.SEQUENCE(AO244-AN244,1,AN244+1))))+0.50572*POWER(96.07995-DEGREES(ACOS($AI$2*AK244+$AJ$2*AL244*COS(RADIANS(0.25*(_xlfn.SEQUENCE(AO244-AN244,1,AN244+1)))))),-1.6364)),0.678))*IF(AL244*COS(RADIANS(0.25*(_xlfn.SEQUENCE(AO244-AN244,1,AN244+1))))&gt;0,AL244*COS(RADIANS(0.25*(_xlfn.SEQUENCE(AO244-AN244,1,AN244+1)))),0)/60)</f>
        <v>6430.8875863002313</v>
      </c>
      <c r="AQ244" s="17" cm="1">
        <f t="array" ref="AQ244">SUMPRODUCT(1362*POWER(0.7,POWER(1/($AI$2*AK244+$AJ$2*AL244*COS(RADIANS(0.25*(_xlfn.SEQUENCE(AO244-AN244,1,AN244+1))))+0.50572*POWER(96.07995-DEGREES(ACOS($AI$2*AK244+$AJ$2*AL244*COS(RADIANS(0.25*(_xlfn.SEQUENCE(AO244-AN244,1,AN244+1)))))),-1.6364)),0.678))/60)</f>
        <v>9381.6751108885455</v>
      </c>
      <c r="AR244" s="15">
        <f t="shared" si="142"/>
        <v>1.4588460745099012</v>
      </c>
      <c r="AT244">
        <v>0.47736991333063672</v>
      </c>
      <c r="AU244">
        <v>61.486232665494434</v>
      </c>
      <c r="AV244">
        <v>2.0881066272165629</v>
      </c>
      <c r="AW244">
        <v>756.82520115486307</v>
      </c>
    </row>
    <row r="245" spans="4:49" ht="17" x14ac:dyDescent="0.2">
      <c r="D245" s="1">
        <f t="shared" si="143"/>
        <v>46266</v>
      </c>
      <c r="E245" s="6">
        <f t="shared" si="110"/>
        <v>0.5</v>
      </c>
      <c r="F245" s="2">
        <f t="shared" si="111"/>
        <v>2461285.3333333335</v>
      </c>
      <c r="G245" s="3">
        <f t="shared" si="112"/>
        <v>0.26667579283596138</v>
      </c>
      <c r="I245">
        <f t="shared" si="113"/>
        <v>161.00031868257247</v>
      </c>
      <c r="J245">
        <f t="shared" si="114"/>
        <v>9957.604376496869</v>
      </c>
      <c r="K245">
        <f t="shared" si="115"/>
        <v>1.6697414739302082E-2</v>
      </c>
      <c r="L245">
        <f t="shared" si="116"/>
        <v>-1.5975164127331827</v>
      </c>
      <c r="M245">
        <f t="shared" si="117"/>
        <v>159.4028022698393</v>
      </c>
      <c r="N245">
        <f t="shared" si="118"/>
        <v>9956.006860084135</v>
      </c>
      <c r="O245">
        <f t="shared" si="119"/>
        <v>1.0091429860069969</v>
      </c>
      <c r="P245">
        <f t="shared" si="120"/>
        <v>159.39955605370969</v>
      </c>
      <c r="Q245">
        <f t="shared" si="121"/>
        <v>23.435823212550929</v>
      </c>
      <c r="R245">
        <f t="shared" si="122"/>
        <v>23.43802335575641</v>
      </c>
      <c r="S245">
        <f t="shared" si="123"/>
        <v>160.97220896529038</v>
      </c>
      <c r="T245" s="19">
        <f t="shared" si="124"/>
        <v>8.0449710552449201</v>
      </c>
      <c r="U245">
        <f t="shared" si="125"/>
        <v>4.3029741793273533E-2</v>
      </c>
      <c r="V245">
        <f t="shared" si="126"/>
        <v>8.6374880918054578E-2</v>
      </c>
      <c r="W245">
        <f t="shared" si="127"/>
        <v>97.318178262795954</v>
      </c>
      <c r="X245" s="6">
        <f t="shared" si="128"/>
        <v>0.50536187855491788</v>
      </c>
      <c r="Y245" s="6">
        <f t="shared" si="129"/>
        <v>0.23503360560270686</v>
      </c>
      <c r="Z245" s="6">
        <f t="shared" si="130"/>
        <v>0.77569015150712883</v>
      </c>
      <c r="AA245" s="19">
        <f t="shared" si="131"/>
        <v>778.54542610236763</v>
      </c>
      <c r="AB245">
        <f t="shared" si="132"/>
        <v>712.27889488091796</v>
      </c>
      <c r="AC245">
        <f t="shared" si="133"/>
        <v>-1.93027627977051</v>
      </c>
      <c r="AD245">
        <f t="shared" si="108"/>
        <v>29.606695984671028</v>
      </c>
      <c r="AE245">
        <f t="shared" si="134"/>
        <v>60.393304015328972</v>
      </c>
      <c r="AF245">
        <f t="shared" si="135"/>
        <v>9.1670936639436009E-3</v>
      </c>
      <c r="AG245">
        <f t="shared" si="136"/>
        <v>60.402471108992913</v>
      </c>
      <c r="AH245">
        <f t="shared" si="109"/>
        <v>176.12914146220339</v>
      </c>
      <c r="AK245">
        <f t="shared" si="137"/>
        <v>0.13995031246855397</v>
      </c>
      <c r="AL245">
        <f t="shared" si="138"/>
        <v>0.99015852773177393</v>
      </c>
      <c r="AM245">
        <f t="shared" si="139"/>
        <v>779</v>
      </c>
      <c r="AN245">
        <f t="shared" si="140"/>
        <v>-389.5</v>
      </c>
      <c r="AO245">
        <f t="shared" si="141"/>
        <v>389.5</v>
      </c>
      <c r="AP245" s="16" cm="1">
        <f t="array" ref="AP245">SUMPRODUCT(1362*POWER(0.7,POWER(1/($AI$2*AK245+$AJ$2*AL245*COS(RADIANS(0.25*(_xlfn.SEQUENCE(AO245-AN245,1,AN245+1))))+0.50572*POWER(96.07995-DEGREES(ACOS($AI$2*AK245+$AJ$2*AL245*COS(RADIANS(0.25*(_xlfn.SEQUENCE(AO245-AN245,1,AN245+1)))))),-1.6364)),0.678))*IF(AL245*COS(RADIANS(0.25*(_xlfn.SEQUENCE(AO245-AN245,1,AN245+1))))&gt;0,AL245*COS(RADIANS(0.25*(_xlfn.SEQUENCE(AO245-AN245,1,AN245+1)))),0)/60)</f>
        <v>6425.6914571350007</v>
      </c>
      <c r="AQ245" s="17" cm="1">
        <f t="array" ref="AQ245">SUMPRODUCT(1362*POWER(0.7,POWER(1/($AI$2*AK245+$AJ$2*AL245*COS(RADIANS(0.25*(_xlfn.SEQUENCE(AO245-AN245,1,AN245+1))))+0.50572*POWER(96.07995-DEGREES(ACOS($AI$2*AK245+$AJ$2*AL245*COS(RADIANS(0.25*(_xlfn.SEQUENCE(AO245-AN245,1,AN245+1)))))),-1.6364)),0.678))/60)</f>
        <v>9343.8375079920006</v>
      </c>
      <c r="AR245" s="15">
        <f t="shared" si="142"/>
        <v>1.4541372816176428</v>
      </c>
      <c r="AT245">
        <v>0.47799097016336123</v>
      </c>
      <c r="AU245">
        <v>61.445728882562612</v>
      </c>
      <c r="AV245">
        <v>2.0854149615467676</v>
      </c>
      <c r="AW245">
        <v>757.21403167679193</v>
      </c>
    </row>
    <row r="246" spans="4:49" ht="17" x14ac:dyDescent="0.2">
      <c r="D246" s="1">
        <f t="shared" si="143"/>
        <v>46267</v>
      </c>
      <c r="E246" s="6">
        <f t="shared" si="110"/>
        <v>0.5</v>
      </c>
      <c r="F246" s="2">
        <f t="shared" si="111"/>
        <v>2461286.3333333335</v>
      </c>
      <c r="G246" s="3">
        <f t="shared" si="112"/>
        <v>0.2667031713438327</v>
      </c>
      <c r="I246">
        <f t="shared" si="113"/>
        <v>161.98596604716477</v>
      </c>
      <c r="J246">
        <f t="shared" si="114"/>
        <v>9958.5899767763494</v>
      </c>
      <c r="K246">
        <f t="shared" si="115"/>
        <v>1.6697413586541528E-2</v>
      </c>
      <c r="L246">
        <f t="shared" si="116"/>
        <v>-1.6151982174918844</v>
      </c>
      <c r="M246">
        <f t="shared" si="117"/>
        <v>160.37076782967287</v>
      </c>
      <c r="N246">
        <f t="shared" si="118"/>
        <v>9956.974778558857</v>
      </c>
      <c r="O246">
        <f t="shared" si="119"/>
        <v>1.0089034643396151</v>
      </c>
      <c r="P246">
        <f t="shared" si="120"/>
        <v>160.36752540925804</v>
      </c>
      <c r="Q246">
        <f t="shared" si="121"/>
        <v>23.435822856516797</v>
      </c>
      <c r="R246">
        <f t="shared" si="122"/>
        <v>23.43802178916264</v>
      </c>
      <c r="S246">
        <f t="shared" si="123"/>
        <v>161.87725190126579</v>
      </c>
      <c r="T246" s="19">
        <f t="shared" si="124"/>
        <v>7.6800146805385836</v>
      </c>
      <c r="U246">
        <f t="shared" si="125"/>
        <v>4.3029735877455462E-2</v>
      </c>
      <c r="V246">
        <f t="shared" si="126"/>
        <v>0.40769951478471589</v>
      </c>
      <c r="W246">
        <f t="shared" si="127"/>
        <v>97.028562540147504</v>
      </c>
      <c r="X246" s="6">
        <f t="shared" si="128"/>
        <v>0.50513873644806606</v>
      </c>
      <c r="Y246" s="6">
        <f t="shared" si="129"/>
        <v>0.23561495161432303</v>
      </c>
      <c r="Z246" s="6">
        <f t="shared" si="130"/>
        <v>0.77466252128180912</v>
      </c>
      <c r="AA246" s="19">
        <f t="shared" si="131"/>
        <v>776.22850032118004</v>
      </c>
      <c r="AB246">
        <f t="shared" si="132"/>
        <v>712.60021951478461</v>
      </c>
      <c r="AC246">
        <f t="shared" si="133"/>
        <v>-1.8499451213038469</v>
      </c>
      <c r="AD246">
        <f t="shared" si="108"/>
        <v>29.966960779218489</v>
      </c>
      <c r="AE246">
        <f t="shared" si="134"/>
        <v>60.033039220781511</v>
      </c>
      <c r="AF246">
        <f t="shared" si="135"/>
        <v>9.3016618280911765E-3</v>
      </c>
      <c r="AG246">
        <f t="shared" si="136"/>
        <v>60.042340882609601</v>
      </c>
      <c r="AH246">
        <f t="shared" si="109"/>
        <v>176.32775576571771</v>
      </c>
      <c r="AK246">
        <f t="shared" si="137"/>
        <v>0.13364051279445205</v>
      </c>
      <c r="AL246">
        <f t="shared" si="138"/>
        <v>0.99102987509965401</v>
      </c>
      <c r="AM246">
        <f t="shared" si="139"/>
        <v>776</v>
      </c>
      <c r="AN246">
        <f t="shared" si="140"/>
        <v>-388</v>
      </c>
      <c r="AO246">
        <f t="shared" si="141"/>
        <v>388</v>
      </c>
      <c r="AP246" s="16" cm="1">
        <f t="array" ref="AP246">SUMPRODUCT(1362*POWER(0.7,POWER(1/($AI$2*AK246+$AJ$2*AL246*COS(RADIANS(0.25*(_xlfn.SEQUENCE(AO246-AN246,1,AN246+1))))+0.50572*POWER(96.07995-DEGREES(ACOS($AI$2*AK246+$AJ$2*AL246*COS(RADIANS(0.25*(_xlfn.SEQUENCE(AO246-AN246,1,AN246+1)))))),-1.6364)),0.678))*IF(AL246*COS(RADIANS(0.25*(_xlfn.SEQUENCE(AO246-AN246,1,AN246+1))))&gt;0,AL246*COS(RADIANS(0.25*(_xlfn.SEQUENCE(AO246-AN246,1,AN246+1)))),0)/60)</f>
        <v>6420.0034803051058</v>
      </c>
      <c r="AQ246" s="17" cm="1">
        <f t="array" ref="AQ246">SUMPRODUCT(1362*POWER(0.7,POWER(1/($AI$2*AK246+$AJ$2*AL246*COS(RADIANS(0.25*(_xlfn.SEQUENCE(AO246-AN246,1,AN246+1))))+0.50572*POWER(96.07995-DEGREES(ACOS($AI$2*AK246+$AJ$2*AL246*COS(RADIANS(0.25*(_xlfn.SEQUENCE(AO246-AN246,1,AN246+1)))))),-1.6364)),0.678))/60)</f>
        <v>9305.5738005613548</v>
      </c>
      <c r="AR246" s="15">
        <f t="shared" si="142"/>
        <v>1.4494655383144923</v>
      </c>
      <c r="AT246">
        <v>0.47859839768257006</v>
      </c>
      <c r="AU246">
        <v>61.406098891566309</v>
      </c>
      <c r="AV246">
        <v>2.0827890364228785</v>
      </c>
      <c r="AW246">
        <v>757.59371388794796</v>
      </c>
    </row>
    <row r="247" spans="4:49" ht="17" x14ac:dyDescent="0.2">
      <c r="D247" s="1">
        <f t="shared" si="143"/>
        <v>46268</v>
      </c>
      <c r="E247" s="6">
        <f t="shared" si="110"/>
        <v>0.5</v>
      </c>
      <c r="F247" s="2">
        <f t="shared" si="111"/>
        <v>2461287.3333333335</v>
      </c>
      <c r="G247" s="3">
        <f t="shared" si="112"/>
        <v>0.26673054985170402</v>
      </c>
      <c r="I247">
        <f t="shared" si="113"/>
        <v>162.97161341175706</v>
      </c>
      <c r="J247">
        <f t="shared" si="114"/>
        <v>9959.5755770558299</v>
      </c>
      <c r="K247">
        <f t="shared" si="115"/>
        <v>1.6697412433780791E-2</v>
      </c>
      <c r="L247">
        <f t="shared" si="116"/>
        <v>-1.6324177966330866</v>
      </c>
      <c r="M247">
        <f t="shared" si="117"/>
        <v>161.33919561512397</v>
      </c>
      <c r="N247">
        <f t="shared" si="118"/>
        <v>9957.9431592591973</v>
      </c>
      <c r="O247">
        <f t="shared" si="119"/>
        <v>1.0086612972605347</v>
      </c>
      <c r="P247">
        <f t="shared" si="120"/>
        <v>161.33595698833321</v>
      </c>
      <c r="Q247">
        <f t="shared" si="121"/>
        <v>23.435822500482665</v>
      </c>
      <c r="R247">
        <f t="shared" si="122"/>
        <v>23.438020220690589</v>
      </c>
      <c r="S247">
        <f t="shared" si="123"/>
        <v>162.7811685054491</v>
      </c>
      <c r="T247" s="19">
        <f t="shared" si="124"/>
        <v>7.3129926400050564</v>
      </c>
      <c r="U247">
        <f t="shared" si="125"/>
        <v>4.3029729954545022E-2</v>
      </c>
      <c r="V247">
        <f t="shared" si="126"/>
        <v>0.7335191545143811</v>
      </c>
      <c r="W247">
        <f t="shared" si="127"/>
        <v>96.73803398311145</v>
      </c>
      <c r="X247" s="6">
        <f t="shared" si="128"/>
        <v>0.50491247280936491</v>
      </c>
      <c r="Y247" s="6">
        <f t="shared" si="129"/>
        <v>0.2361957117451664</v>
      </c>
      <c r="Z247" s="6">
        <f t="shared" si="130"/>
        <v>0.77362923387356342</v>
      </c>
      <c r="AA247" s="19">
        <f t="shared" si="131"/>
        <v>773.9042718648916</v>
      </c>
      <c r="AB247">
        <f t="shared" si="132"/>
        <v>712.92603915451446</v>
      </c>
      <c r="AC247">
        <f t="shared" si="133"/>
        <v>-1.7684902113713861</v>
      </c>
      <c r="AD247">
        <f t="shared" si="108"/>
        <v>30.329504823182877</v>
      </c>
      <c r="AE247">
        <f t="shared" si="134"/>
        <v>59.670495176817127</v>
      </c>
      <c r="AF247">
        <f t="shared" si="135"/>
        <v>9.4380652302990288E-3</v>
      </c>
      <c r="AG247">
        <f t="shared" si="136"/>
        <v>59.679933242047426</v>
      </c>
      <c r="AH247">
        <f t="shared" si="109"/>
        <v>176.52475512648664</v>
      </c>
      <c r="AK247">
        <f t="shared" si="137"/>
        <v>0.12728953162764481</v>
      </c>
      <c r="AL247">
        <f t="shared" si="138"/>
        <v>0.9918656033646972</v>
      </c>
      <c r="AM247">
        <f t="shared" si="139"/>
        <v>774</v>
      </c>
      <c r="AN247">
        <f t="shared" si="140"/>
        <v>-387</v>
      </c>
      <c r="AO247">
        <f t="shared" si="141"/>
        <v>387</v>
      </c>
      <c r="AP247" s="16" cm="1">
        <f t="array" ref="AP247">SUMPRODUCT(1362*POWER(0.7,POWER(1/($AI$2*AK247+$AJ$2*AL247*COS(RADIANS(0.25*(_xlfn.SEQUENCE(AO247-AN247,1,AN247+1))))+0.50572*POWER(96.07995-DEGREES(ACOS($AI$2*AK247+$AJ$2*AL247*COS(RADIANS(0.25*(_xlfn.SEQUENCE(AO247-AN247,1,AN247+1)))))),-1.6364)),0.678))*IF(AL247*COS(RADIANS(0.25*(_xlfn.SEQUENCE(AO247-AN247,1,AN247+1))))&gt;0,AL247*COS(RADIANS(0.25*(_xlfn.SEQUENCE(AO247-AN247,1,AN247+1)))),0)/60)</f>
        <v>6413.8233708983362</v>
      </c>
      <c r="AQ247" s="17" cm="1">
        <f t="array" ref="AQ247">SUMPRODUCT(1362*POWER(0.7,POWER(1/($AI$2*AK247+$AJ$2*AL247*COS(RADIANS(0.25*(_xlfn.SEQUENCE(AO247-AN247,1,AN247+1))))+0.50572*POWER(96.07995-DEGREES(ACOS($AI$2*AK247+$AJ$2*AL247*COS(RADIANS(0.25*(_xlfn.SEQUENCE(AO247-AN247,1,AN247+1)))))),-1.6364)),0.678))/60)</f>
        <v>9267.1289630820102</v>
      </c>
      <c r="AR247" s="15">
        <f t="shared" si="142"/>
        <v>1.4448681273528792</v>
      </c>
      <c r="AT247">
        <v>0.4791921843237188</v>
      </c>
      <c r="AU247">
        <v>61.36734441648148</v>
      </c>
      <c r="AV247">
        <v>2.0802284337715569</v>
      </c>
      <c r="AW247">
        <v>757.96428303818607</v>
      </c>
    </row>
    <row r="248" spans="4:49" ht="17" x14ac:dyDescent="0.2">
      <c r="D248" s="1">
        <f t="shared" si="143"/>
        <v>46269</v>
      </c>
      <c r="E248" s="6">
        <f t="shared" si="110"/>
        <v>0.5</v>
      </c>
      <c r="F248" s="2">
        <f t="shared" si="111"/>
        <v>2461288.3333333335</v>
      </c>
      <c r="G248" s="3">
        <f t="shared" si="112"/>
        <v>0.26675792835957535</v>
      </c>
      <c r="I248">
        <f t="shared" si="113"/>
        <v>163.95726077635118</v>
      </c>
      <c r="J248">
        <f t="shared" si="114"/>
        <v>9960.5611773353103</v>
      </c>
      <c r="K248">
        <f t="shared" si="115"/>
        <v>1.6697411281019859E-2</v>
      </c>
      <c r="L248">
        <f t="shared" si="116"/>
        <v>-1.6491698024040353</v>
      </c>
      <c r="M248">
        <f t="shared" si="117"/>
        <v>162.30809097394715</v>
      </c>
      <c r="N248">
        <f t="shared" si="118"/>
        <v>9958.9120075329065</v>
      </c>
      <c r="O248">
        <f t="shared" si="119"/>
        <v>1.0084165526924398</v>
      </c>
      <c r="P248">
        <f t="shared" si="120"/>
        <v>162.30485613868657</v>
      </c>
      <c r="Q248">
        <f t="shared" si="121"/>
        <v>23.435822144448537</v>
      </c>
      <c r="R248">
        <f t="shared" si="122"/>
        <v>23.438018650341299</v>
      </c>
      <c r="S248">
        <f t="shared" si="123"/>
        <v>163.68403194600705</v>
      </c>
      <c r="T248" s="19">
        <f t="shared" si="124"/>
        <v>6.9439947104023974</v>
      </c>
      <c r="U248">
        <f t="shared" si="125"/>
        <v>4.3029724024546141E-2</v>
      </c>
      <c r="V248">
        <f t="shared" si="126"/>
        <v>1.0635484414415028</v>
      </c>
      <c r="W248">
        <f t="shared" si="127"/>
        <v>96.446641446807647</v>
      </c>
      <c r="X248" s="6">
        <f t="shared" si="128"/>
        <v>0.50468328580455446</v>
      </c>
      <c r="Y248" s="6">
        <f t="shared" si="129"/>
        <v>0.23677594845231098</v>
      </c>
      <c r="Z248" s="6">
        <f t="shared" si="130"/>
        <v>0.77259062315679783</v>
      </c>
      <c r="AA248" s="19">
        <f t="shared" si="131"/>
        <v>771.57313157446117</v>
      </c>
      <c r="AB248">
        <f t="shared" si="132"/>
        <v>713.25606844144158</v>
      </c>
      <c r="AC248">
        <f t="shared" si="133"/>
        <v>-1.6859828896396039</v>
      </c>
      <c r="AD248">
        <f t="shared" si="108"/>
        <v>30.694243224831155</v>
      </c>
      <c r="AE248">
        <f t="shared" si="134"/>
        <v>59.305756775168845</v>
      </c>
      <c r="AF248">
        <f t="shared" si="135"/>
        <v>9.5763121969627343E-3</v>
      </c>
      <c r="AG248">
        <f t="shared" si="136"/>
        <v>59.315333087365808</v>
      </c>
      <c r="AH248">
        <f t="shared" si="109"/>
        <v>176.72001704613206</v>
      </c>
      <c r="AK248">
        <f t="shared" si="137"/>
        <v>0.12089909460006421</v>
      </c>
      <c r="AL248">
        <f t="shared" si="138"/>
        <v>0.99266480189683604</v>
      </c>
      <c r="AM248">
        <f t="shared" si="139"/>
        <v>772</v>
      </c>
      <c r="AN248">
        <f t="shared" si="140"/>
        <v>-386</v>
      </c>
      <c r="AO248">
        <f t="shared" si="141"/>
        <v>386</v>
      </c>
      <c r="AP248" s="16" cm="1">
        <f t="array" ref="AP248">SUMPRODUCT(1362*POWER(0.7,POWER(1/($AI$2*AK248+$AJ$2*AL248*COS(RADIANS(0.25*(_xlfn.SEQUENCE(AO248-AN248,1,AN248+1))))+0.50572*POWER(96.07995-DEGREES(ACOS($AI$2*AK248+$AJ$2*AL248*COS(RADIANS(0.25*(_xlfn.SEQUENCE(AO248-AN248,1,AN248+1)))))),-1.6364)),0.678))*IF(AL248*COS(RADIANS(0.25*(_xlfn.SEQUENCE(AO248-AN248,1,AN248+1))))&gt;0,AL248*COS(RADIANS(0.25*(_xlfn.SEQUENCE(AO248-AN248,1,AN248+1)))),0)/60)</f>
        <v>6407.1386304858124</v>
      </c>
      <c r="AQ248" s="17" cm="1">
        <f t="array" ref="AQ248">SUMPRODUCT(1362*POWER(0.7,POWER(1/($AI$2*AK248+$AJ$2*AL248*COS(RADIANS(0.25*(_xlfn.SEQUENCE(AO248-AN248,1,AN248+1))))+0.50572*POWER(96.07995-DEGREES(ACOS($AI$2*AK248+$AJ$2*AL248*COS(RADIANS(0.25*(_xlfn.SEQUENCE(AO248-AN248,1,AN248+1)))))),-1.6364)),0.678))/60)</f>
        <v>9228.3855071189864</v>
      </c>
      <c r="AR248" s="15">
        <f t="shared" si="142"/>
        <v>1.4403286770180681</v>
      </c>
      <c r="AT248">
        <v>0.47977231878196569</v>
      </c>
      <c r="AU248">
        <v>61.329467147471945</v>
      </c>
      <c r="AV248">
        <v>2.0777327472073823</v>
      </c>
      <c r="AW248">
        <v>758.32577345675986</v>
      </c>
    </row>
    <row r="249" spans="4:49" ht="17" x14ac:dyDescent="0.2">
      <c r="D249" s="1">
        <f t="shared" si="143"/>
        <v>46270</v>
      </c>
      <c r="E249" s="6">
        <f t="shared" si="110"/>
        <v>0.5</v>
      </c>
      <c r="F249" s="2">
        <f t="shared" si="111"/>
        <v>2461289.3333333335</v>
      </c>
      <c r="G249" s="3">
        <f t="shared" si="112"/>
        <v>0.26678530686744661</v>
      </c>
      <c r="I249">
        <f t="shared" si="113"/>
        <v>164.94290814093983</v>
      </c>
      <c r="J249">
        <f t="shared" si="114"/>
        <v>9961.5467776147871</v>
      </c>
      <c r="K249">
        <f t="shared" si="115"/>
        <v>1.669741012825874E-2</v>
      </c>
      <c r="L249">
        <f t="shared" si="116"/>
        <v>-1.665449007130694</v>
      </c>
      <c r="M249">
        <f t="shared" si="117"/>
        <v>163.27745913380915</v>
      </c>
      <c r="N249">
        <f t="shared" si="118"/>
        <v>9959.8813286076565</v>
      </c>
      <c r="O249">
        <f t="shared" si="119"/>
        <v>1.0081692993812894</v>
      </c>
      <c r="P249">
        <f t="shared" si="120"/>
        <v>163.27422808798161</v>
      </c>
      <c r="Q249">
        <f t="shared" si="121"/>
        <v>23.435821788414408</v>
      </c>
      <c r="R249">
        <f t="shared" si="122"/>
        <v>23.438017078115802</v>
      </c>
      <c r="S249">
        <f t="shared" si="123"/>
        <v>164.58591647638355</v>
      </c>
      <c r="T249" s="19">
        <f t="shared" si="124"/>
        <v>6.573110800618764</v>
      </c>
      <c r="U249">
        <f t="shared" si="125"/>
        <v>4.3029718087462719E-2</v>
      </c>
      <c r="V249">
        <f t="shared" si="126"/>
        <v>1.3974981358671108</v>
      </c>
      <c r="W249">
        <f t="shared" si="127"/>
        <v>96.154432532077394</v>
      </c>
      <c r="X249" s="6">
        <f t="shared" si="128"/>
        <v>0.50445137629453662</v>
      </c>
      <c r="Y249" s="6">
        <f t="shared" si="129"/>
        <v>0.23735573037209942</v>
      </c>
      <c r="Z249" s="6">
        <f t="shared" si="130"/>
        <v>0.77154702221697391</v>
      </c>
      <c r="AA249" s="19">
        <f t="shared" si="131"/>
        <v>769.23546025661915</v>
      </c>
      <c r="AB249">
        <f t="shared" si="132"/>
        <v>713.59001813586701</v>
      </c>
      <c r="AC249">
        <f t="shared" si="133"/>
        <v>-1.6024954660332469</v>
      </c>
      <c r="AD249">
        <f t="shared" si="108"/>
        <v>31.061090188279319</v>
      </c>
      <c r="AE249">
        <f t="shared" si="134"/>
        <v>58.938909811720677</v>
      </c>
      <c r="AF249">
        <f t="shared" si="135"/>
        <v>9.716411166390479E-3</v>
      </c>
      <c r="AG249">
        <f t="shared" si="136"/>
        <v>58.948626222887064</v>
      </c>
      <c r="AH249">
        <f t="shared" si="109"/>
        <v>176.91342390288435</v>
      </c>
      <c r="AK249">
        <f t="shared" si="137"/>
        <v>0.11447094298491052</v>
      </c>
      <c r="AL249">
        <f t="shared" si="138"/>
        <v>0.99342659679119993</v>
      </c>
      <c r="AM249">
        <f t="shared" si="139"/>
        <v>769</v>
      </c>
      <c r="AN249">
        <f t="shared" si="140"/>
        <v>-384.5</v>
      </c>
      <c r="AO249">
        <f t="shared" si="141"/>
        <v>384.5</v>
      </c>
      <c r="AP249" s="16" cm="1">
        <f t="array" ref="AP249">SUMPRODUCT(1362*POWER(0.7,POWER(1/($AI$2*AK249+$AJ$2*AL249*COS(RADIANS(0.25*(_xlfn.SEQUENCE(AO249-AN249,1,AN249+1))))+0.50572*POWER(96.07995-DEGREES(ACOS($AI$2*AK249+$AJ$2*AL249*COS(RADIANS(0.25*(_xlfn.SEQUENCE(AO249-AN249,1,AN249+1)))))),-1.6364)),0.678))*IF(AL249*COS(RADIANS(0.25*(_xlfn.SEQUENCE(AO249-AN249,1,AN249+1))))&gt;0,AL249*COS(RADIANS(0.25*(_xlfn.SEQUENCE(AO249-AN249,1,AN249+1)))),0)/60)</f>
        <v>6399.9448363291958</v>
      </c>
      <c r="AQ249" s="17" cm="1">
        <f t="array" ref="AQ249">SUMPRODUCT(1362*POWER(0.7,POWER(1/($AI$2*AK249+$AJ$2*AL249*COS(RADIANS(0.25*(_xlfn.SEQUENCE(AO249-AN249,1,AN249+1))))+0.50572*POWER(96.07995-DEGREES(ACOS($AI$2*AK249+$AJ$2*AL249*COS(RADIANS(0.25*(_xlfn.SEQUENCE(AO249-AN249,1,AN249+1)))))),-1.6364)),0.678))/60)</f>
        <v>9189.2306744362813</v>
      </c>
      <c r="AR249" s="15">
        <f t="shared" si="142"/>
        <v>1.4358296687611656</v>
      </c>
      <c r="AT249">
        <v>0.48033879001238688</v>
      </c>
      <c r="AU249">
        <v>61.292468740541899</v>
      </c>
      <c r="AV249">
        <v>2.0753015818697467</v>
      </c>
      <c r="AW249">
        <v>758.67821856100659</v>
      </c>
    </row>
    <row r="250" spans="4:49" ht="17" x14ac:dyDescent="0.2">
      <c r="D250" s="1">
        <f t="shared" si="143"/>
        <v>46271</v>
      </c>
      <c r="E250" s="6">
        <f t="shared" si="110"/>
        <v>0.5</v>
      </c>
      <c r="F250" s="2">
        <f t="shared" si="111"/>
        <v>2461290.3333333335</v>
      </c>
      <c r="G250" s="3">
        <f t="shared" si="112"/>
        <v>0.26681268537531794</v>
      </c>
      <c r="I250">
        <f t="shared" si="113"/>
        <v>165.92855550553395</v>
      </c>
      <c r="J250">
        <f t="shared" si="114"/>
        <v>9962.5323778942675</v>
      </c>
      <c r="K250">
        <f t="shared" si="115"/>
        <v>1.6697408975497426E-2</v>
      </c>
      <c r="L250">
        <f t="shared" si="116"/>
        <v>-1.6812503050331269</v>
      </c>
      <c r="M250">
        <f t="shared" si="117"/>
        <v>164.24730520050082</v>
      </c>
      <c r="N250">
        <f t="shared" si="118"/>
        <v>9960.8511275892342</v>
      </c>
      <c r="O250">
        <f t="shared" si="119"/>
        <v>1.0079196068802962</v>
      </c>
      <c r="P250">
        <f t="shared" si="120"/>
        <v>164.24407794200593</v>
      </c>
      <c r="Q250">
        <f t="shared" si="121"/>
        <v>23.435821432380276</v>
      </c>
      <c r="R250">
        <f t="shared" si="122"/>
        <v>23.438015504015134</v>
      </c>
      <c r="S250">
        <f t="shared" si="123"/>
        <v>165.48689738162346</v>
      </c>
      <c r="T250" s="19">
        <f t="shared" si="124"/>
        <v>6.2004309589613626</v>
      </c>
      <c r="U250">
        <f t="shared" si="125"/>
        <v>4.3029712143298655E-2</v>
      </c>
      <c r="V250">
        <f t="shared" si="126"/>
        <v>1.7350752834177856</v>
      </c>
      <c r="W250">
        <f t="shared" si="127"/>
        <v>95.861453649235912</v>
      </c>
      <c r="X250" s="6">
        <f t="shared" si="128"/>
        <v>0.50421694771984882</v>
      </c>
      <c r="Y250" s="6">
        <f t="shared" si="129"/>
        <v>0.23793513202752681</v>
      </c>
      <c r="Z250" s="6">
        <f t="shared" si="130"/>
        <v>0.77049876341217072</v>
      </c>
      <c r="AA250" s="19">
        <f t="shared" si="131"/>
        <v>766.8916291938873</v>
      </c>
      <c r="AB250">
        <f t="shared" si="132"/>
        <v>713.92759528341776</v>
      </c>
      <c r="AC250">
        <f t="shared" si="133"/>
        <v>-1.5181011791455603</v>
      </c>
      <c r="AD250">
        <f t="shared" si="108"/>
        <v>31.429959015192029</v>
      </c>
      <c r="AE250">
        <f t="shared" si="134"/>
        <v>58.570040984807974</v>
      </c>
      <c r="AF250">
        <f t="shared" si="135"/>
        <v>9.8583706665618387E-3</v>
      </c>
      <c r="AG250">
        <f t="shared" si="136"/>
        <v>58.579899355474538</v>
      </c>
      <c r="AH250">
        <f t="shared" si="109"/>
        <v>177.10486278681901</v>
      </c>
      <c r="AK250">
        <f t="shared" si="137"/>
        <v>0.10800683336136617</v>
      </c>
      <c r="AL250">
        <f t="shared" si="138"/>
        <v>0.99415015161053522</v>
      </c>
      <c r="AM250">
        <f t="shared" si="139"/>
        <v>767</v>
      </c>
      <c r="AN250">
        <f t="shared" si="140"/>
        <v>-383.5</v>
      </c>
      <c r="AO250">
        <f t="shared" si="141"/>
        <v>383.5</v>
      </c>
      <c r="AP250" s="16" cm="1">
        <f t="array" ref="AP250">SUMPRODUCT(1362*POWER(0.7,POWER(1/($AI$2*AK250+$AJ$2*AL250*COS(RADIANS(0.25*(_xlfn.SEQUENCE(AO250-AN250,1,AN250+1))))+0.50572*POWER(96.07995-DEGREES(ACOS($AI$2*AK250+$AJ$2*AL250*COS(RADIANS(0.25*(_xlfn.SEQUENCE(AO250-AN250,1,AN250+1)))))),-1.6364)),0.678))*IF(AL250*COS(RADIANS(0.25*(_xlfn.SEQUENCE(AO250-AN250,1,AN250+1))))&gt;0,AL250*COS(RADIANS(0.25*(_xlfn.SEQUENCE(AO250-AN250,1,AN250+1)))),0)/60)</f>
        <v>6392.2272748104533</v>
      </c>
      <c r="AQ250" s="17" cm="1">
        <f t="array" ref="AQ250">SUMPRODUCT(1362*POWER(0.7,POWER(1/($AI$2*AK250+$AJ$2*AL250*COS(RADIANS(0.25*(_xlfn.SEQUENCE(AO250-AN250,1,AN250+1))))+0.50572*POWER(96.07995-DEGREES(ACOS($AI$2*AK250+$AJ$2*AL250*COS(RADIANS(0.25*(_xlfn.SEQUENCE(AO250-AN250,1,AN250+1)))))),-1.6364)),0.678))/60)</f>
        <v>9149.9099735329401</v>
      </c>
      <c r="AR250" s="15">
        <f t="shared" si="142"/>
        <v>1.4314118663442328</v>
      </c>
      <c r="AT250">
        <v>0.48089158723018688</v>
      </c>
      <c r="AU250">
        <v>61.256350817193983</v>
      </c>
      <c r="AV250">
        <v>2.0729345542650561</v>
      </c>
      <c r="AW250">
        <v>759.02165086477532</v>
      </c>
    </row>
    <row r="251" spans="4:49" ht="17" x14ac:dyDescent="0.2">
      <c r="D251" s="1">
        <f t="shared" si="143"/>
        <v>46272</v>
      </c>
      <c r="E251" s="6">
        <f t="shared" si="110"/>
        <v>0.5</v>
      </c>
      <c r="F251" s="2">
        <f t="shared" si="111"/>
        <v>2461291.3333333335</v>
      </c>
      <c r="G251" s="3">
        <f t="shared" si="112"/>
        <v>0.26684006388318926</v>
      </c>
      <c r="I251">
        <f t="shared" si="113"/>
        <v>166.91420287012807</v>
      </c>
      <c r="J251">
        <f t="shared" si="114"/>
        <v>9963.5179781737461</v>
      </c>
      <c r="K251">
        <f t="shared" si="115"/>
        <v>1.6697407822735929E-2</v>
      </c>
      <c r="L251">
        <f t="shared" si="116"/>
        <v>-1.6965687140256436</v>
      </c>
      <c r="M251">
        <f t="shared" si="117"/>
        <v>165.21763415610243</v>
      </c>
      <c r="N251">
        <f t="shared" si="118"/>
        <v>9961.8214094597206</v>
      </c>
      <c r="O251">
        <f t="shared" si="119"/>
        <v>1.0076675455336133</v>
      </c>
      <c r="P251">
        <f t="shared" si="120"/>
        <v>165.21441068283659</v>
      </c>
      <c r="Q251">
        <f t="shared" si="121"/>
        <v>23.435821076346148</v>
      </c>
      <c r="R251">
        <f t="shared" si="122"/>
        <v>23.438013928040345</v>
      </c>
      <c r="S251">
        <f t="shared" si="123"/>
        <v>166.38705092545976</v>
      </c>
      <c r="T251" s="19">
        <f t="shared" si="124"/>
        <v>5.8260453814111974</v>
      </c>
      <c r="U251">
        <f t="shared" si="125"/>
        <v>4.3029706192057933E-2</v>
      </c>
      <c r="V251">
        <f t="shared" si="126"/>
        <v>2.0759833727358581</v>
      </c>
      <c r="W251">
        <f t="shared" si="127"/>
        <v>95.567750083220034</v>
      </c>
      <c r="X251" s="6">
        <f t="shared" si="128"/>
        <v>0.50398020599115556</v>
      </c>
      <c r="Y251" s="6">
        <f t="shared" si="129"/>
        <v>0.2385142335377666</v>
      </c>
      <c r="Z251" s="6">
        <f t="shared" si="130"/>
        <v>0.76944617844454455</v>
      </c>
      <c r="AA251" s="19">
        <f t="shared" si="131"/>
        <v>764.54200066576027</v>
      </c>
      <c r="AB251">
        <f t="shared" si="132"/>
        <v>714.26850337273595</v>
      </c>
      <c r="AC251">
        <f t="shared" si="133"/>
        <v>-1.4328741568160126</v>
      </c>
      <c r="AD251">
        <f t="shared" si="108"/>
        <v>31.800762107114014</v>
      </c>
      <c r="AE251">
        <f t="shared" si="134"/>
        <v>58.199237892885989</v>
      </c>
      <c r="AF251">
        <f t="shared" si="135"/>
        <v>1.0002199291202505E-2</v>
      </c>
      <c r="AG251">
        <f t="shared" si="136"/>
        <v>58.20924009217719</v>
      </c>
      <c r="AH251">
        <f t="shared" si="109"/>
        <v>177.29422533556351</v>
      </c>
      <c r="AK251">
        <f t="shared" si="137"/>
        <v>0.10150853727135017</v>
      </c>
      <c r="AL251">
        <f t="shared" si="138"/>
        <v>0.99483466810371612</v>
      </c>
      <c r="AM251">
        <f t="shared" si="139"/>
        <v>765</v>
      </c>
      <c r="AN251">
        <f t="shared" si="140"/>
        <v>-382.5</v>
      </c>
      <c r="AO251">
        <f t="shared" si="141"/>
        <v>382.5</v>
      </c>
      <c r="AP251" s="16" cm="1">
        <f t="array" ref="AP251">SUMPRODUCT(1362*POWER(0.7,POWER(1/($AI$2*AK251+$AJ$2*AL251*COS(RADIANS(0.25*(_xlfn.SEQUENCE(AO251-AN251,1,AN251+1))))+0.50572*POWER(96.07995-DEGREES(ACOS($AI$2*AK251+$AJ$2*AL251*COS(RADIANS(0.25*(_xlfn.SEQUENCE(AO251-AN251,1,AN251+1)))))),-1.6364)),0.678))*IF(AL251*COS(RADIANS(0.25*(_xlfn.SEQUENCE(AO251-AN251,1,AN251+1))))&gt;0,AL251*COS(RADIANS(0.25*(_xlfn.SEQUENCE(AO251-AN251,1,AN251+1)))),0)/60)</f>
        <v>6383.9824563899829</v>
      </c>
      <c r="AQ251" s="17" cm="1">
        <f t="array" ref="AQ251">SUMPRODUCT(1362*POWER(0.7,POWER(1/($AI$2*AK251+$AJ$2*AL251*COS(RADIANS(0.25*(_xlfn.SEQUENCE(AO251-AN251,1,AN251+1))))+0.50572*POWER(96.07995-DEGREES(ACOS($AI$2*AK251+$AJ$2*AL251*COS(RADIANS(0.25*(_xlfn.SEQUENCE(AO251-AN251,1,AN251+1)))))),-1.6364)),0.678))/60)</f>
        <v>9110.3055456743405</v>
      </c>
      <c r="AR251" s="15">
        <f t="shared" si="142"/>
        <v>1.4270567953324296</v>
      </c>
      <c r="AT251">
        <v>0.48143069991090326</v>
      </c>
      <c r="AU251">
        <v>61.22111496409304</v>
      </c>
      <c r="AV251">
        <v>2.0706312921141139</v>
      </c>
      <c r="AW251">
        <v>759.35610198660459</v>
      </c>
    </row>
    <row r="252" spans="4:49" ht="17" x14ac:dyDescent="0.2">
      <c r="D252" s="1">
        <f t="shared" si="143"/>
        <v>46273</v>
      </c>
      <c r="E252" s="6">
        <f t="shared" si="110"/>
        <v>0.5</v>
      </c>
      <c r="F252" s="2">
        <f t="shared" si="111"/>
        <v>2461292.3333333335</v>
      </c>
      <c r="G252" s="3">
        <f t="shared" si="112"/>
        <v>0.26686744239106058</v>
      </c>
      <c r="I252">
        <f t="shared" si="113"/>
        <v>167.899850234724</v>
      </c>
      <c r="J252">
        <f t="shared" si="114"/>
        <v>9964.5035784532247</v>
      </c>
      <c r="K252">
        <f t="shared" si="115"/>
        <v>1.6697406669974237E-2</v>
      </c>
      <c r="L252">
        <f t="shared" si="116"/>
        <v>-1.711399377502175</v>
      </c>
      <c r="M252">
        <f t="shared" si="117"/>
        <v>166.18845085722182</v>
      </c>
      <c r="N252">
        <f t="shared" si="118"/>
        <v>9962.7921790757227</v>
      </c>
      <c r="O252">
        <f t="shared" si="119"/>
        <v>1.0074131864597131</v>
      </c>
      <c r="P252">
        <f t="shared" si="120"/>
        <v>166.18523116707814</v>
      </c>
      <c r="Q252">
        <f t="shared" si="121"/>
        <v>23.435820720312019</v>
      </c>
      <c r="R252">
        <f t="shared" si="122"/>
        <v>23.438012350192466</v>
      </c>
      <c r="S252">
        <f t="shared" si="123"/>
        <v>167.28645429823277</v>
      </c>
      <c r="T252" s="19">
        <f t="shared" si="124"/>
        <v>5.450044420742298</v>
      </c>
      <c r="U252">
        <f t="shared" si="125"/>
        <v>4.3029700233744438E-2</v>
      </c>
      <c r="V252">
        <f t="shared" si="126"/>
        <v>2.4199224850525409</v>
      </c>
      <c r="W252">
        <f t="shared" si="127"/>
        <v>95.273366059990565</v>
      </c>
      <c r="X252" s="6">
        <f t="shared" si="128"/>
        <v>0.50374135938538023</v>
      </c>
      <c r="Y252" s="6">
        <f t="shared" si="129"/>
        <v>0.23909312032985086</v>
      </c>
      <c r="Z252" s="6">
        <f t="shared" si="130"/>
        <v>0.76838959844090959</v>
      </c>
      <c r="AA252" s="19">
        <f t="shared" si="131"/>
        <v>762.18692847992452</v>
      </c>
      <c r="AB252">
        <f t="shared" si="132"/>
        <v>714.6124424850525</v>
      </c>
      <c r="AC252">
        <f t="shared" si="133"/>
        <v>-1.3468893787368756</v>
      </c>
      <c r="AD252">
        <f t="shared" si="108"/>
        <v>32.173410968418885</v>
      </c>
      <c r="AE252">
        <f t="shared" si="134"/>
        <v>57.826589031581115</v>
      </c>
      <c r="AF252">
        <f t="shared" si="135"/>
        <v>1.0147905674078044E-2</v>
      </c>
      <c r="AG252">
        <f t="shared" si="136"/>
        <v>57.836736937255196</v>
      </c>
      <c r="AH252">
        <f t="shared" si="109"/>
        <v>177.48140757119529</v>
      </c>
      <c r="AK252">
        <f t="shared" si="137"/>
        <v>9.4977840867413801E-2</v>
      </c>
      <c r="AL252">
        <f t="shared" si="138"/>
        <v>0.99547938690068527</v>
      </c>
      <c r="AM252">
        <f t="shared" si="139"/>
        <v>762</v>
      </c>
      <c r="AN252">
        <f t="shared" si="140"/>
        <v>-381</v>
      </c>
      <c r="AO252">
        <f t="shared" si="141"/>
        <v>381</v>
      </c>
      <c r="AP252" s="16" cm="1">
        <f t="array" ref="AP252">SUMPRODUCT(1362*POWER(0.7,POWER(1/($AI$2*AK252+$AJ$2*AL252*COS(RADIANS(0.25*(_xlfn.SEQUENCE(AO252-AN252,1,AN252+1))))+0.50572*POWER(96.07995-DEGREES(ACOS($AI$2*AK252+$AJ$2*AL252*COS(RADIANS(0.25*(_xlfn.SEQUENCE(AO252-AN252,1,AN252+1)))))),-1.6364)),0.678))*IF(AL252*COS(RADIANS(0.25*(_xlfn.SEQUENCE(AO252-AN252,1,AN252+1))))&gt;0,AL252*COS(RADIANS(0.25*(_xlfn.SEQUENCE(AO252-AN252,1,AN252+1)))),0)/60)</f>
        <v>6375.2007205873579</v>
      </c>
      <c r="AQ252" s="17" cm="1">
        <f t="array" ref="AQ252">SUMPRODUCT(1362*POWER(0.7,POWER(1/($AI$2*AK252+$AJ$2*AL252*COS(RADIANS(0.25*(_xlfn.SEQUENCE(AO252-AN252,1,AN252+1))))+0.50572*POWER(96.07995-DEGREES(ACOS($AI$2*AK252+$AJ$2*AL252*COS(RADIANS(0.25*(_xlfn.SEQUENCE(AO252-AN252,1,AN252+1)))))),-1.6364)),0.678))/60)</f>
        <v>9070.3054574995658</v>
      </c>
      <c r="AR252" s="15">
        <f t="shared" si="142"/>
        <v>1.4227482168849899</v>
      </c>
      <c r="AT252">
        <v>0.48195611779060776</v>
      </c>
      <c r="AU252">
        <v>61.186762732735758</v>
      </c>
      <c r="AV252">
        <v>2.0683914342045719</v>
      </c>
      <c r="AW252">
        <v>759.68160265765198</v>
      </c>
    </row>
    <row r="253" spans="4:49" ht="17" x14ac:dyDescent="0.2">
      <c r="D253" s="1">
        <f t="shared" si="143"/>
        <v>46274</v>
      </c>
      <c r="E253" s="6">
        <f t="shared" si="110"/>
        <v>0.5</v>
      </c>
      <c r="F253" s="2">
        <f t="shared" si="111"/>
        <v>2461293.3333333335</v>
      </c>
      <c r="G253" s="3">
        <f t="shared" si="112"/>
        <v>0.26689482089893191</v>
      </c>
      <c r="I253">
        <f t="shared" si="113"/>
        <v>168.88549759931811</v>
      </c>
      <c r="J253">
        <f t="shared" si="114"/>
        <v>9965.4891787327033</v>
      </c>
      <c r="K253">
        <f t="shared" si="115"/>
        <v>1.6697405517212358E-2</v>
      </c>
      <c r="L253">
        <f t="shared" si="116"/>
        <v>-1.7257375661050491</v>
      </c>
      <c r="M253">
        <f t="shared" si="117"/>
        <v>167.15976003321308</v>
      </c>
      <c r="N253">
        <f t="shared" si="118"/>
        <v>9963.7634411665986</v>
      </c>
      <c r="O253">
        <f t="shared" si="119"/>
        <v>1.0071566015344695</v>
      </c>
      <c r="P253">
        <f t="shared" si="120"/>
        <v>167.15654412408151</v>
      </c>
      <c r="Q253">
        <f t="shared" si="121"/>
        <v>23.435820364277891</v>
      </c>
      <c r="R253">
        <f t="shared" si="122"/>
        <v>23.438010770472548</v>
      </c>
      <c r="S253">
        <f t="shared" si="123"/>
        <v>168.18518556550765</v>
      </c>
      <c r="T253" s="19">
        <f t="shared" si="124"/>
        <v>5.0725185964847768</v>
      </c>
      <c r="U253">
        <f t="shared" si="125"/>
        <v>4.3029694268362138E-2</v>
      </c>
      <c r="V253">
        <f t="shared" si="126"/>
        <v>2.7665894362017438</v>
      </c>
      <c r="W253">
        <f t="shared" si="127"/>
        <v>94.978344814122238</v>
      </c>
      <c r="X253" s="6">
        <f t="shared" si="128"/>
        <v>0.50350061844708216</v>
      </c>
      <c r="Y253" s="6">
        <f t="shared" si="129"/>
        <v>0.23967188285229812</v>
      </c>
      <c r="Z253" s="6">
        <f t="shared" si="130"/>
        <v>0.76732935404186609</v>
      </c>
      <c r="AA253" s="19">
        <f t="shared" si="131"/>
        <v>759.8267585129779</v>
      </c>
      <c r="AB253">
        <f t="shared" si="132"/>
        <v>714.95910943620174</v>
      </c>
      <c r="AC253">
        <f t="shared" si="133"/>
        <v>-1.2602226409495643</v>
      </c>
      <c r="AD253">
        <f t="shared" si="108"/>
        <v>32.54781620978865</v>
      </c>
      <c r="AE253">
        <f t="shared" si="134"/>
        <v>57.45218379021135</v>
      </c>
      <c r="AF253">
        <f t="shared" si="135"/>
        <v>1.0295498461377308E-2</v>
      </c>
      <c r="AG253">
        <f t="shared" si="136"/>
        <v>57.462479288672725</v>
      </c>
      <c r="AH253">
        <f t="shared" si="109"/>
        <v>177.66630973894337</v>
      </c>
      <c r="AK253">
        <f t="shared" si="137"/>
        <v>8.8416544552284412E-2</v>
      </c>
      <c r="AL253">
        <f t="shared" si="138"/>
        <v>0.99608358818396059</v>
      </c>
      <c r="AM253">
        <f t="shared" si="139"/>
        <v>760</v>
      </c>
      <c r="AN253">
        <f t="shared" si="140"/>
        <v>-380</v>
      </c>
      <c r="AO253">
        <f t="shared" si="141"/>
        <v>380</v>
      </c>
      <c r="AP253" s="16" cm="1">
        <f t="array" ref="AP253">SUMPRODUCT(1362*POWER(0.7,POWER(1/($AI$2*AK253+$AJ$2*AL253*COS(RADIANS(0.25*(_xlfn.SEQUENCE(AO253-AN253,1,AN253+1))))+0.50572*POWER(96.07995-DEGREES(ACOS($AI$2*AK253+$AJ$2*AL253*COS(RADIANS(0.25*(_xlfn.SEQUENCE(AO253-AN253,1,AN253+1)))))),-1.6364)),0.678))*IF(AL253*COS(RADIANS(0.25*(_xlfn.SEQUENCE(AO253-AN253,1,AN253+1))))&gt;0,AL253*COS(RADIANS(0.25*(_xlfn.SEQUENCE(AO253-AN253,1,AN253+1)))),0)/60)</f>
        <v>6365.881667134885</v>
      </c>
      <c r="AQ253" s="17" cm="1">
        <f t="array" ref="AQ253">SUMPRODUCT(1362*POWER(0.7,POWER(1/($AI$2*AK253+$AJ$2*AL253*COS(RADIANS(0.25*(_xlfn.SEQUENCE(AO253-AN253,1,AN253+1))))+0.50572*POWER(96.07995-DEGREES(ACOS($AI$2*AK253+$AJ$2*AL253*COS(RADIANS(0.25*(_xlfn.SEQUENCE(AO253-AN253,1,AN253+1)))))),-1.6364)),0.678))/60)</f>
        <v>9030.1540813064839</v>
      </c>
      <c r="AR253" s="15">
        <f t="shared" si="142"/>
        <v>1.4185237102232717</v>
      </c>
      <c r="AT253">
        <v>0.48246783086610145</v>
      </c>
      <c r="AU253">
        <v>61.153295639126355</v>
      </c>
      <c r="AV253">
        <v>2.0662146302483362</v>
      </c>
      <c r="AW253">
        <v>759.99818272938035</v>
      </c>
    </row>
    <row r="254" spans="4:49" ht="17" x14ac:dyDescent="0.2">
      <c r="D254" s="1">
        <f t="shared" si="143"/>
        <v>46275</v>
      </c>
      <c r="E254" s="6">
        <f t="shared" si="110"/>
        <v>0.5</v>
      </c>
      <c r="F254" s="2">
        <f t="shared" si="111"/>
        <v>2461294.3333333335</v>
      </c>
      <c r="G254" s="3">
        <f t="shared" si="112"/>
        <v>0.26692219940680323</v>
      </c>
      <c r="I254">
        <f t="shared" si="113"/>
        <v>169.87114496391405</v>
      </c>
      <c r="J254">
        <f t="shared" si="114"/>
        <v>9966.4747790121819</v>
      </c>
      <c r="K254">
        <f t="shared" si="115"/>
        <v>1.6697404364450285E-2</v>
      </c>
      <c r="L254">
        <f t="shared" si="116"/>
        <v>-1.7395786794769792</v>
      </c>
      <c r="M254">
        <f t="shared" si="117"/>
        <v>168.13156628443707</v>
      </c>
      <c r="N254">
        <f t="shared" si="118"/>
        <v>9964.7352003327051</v>
      </c>
      <c r="O254">
        <f t="shared" si="119"/>
        <v>1.0068978633739396</v>
      </c>
      <c r="P254">
        <f t="shared" si="120"/>
        <v>168.12835415420426</v>
      </c>
      <c r="Q254">
        <f t="shared" si="121"/>
        <v>23.435820008243763</v>
      </c>
      <c r="R254">
        <f t="shared" si="122"/>
        <v>23.438009188881633</v>
      </c>
      <c r="S254">
        <f t="shared" si="123"/>
        <v>169.08332361739306</v>
      </c>
      <c r="T254" s="19">
        <f t="shared" si="124"/>
        <v>4.6935586056523153</v>
      </c>
      <c r="U254">
        <f t="shared" si="125"/>
        <v>4.3029688295914997E-2</v>
      </c>
      <c r="V254">
        <f t="shared" si="126"/>
        <v>3.1156779117525049</v>
      </c>
      <c r="W254">
        <f t="shared" si="127"/>
        <v>94.682728657476417</v>
      </c>
      <c r="X254" s="6">
        <f t="shared" si="128"/>
        <v>0.50325819589461629</v>
      </c>
      <c r="Y254" s="6">
        <f t="shared" si="129"/>
        <v>0.24025061629051511</v>
      </c>
      <c r="Z254" s="6">
        <f t="shared" si="130"/>
        <v>0.76626577549871733</v>
      </c>
      <c r="AA254" s="19">
        <f t="shared" si="131"/>
        <v>757.46182925981134</v>
      </c>
      <c r="AB254">
        <f t="shared" si="132"/>
        <v>715.30819791175259</v>
      </c>
      <c r="AC254">
        <f t="shared" si="133"/>
        <v>-1.1729505220618535</v>
      </c>
      <c r="AD254">
        <f t="shared" si="108"/>
        <v>32.923887552202117</v>
      </c>
      <c r="AE254">
        <f t="shared" si="134"/>
        <v>57.076112447797883</v>
      </c>
      <c r="AF254">
        <f t="shared" si="135"/>
        <v>1.0444986282076E-2</v>
      </c>
      <c r="AG254">
        <f t="shared" si="136"/>
        <v>57.086557434079957</v>
      </c>
      <c r="AH254">
        <f t="shared" si="109"/>
        <v>177.84883614828277</v>
      </c>
      <c r="AK254">
        <f t="shared" si="137"/>
        <v>8.1826462609554798E-2</v>
      </c>
      <c r="AL254">
        <f t="shared" si="138"/>
        <v>0.99664659233692621</v>
      </c>
      <c r="AM254">
        <f t="shared" si="139"/>
        <v>757</v>
      </c>
      <c r="AN254">
        <f t="shared" si="140"/>
        <v>-378.5</v>
      </c>
      <c r="AO254">
        <f t="shared" si="141"/>
        <v>378.5</v>
      </c>
      <c r="AP254" s="16" cm="1">
        <f t="array" ref="AP254">SUMPRODUCT(1362*POWER(0.7,POWER(1/($AI$2*AK254+$AJ$2*AL254*COS(RADIANS(0.25*(_xlfn.SEQUENCE(AO254-AN254,1,AN254+1))))+0.50572*POWER(96.07995-DEGREES(ACOS($AI$2*AK254+$AJ$2*AL254*COS(RADIANS(0.25*(_xlfn.SEQUENCE(AO254-AN254,1,AN254+1)))))),-1.6364)),0.678))*IF(AL254*COS(RADIANS(0.25*(_xlfn.SEQUENCE(AO254-AN254,1,AN254+1))))&gt;0,AL254*COS(RADIANS(0.25*(_xlfn.SEQUENCE(AO254-AN254,1,AN254+1)))),0)/60)</f>
        <v>6356.0187367886965</v>
      </c>
      <c r="AQ254" s="17" cm="1">
        <f t="array" ref="AQ254">SUMPRODUCT(1362*POWER(0.7,POWER(1/($AI$2*AK254+$AJ$2*AL254*COS(RADIANS(0.25*(_xlfn.SEQUENCE(AO254-AN254,1,AN254+1))))+0.50572*POWER(96.07995-DEGREES(ACOS($AI$2*AK254+$AJ$2*AL254*COS(RADIANS(0.25*(_xlfn.SEQUENCE(AO254-AN254,1,AN254+1)))))),-1.6364)),0.678))/60)</f>
        <v>8989.6129987972017</v>
      </c>
      <c r="AR254" s="15">
        <f t="shared" si="142"/>
        <v>1.4143465227321053</v>
      </c>
      <c r="AT254">
        <v>0.48296582939510491</v>
      </c>
      <c r="AU254">
        <v>61.120715163458378</v>
      </c>
      <c r="AV254">
        <v>2.0641005407438326</v>
      </c>
      <c r="AW254">
        <v>760.30587118100436</v>
      </c>
    </row>
    <row r="255" spans="4:49" ht="17" x14ac:dyDescent="0.2">
      <c r="D255" s="1">
        <f t="shared" si="143"/>
        <v>46276</v>
      </c>
      <c r="E255" s="6">
        <f t="shared" si="110"/>
        <v>0.5</v>
      </c>
      <c r="F255" s="2">
        <f t="shared" si="111"/>
        <v>2461295.3333333335</v>
      </c>
      <c r="G255" s="3">
        <f t="shared" si="112"/>
        <v>0.26694957791467455</v>
      </c>
      <c r="I255">
        <f t="shared" si="113"/>
        <v>170.8567923285118</v>
      </c>
      <c r="J255">
        <f t="shared" si="114"/>
        <v>9967.4603792916605</v>
      </c>
      <c r="K255">
        <f t="shared" si="115"/>
        <v>1.6697403211688028E-2</v>
      </c>
      <c r="L255">
        <f t="shared" si="116"/>
        <v>-1.752918247995273</v>
      </c>
      <c r="M255">
        <f t="shared" si="117"/>
        <v>169.10387408051653</v>
      </c>
      <c r="N255">
        <f t="shared" si="118"/>
        <v>9965.7074610436648</v>
      </c>
      <c r="O255">
        <f t="shared" si="119"/>
        <v>1.0066370453168423</v>
      </c>
      <c r="P255">
        <f t="shared" si="120"/>
        <v>169.10066572706597</v>
      </c>
      <c r="Q255">
        <f t="shared" si="121"/>
        <v>23.435819652209634</v>
      </c>
      <c r="R255">
        <f t="shared" si="122"/>
        <v>23.438007605420768</v>
      </c>
      <c r="S255">
        <f t="shared" si="123"/>
        <v>169.98094811845931</v>
      </c>
      <c r="T255" s="19">
        <f t="shared" si="124"/>
        <v>4.3132553341958051</v>
      </c>
      <c r="U255">
        <f t="shared" si="125"/>
        <v>4.3029682316406928E-2</v>
      </c>
      <c r="V255">
        <f t="shared" si="126"/>
        <v>3.4668785959685864</v>
      </c>
      <c r="W255">
        <f t="shared" si="127"/>
        <v>94.386559048892266</v>
      </c>
      <c r="X255" s="6">
        <f t="shared" si="128"/>
        <v>0.50301430653057733</v>
      </c>
      <c r="Y255" s="6">
        <f t="shared" si="129"/>
        <v>0.24082942028365434</v>
      </c>
      <c r="Z255" s="6">
        <f t="shared" si="130"/>
        <v>0.76519919277750026</v>
      </c>
      <c r="AA255" s="19">
        <f t="shared" si="131"/>
        <v>755.09247239113813</v>
      </c>
      <c r="AB255">
        <f t="shared" si="132"/>
        <v>715.6593985959687</v>
      </c>
      <c r="AC255">
        <f t="shared" si="133"/>
        <v>-1.085150351007826</v>
      </c>
      <c r="AD255">
        <f t="shared" si="108"/>
        <v>33.301533831376375</v>
      </c>
      <c r="AE255">
        <f t="shared" si="134"/>
        <v>56.698466168623625</v>
      </c>
      <c r="AF255">
        <f t="shared" si="135"/>
        <v>1.0596377716152697E-2</v>
      </c>
      <c r="AG255">
        <f t="shared" si="136"/>
        <v>56.70906254633978</v>
      </c>
      <c r="AH255">
        <f t="shared" si="109"/>
        <v>178.02889501697837</v>
      </c>
      <c r="AK255">
        <f t="shared" si="137"/>
        <v>7.5209422825737754E-2</v>
      </c>
      <c r="AL255">
        <f t="shared" si="138"/>
        <v>0.99716776056901246</v>
      </c>
      <c r="AM255">
        <f t="shared" si="139"/>
        <v>755</v>
      </c>
      <c r="AN255">
        <f t="shared" si="140"/>
        <v>-377.5</v>
      </c>
      <c r="AO255">
        <f t="shared" si="141"/>
        <v>377.5</v>
      </c>
      <c r="AP255" s="16" cm="1">
        <f t="array" ref="AP255">SUMPRODUCT(1362*POWER(0.7,POWER(1/($AI$2*AK255+$AJ$2*AL255*COS(RADIANS(0.25*(_xlfn.SEQUENCE(AO255-AN255,1,AN255+1))))+0.50572*POWER(96.07995-DEGREES(ACOS($AI$2*AK255+$AJ$2*AL255*COS(RADIANS(0.25*(_xlfn.SEQUENCE(AO255-AN255,1,AN255+1)))))),-1.6364)),0.678))*IF(AL255*COS(RADIANS(0.25*(_xlfn.SEQUENCE(AO255-AN255,1,AN255+1))))&gt;0,AL255*COS(RADIANS(0.25*(_xlfn.SEQUENCE(AO255-AN255,1,AN255+1)))),0)/60)</f>
        <v>6345.6012781712107</v>
      </c>
      <c r="AQ255" s="17" cm="1">
        <f t="array" ref="AQ255">SUMPRODUCT(1362*POWER(0.7,POWER(1/($AI$2*AK255+$AJ$2*AL255*COS(RADIANS(0.25*(_xlfn.SEQUENCE(AO255-AN255,1,AN255+1))))+0.50572*POWER(96.07995-DEGREES(ACOS($AI$2*AK255+$AJ$2*AL255*COS(RADIANS(0.25*(_xlfn.SEQUENCE(AO255-AN255,1,AN255+1)))))),-1.6364)),0.678))/60)</f>
        <v>8948.9353780940673</v>
      </c>
      <c r="AR255" s="15">
        <f t="shared" si="142"/>
        <v>1.4102580647287584</v>
      </c>
      <c r="AT255">
        <v>0.48345010389644394</v>
      </c>
      <c r="AU255">
        <v>61.089022749802908</v>
      </c>
      <c r="AV255">
        <v>2.0620488368430081</v>
      </c>
      <c r="AW255">
        <v>760.60469612670022</v>
      </c>
    </row>
    <row r="256" spans="4:49" ht="17" x14ac:dyDescent="0.2">
      <c r="D256" s="1">
        <f t="shared" si="143"/>
        <v>46277</v>
      </c>
      <c r="E256" s="6">
        <f t="shared" si="110"/>
        <v>0.5</v>
      </c>
      <c r="F256" s="2">
        <f t="shared" si="111"/>
        <v>2461296.3333333335</v>
      </c>
      <c r="G256" s="3">
        <f t="shared" si="112"/>
        <v>0.26697695642254587</v>
      </c>
      <c r="I256">
        <f t="shared" si="113"/>
        <v>171.84243969310774</v>
      </c>
      <c r="J256">
        <f t="shared" si="114"/>
        <v>9968.4459795711391</v>
      </c>
      <c r="K256">
        <f t="shared" si="115"/>
        <v>1.6697402058925576E-2</v>
      </c>
      <c r="L256">
        <f t="shared" si="116"/>
        <v>-1.7657519344874748</v>
      </c>
      <c r="M256">
        <f t="shared" si="117"/>
        <v>170.07668775862027</v>
      </c>
      <c r="N256">
        <f t="shared" si="118"/>
        <v>9966.6802276366525</v>
      </c>
      <c r="O256">
        <f t="shared" si="119"/>
        <v>1.0063742214067415</v>
      </c>
      <c r="P256">
        <f t="shared" si="120"/>
        <v>170.07348317983218</v>
      </c>
      <c r="Q256">
        <f t="shared" si="121"/>
        <v>23.435819296175509</v>
      </c>
      <c r="R256">
        <f t="shared" si="122"/>
        <v>23.438006020091006</v>
      </c>
      <c r="S256">
        <f t="shared" si="123"/>
        <v>170.87813945822316</v>
      </c>
      <c r="T256" s="19">
        <f t="shared" si="124"/>
        <v>3.9316998691136527</v>
      </c>
      <c r="U256">
        <f t="shared" si="125"/>
        <v>4.3029676329841934E-2</v>
      </c>
      <c r="V256">
        <f t="shared" si="126"/>
        <v>3.819879295390145</v>
      </c>
      <c r="W256">
        <f t="shared" si="127"/>
        <v>94.089876664815748</v>
      </c>
      <c r="X256" s="6">
        <f t="shared" si="128"/>
        <v>0.50276916715597908</v>
      </c>
      <c r="Y256" s="6">
        <f t="shared" si="129"/>
        <v>0.24140839864260202</v>
      </c>
      <c r="Z256" s="6">
        <f t="shared" si="130"/>
        <v>0.76412993566935627</v>
      </c>
      <c r="AA256" s="19">
        <f t="shared" si="131"/>
        <v>752.71901331852598</v>
      </c>
      <c r="AB256">
        <f t="shared" si="132"/>
        <v>716.0123992953902</v>
      </c>
      <c r="AC256">
        <f t="shared" si="133"/>
        <v>-0.99690017615245097</v>
      </c>
      <c r="AD256">
        <f t="shared" si="108"/>
        <v>33.680663002644856</v>
      </c>
      <c r="AE256">
        <f t="shared" si="134"/>
        <v>56.319336997355144</v>
      </c>
      <c r="AF256">
        <f t="shared" si="135"/>
        <v>1.0749681260540024E-2</v>
      </c>
      <c r="AG256">
        <f t="shared" si="136"/>
        <v>56.330086678615686</v>
      </c>
      <c r="AH256">
        <f t="shared" si="109"/>
        <v>178.2063983185509</v>
      </c>
      <c r="AK256">
        <f t="shared" si="137"/>
        <v>6.8567266103373381E-2</v>
      </c>
      <c r="AL256">
        <f t="shared" si="138"/>
        <v>0.99764649551788087</v>
      </c>
      <c r="AM256">
        <f t="shared" si="139"/>
        <v>753</v>
      </c>
      <c r="AN256">
        <f t="shared" si="140"/>
        <v>-376.5</v>
      </c>
      <c r="AO256">
        <f t="shared" si="141"/>
        <v>376.5</v>
      </c>
      <c r="AP256" s="16" cm="1">
        <f t="array" ref="AP256">SUMPRODUCT(1362*POWER(0.7,POWER(1/($AI$2*AK256+$AJ$2*AL256*COS(RADIANS(0.25*(_xlfn.SEQUENCE(AO256-AN256,1,AN256+1))))+0.50572*POWER(96.07995-DEGREES(ACOS($AI$2*AK256+$AJ$2*AL256*COS(RADIANS(0.25*(_xlfn.SEQUENCE(AO256-AN256,1,AN256+1)))))),-1.6364)),0.678))*IF(AL256*COS(RADIANS(0.25*(_xlfn.SEQUENCE(AO256-AN256,1,AN256+1))))&gt;0,AL256*COS(RADIANS(0.25*(_xlfn.SEQUENCE(AO256-AN256,1,AN256+1)))),0)/60)</f>
        <v>6334.6269330689274</v>
      </c>
      <c r="AQ256" s="17" cm="1">
        <f t="array" ref="AQ256">SUMPRODUCT(1362*POWER(0.7,POWER(1/($AI$2*AK256+$AJ$2*AL256*COS(RADIANS(0.25*(_xlfn.SEQUENCE(AO256-AN256,1,AN256+1))))+0.50572*POWER(96.07995-DEGREES(ACOS($AI$2*AK256+$AJ$2*AL256*COS(RADIANS(0.25*(_xlfn.SEQUENCE(AO256-AN256,1,AN256+1)))))),-1.6364)),0.678))/60)</f>
        <v>8907.9995626216096</v>
      </c>
      <c r="AR256" s="15">
        <f t="shared" si="142"/>
        <v>1.4062390187682234</v>
      </c>
      <c r="AT256">
        <v>0.48392064515023014</v>
      </c>
      <c r="AU256">
        <v>61.058219805803212</v>
      </c>
      <c r="AV256">
        <v>2.0600592002229927</v>
      </c>
      <c r="AW256">
        <v>760.89468482258189</v>
      </c>
    </row>
    <row r="257" spans="4:57" ht="17" x14ac:dyDescent="0.2">
      <c r="D257" s="1">
        <f t="shared" si="143"/>
        <v>46278</v>
      </c>
      <c r="E257" s="6">
        <f t="shared" si="110"/>
        <v>0.5</v>
      </c>
      <c r="F257" s="2">
        <f t="shared" si="111"/>
        <v>2461297.3333333335</v>
      </c>
      <c r="G257" s="3">
        <f t="shared" si="112"/>
        <v>0.2670043349304172</v>
      </c>
      <c r="I257">
        <f t="shared" si="113"/>
        <v>172.82808705770549</v>
      </c>
      <c r="J257">
        <f t="shared" si="114"/>
        <v>9969.4315798506159</v>
      </c>
      <c r="K257">
        <f t="shared" si="115"/>
        <v>1.6697400906162937E-2</v>
      </c>
      <c r="L257">
        <f t="shared" si="116"/>
        <v>-1.7780755359275755</v>
      </c>
      <c r="M257">
        <f t="shared" si="117"/>
        <v>171.05001152177792</v>
      </c>
      <c r="N257">
        <f t="shared" si="118"/>
        <v>9967.6535043146887</v>
      </c>
      <c r="O257">
        <f t="shared" si="119"/>
        <v>1.0061094663739298</v>
      </c>
      <c r="P257">
        <f t="shared" si="120"/>
        <v>171.04681071552932</v>
      </c>
      <c r="Q257">
        <f t="shared" si="121"/>
        <v>23.435818940141381</v>
      </c>
      <c r="R257">
        <f t="shared" si="122"/>
        <v>23.43800443289339</v>
      </c>
      <c r="S257">
        <f t="shared" si="123"/>
        <v>171.77497870213418</v>
      </c>
      <c r="T257" s="19">
        <f t="shared" si="124"/>
        <v>3.5489835111610462</v>
      </c>
      <c r="U257">
        <f t="shared" si="125"/>
        <v>4.3029670336223957E-2</v>
      </c>
      <c r="V257">
        <f t="shared" si="126"/>
        <v>4.1743650578781537</v>
      </c>
      <c r="W257">
        <f t="shared" si="127"/>
        <v>93.792721470802064</v>
      </c>
      <c r="X257" s="6">
        <f t="shared" si="128"/>
        <v>0.50252299648758469</v>
      </c>
      <c r="Y257" s="6">
        <f t="shared" si="129"/>
        <v>0.2419876590686901</v>
      </c>
      <c r="Z257" s="6">
        <f t="shared" si="130"/>
        <v>0.76305833390647926</v>
      </c>
      <c r="AA257" s="19">
        <f t="shared" si="131"/>
        <v>750.34177176641651</v>
      </c>
      <c r="AB257">
        <f t="shared" si="132"/>
        <v>716.36688505787811</v>
      </c>
      <c r="AC257">
        <f t="shared" si="133"/>
        <v>-0.90827873553047311</v>
      </c>
      <c r="AD257">
        <f t="shared" si="108"/>
        <v>34.061182146250189</v>
      </c>
      <c r="AE257">
        <f t="shared" si="134"/>
        <v>55.938817853749811</v>
      </c>
      <c r="AF257">
        <f t="shared" si="135"/>
        <v>1.0904905292686845E-2</v>
      </c>
      <c r="AG257">
        <f t="shared" si="136"/>
        <v>55.949722759042494</v>
      </c>
      <c r="AH257">
        <f t="shared" si="109"/>
        <v>178.38126163365507</v>
      </c>
      <c r="AK257">
        <f t="shared" si="137"/>
        <v>6.1901846065090319E-2</v>
      </c>
      <c r="AL257">
        <f t="shared" si="138"/>
        <v>0.99808224182866512</v>
      </c>
      <c r="AM257">
        <f t="shared" si="139"/>
        <v>750</v>
      </c>
      <c r="AN257">
        <f t="shared" si="140"/>
        <v>-375</v>
      </c>
      <c r="AO257">
        <f t="shared" si="141"/>
        <v>375</v>
      </c>
      <c r="AP257" s="16" cm="1">
        <f t="array" ref="AP257">SUMPRODUCT(1362*POWER(0.7,POWER(1/($AI$2*AK257+$AJ$2*AL257*COS(RADIANS(0.25*(_xlfn.SEQUENCE(AO257-AN257,1,AN257+1))))+0.50572*POWER(96.07995-DEGREES(ACOS($AI$2*AK257+$AJ$2*AL257*COS(RADIANS(0.25*(_xlfn.SEQUENCE(AO257-AN257,1,AN257+1)))))),-1.6364)),0.678))*IF(AL257*COS(RADIANS(0.25*(_xlfn.SEQUENCE(AO257-AN257,1,AN257+1))))&gt;0,AL257*COS(RADIANS(0.25*(_xlfn.SEQUENCE(AO257-AN257,1,AN257+1)))),0)/60)</f>
        <v>6323.0892935043694</v>
      </c>
      <c r="AQ257" s="17" cm="1">
        <f t="array" ref="AQ257">SUMPRODUCT(1362*POWER(0.7,POWER(1/($AI$2*AK257+$AJ$2*AL257*COS(RADIANS(0.25*(_xlfn.SEQUENCE(AO257-AN257,1,AN257+1))))+0.50572*POWER(96.07995-DEGREES(ACOS($AI$2*AK257+$AJ$2*AL257*COS(RADIANS(0.25*(_xlfn.SEQUENCE(AO257-AN257,1,AN257+1)))))),-1.6364)),0.678))/60)</f>
        <v>8866.6916100347444</v>
      </c>
      <c r="AR257" s="15">
        <f t="shared" si="142"/>
        <v>1.402272085441429</v>
      </c>
      <c r="AT257">
        <v>0.48437744419803641</v>
      </c>
      <c r="AU257">
        <v>61.028307702376004</v>
      </c>
      <c r="AV257">
        <v>2.0581313229623106</v>
      </c>
      <c r="AW257">
        <v>761.17586367344927</v>
      </c>
    </row>
    <row r="258" spans="4:57" ht="17" x14ac:dyDescent="0.2">
      <c r="D258" s="1">
        <f t="shared" si="143"/>
        <v>46279</v>
      </c>
      <c r="E258" s="6">
        <f t="shared" si="110"/>
        <v>0.5</v>
      </c>
      <c r="F258" s="2">
        <f t="shared" si="111"/>
        <v>2461298.3333333335</v>
      </c>
      <c r="G258" s="3">
        <f t="shared" si="112"/>
        <v>0.26703171343828852</v>
      </c>
      <c r="I258">
        <f t="shared" si="113"/>
        <v>173.81373442230324</v>
      </c>
      <c r="J258">
        <f t="shared" si="114"/>
        <v>9970.4171801300945</v>
      </c>
      <c r="K258">
        <f t="shared" si="115"/>
        <v>1.6697399753400104E-2</v>
      </c>
      <c r="L258">
        <f t="shared" si="116"/>
        <v>-1.7898849851120529</v>
      </c>
      <c r="M258">
        <f t="shared" si="117"/>
        <v>172.02384943719119</v>
      </c>
      <c r="N258">
        <f t="shared" si="118"/>
        <v>9968.6272951449828</v>
      </c>
      <c r="O258">
        <f t="shared" si="119"/>
        <v>1.0058428556170063</v>
      </c>
      <c r="P258">
        <f t="shared" si="120"/>
        <v>172.02065240135585</v>
      </c>
      <c r="Q258">
        <f t="shared" si="121"/>
        <v>23.435818584107256</v>
      </c>
      <c r="R258">
        <f t="shared" si="122"/>
        <v>23.438002843828979</v>
      </c>
      <c r="S258">
        <f t="shared" si="123"/>
        <v>172.67154754295802</v>
      </c>
      <c r="T258" s="19">
        <f t="shared" si="124"/>
        <v>3.1651977881147779</v>
      </c>
      <c r="U258">
        <f t="shared" si="125"/>
        <v>4.3029664335556987E-2</v>
      </c>
      <c r="V258">
        <f t="shared" si="126"/>
        <v>4.5300182880021884</v>
      </c>
      <c r="W258">
        <f t="shared" si="127"/>
        <v>93.495132793845158</v>
      </c>
      <c r="X258" s="6">
        <f t="shared" si="128"/>
        <v>0.50227601507777631</v>
      </c>
      <c r="Y258" s="6">
        <f t="shared" si="129"/>
        <v>0.24256731287265082</v>
      </c>
      <c r="Z258" s="6">
        <f t="shared" si="130"/>
        <v>0.76198471728290162</v>
      </c>
      <c r="AA258" s="19">
        <f t="shared" si="131"/>
        <v>747.96106235076127</v>
      </c>
      <c r="AB258">
        <f t="shared" si="132"/>
        <v>716.72253828800217</v>
      </c>
      <c r="AC258">
        <f t="shared" si="133"/>
        <v>-0.81936542799945755</v>
      </c>
      <c r="AD258">
        <f t="shared" ref="AD258:AD321" si="144">DEGREES(ACOS(SIN(RADIANS($B$2))*SIN(RADIANS(T258))+COS(RADIANS($B$2))*COS(RADIANS(T258))*COS(RADIANS(AC258))))</f>
        <v>34.442997473023794</v>
      </c>
      <c r="AE258">
        <f t="shared" si="134"/>
        <v>55.557002526976206</v>
      </c>
      <c r="AF258">
        <f t="shared" si="135"/>
        <v>1.1062058031599905E-2</v>
      </c>
      <c r="AG258">
        <f t="shared" si="136"/>
        <v>55.568064585007804</v>
      </c>
      <c r="AH258">
        <f t="shared" ref="AH258:AH321" si="145">IF(AC258&gt;0,MOD(DEGREES(ACOS(((SIN(RADIANS($B$2))*COS(RADIANS(AD258)))-SIN(RADIANS(T258)))/(COS(RADIANS($B$2))*SIN(RADIANS(AD258)))))+180,360),MOD(540-DEGREES(ACOS(((SIN(RADIANS($B$2))*COS(RADIANS(AD258)))-SIN(RADIANS(T258)))/(COS(RADIANS($B$2))*SIN(RADIANS(AD258))))),360))</f>
        <v>178.5534040057488</v>
      </c>
      <c r="AK258">
        <f t="shared" si="137"/>
        <v>5.5215028648782583E-2</v>
      </c>
      <c r="AL258">
        <f t="shared" si="138"/>
        <v>0.99847448671025851</v>
      </c>
      <c r="AM258">
        <f t="shared" si="139"/>
        <v>748</v>
      </c>
      <c r="AN258">
        <f t="shared" si="140"/>
        <v>-374</v>
      </c>
      <c r="AO258">
        <f t="shared" si="141"/>
        <v>374</v>
      </c>
      <c r="AP258" s="16" cm="1">
        <f t="array" ref="AP258">SUMPRODUCT(1362*POWER(0.7,POWER(1/($AI$2*AK258+$AJ$2*AL258*COS(RADIANS(0.25*(_xlfn.SEQUENCE(AO258-AN258,1,AN258+1))))+0.50572*POWER(96.07995-DEGREES(ACOS($AI$2*AK258+$AJ$2*AL258*COS(RADIANS(0.25*(_xlfn.SEQUENCE(AO258-AN258,1,AN258+1)))))),-1.6364)),0.678))*IF(AL258*COS(RADIANS(0.25*(_xlfn.SEQUENCE(AO258-AN258,1,AN258+1))))&gt;0,AL258*COS(RADIANS(0.25*(_xlfn.SEQUENCE(AO258-AN258,1,AN258+1)))),0)/60)</f>
        <v>6310.9882379796873</v>
      </c>
      <c r="AQ258" s="17" cm="1">
        <f t="array" ref="AQ258">SUMPRODUCT(1362*POWER(0.7,POWER(1/($AI$2*AK258+$AJ$2*AL258*COS(RADIANS(0.25*(_xlfn.SEQUENCE(AO258-AN258,1,AN258+1))))+0.50572*POWER(96.07995-DEGREES(ACOS($AI$2*AK258+$AJ$2*AL258*COS(RADIANS(0.25*(_xlfn.SEQUENCE(AO258-AN258,1,AN258+1)))))),-1.6364)),0.678))/60)</f>
        <v>8825.2613211682183</v>
      </c>
      <c r="AR258" s="15">
        <f t="shared" si="142"/>
        <v>1.3983960971528313</v>
      </c>
      <c r="AT258">
        <v>0.48482049234306723</v>
      </c>
      <c r="AU258">
        <v>60.999287773419503</v>
      </c>
      <c r="AV258">
        <v>2.0562649074215607</v>
      </c>
      <c r="AW258">
        <v>761.44825823930796</v>
      </c>
    </row>
    <row r="259" spans="4:57" ht="17" x14ac:dyDescent="0.2">
      <c r="D259" s="1">
        <f t="shared" si="143"/>
        <v>46280</v>
      </c>
      <c r="E259" s="6">
        <f t="shared" ref="E259:E322" si="146">$B$5</f>
        <v>0.5</v>
      </c>
      <c r="F259" s="2">
        <f t="shared" ref="F259:F322" si="147">D259+2415018.5+E259-$B$4/24</f>
        <v>2461299.3333333335</v>
      </c>
      <c r="G259" s="3">
        <f t="shared" ref="G259:G322" si="148">(F259-2451545)/36525</f>
        <v>0.26705909194615984</v>
      </c>
      <c r="I259">
        <f t="shared" ref="I259:I322" si="149">MOD(280.46646+G259*(36000.76983 + G259*0.0003032),360)</f>
        <v>174.79938178689918</v>
      </c>
      <c r="J259">
        <f t="shared" ref="J259:J322" si="150">357.52911+G259*(35999.05029 - 0.0001537*G259)</f>
        <v>9971.4027804095731</v>
      </c>
      <c r="K259">
        <f t="shared" ref="K259:K322" si="151">0.016708634-G259*(0.000042037+0.0000001267*G259)</f>
        <v>1.6697398600637087E-2</v>
      </c>
      <c r="L259">
        <f t="shared" ref="L259:L322" si="152">SIN(RADIANS(J259))*(1.914602-G259*(0.004817+0.000014*G259))+SIN(RADIANS(2*J259))*(0.019993-0.000101*G259)+SIN(RADIANS(3*J259))*0.000289</f>
        <v>-1.8011763523145377</v>
      </c>
      <c r="M259">
        <f t="shared" ref="M259:M322" si="153">I259+L259</f>
        <v>172.99820543458463</v>
      </c>
      <c r="N259">
        <f t="shared" ref="N259:N322" si="154">J259+L259</f>
        <v>9969.6016040572595</v>
      </c>
      <c r="O259">
        <f t="shared" ref="O259:O322" si="155">(1.000001018*(1-K259*K259))/(1+K259*COS(RADIANS(N259)))</f>
        <v>1.0055744651841703</v>
      </c>
      <c r="P259">
        <f t="shared" ref="P259:P322" si="156">M259-0.00569-0.00478*SIN(RADIANS(125.04-1934.136*G259))</f>
        <v>172.99501216703314</v>
      </c>
      <c r="Q259">
        <f t="shared" ref="Q259:Q322" si="157">23+(26+((21.448-G259*(46.815+G259*(0.00059-G259*0.001813))))/60)/60</f>
        <v>23.435818228073128</v>
      </c>
      <c r="R259">
        <f t="shared" ref="R259:R322" si="158">Q259+0.00256*COS(RADIANS(125.04-1934.136*G259))</f>
        <v>23.438001252898818</v>
      </c>
      <c r="S259">
        <f t="shared" ref="S259:S322" si="159">DEGREES(ATAN2(COS(RADIANS(P259)),COS(RADIANS(R259))*SIN(RADIANS(P259))))</f>
        <v>173.56792825252029</v>
      </c>
      <c r="T259" s="19">
        <f t="shared" ref="T259:T322" si="160">DEGREES(ASIN(SIN(RADIANS(R259))*SIN(RADIANS(P259))))</f>
        <v>2.7804344685194367</v>
      </c>
      <c r="U259">
        <f t="shared" ref="U259:U322" si="161">TAN(RADIANS(R259/2))*TAN(RADIANS(R259/2))</f>
        <v>4.3029658327844972E-2</v>
      </c>
      <c r="V259">
        <f t="shared" ref="V259:V322" si="162">4*DEGREES(U259*SIN(2*RADIANS(I259))-2*K259*SIN(RADIANS(J259))+4*K259*U259*SIN(RADIANS(J259))*COS(2*RADIANS(I259))-0.5*U259*U259*SIN(4*RADIANS(I259))-1.25*K259*K259*SIN(2*RADIANS(J259)))</f>
        <v>4.886518859718997</v>
      </c>
      <c r="W259">
        <f t="shared" ref="W259:W322" si="163">DEGREES(ACOS(COS(RADIANS(90.833))/(COS(RADIANS($B$2))*COS(RADIANS(T259)))-TAN(RADIANS($B$2))*TAN(RADIANS(T259))))</f>
        <v>93.197149395470248</v>
      </c>
      <c r="X259" s="6">
        <f t="shared" ref="X259:X322" si="164">(720-4*$B$3-V259+$B$4*60)/1440</f>
        <v>0.50202844523630619</v>
      </c>
      <c r="Y259" s="6">
        <f t="shared" ref="Y259:Y322" si="165">(X259*1440-W259*4)/1440</f>
        <v>0.24314747469333331</v>
      </c>
      <c r="Z259" s="6">
        <f t="shared" ref="Z259:Z322" si="166">(X259*1440+W259*4)/1440</f>
        <v>0.76090941577927917</v>
      </c>
      <c r="AA259" s="19">
        <f t="shared" ref="AA259:AA322" si="167">8*W259</f>
        <v>745.57719516376198</v>
      </c>
      <c r="AB259">
        <f t="shared" ref="AB259:AB322" si="168">MOD(E259*1440+V259+4*$B$3-60*$B$4,1440)</f>
        <v>717.07903885971905</v>
      </c>
      <c r="AC259">
        <f t="shared" ref="AC259:AC322" si="169">IF(AB259/4&lt;0,AB259/4+180,AB259/4-180)</f>
        <v>-0.73024028507023786</v>
      </c>
      <c r="AD259">
        <f t="shared" si="144"/>
        <v>34.826014330461852</v>
      </c>
      <c r="AE259">
        <f t="shared" ref="AE259:AE322" si="170">90-AD259</f>
        <v>55.173985669538148</v>
      </c>
      <c r="AF259">
        <f t="shared" ref="AF259:AF322" si="171">IF(AE259&gt;85,0,IF(AE259&gt;5,58.1/TAN(RADIANS(AE259))-0.07/POWER(TAN(RADIANS(AE259)),3)+0.000086/POWER(TAN(RADIANS(AE259)),5),IF(AE259&gt;-0.575,1735+AE259*(-518.2+AE259*(103.4+AE259*(-12.79+AE259*0.711))),-20.772/TAN(RADIANS(AE259)))))/3600</f>
        <v>1.1221147496244048E-2</v>
      </c>
      <c r="AG259">
        <f t="shared" ref="AG259:AG322" si="172">AE259+AF259</f>
        <v>55.185206817034391</v>
      </c>
      <c r="AH259">
        <f t="shared" si="145"/>
        <v>178.72274780147222</v>
      </c>
      <c r="AK259">
        <f t="shared" ref="AK259:AK322" si="173">SIN(RADIANS(T259))</f>
        <v>4.8508691693538844E-2</v>
      </c>
      <c r="AL259">
        <f t="shared" ref="AL259:AL322" si="174">COS(RADIANS(T259))</f>
        <v>0.9988227604686335</v>
      </c>
      <c r="AM259">
        <f t="shared" ref="AM259:AM322" si="175">ROUND(AA259,0)</f>
        <v>746</v>
      </c>
      <c r="AN259">
        <f t="shared" ref="AN259:AN322" si="176">-AM259/2</f>
        <v>-373</v>
      </c>
      <c r="AO259">
        <f t="shared" ref="AO259:AO322" si="177">AM259/2</f>
        <v>373</v>
      </c>
      <c r="AP259" s="16" cm="1">
        <f t="array" ref="AP259">SUMPRODUCT(1362*POWER(0.7,POWER(1/($AI$2*AK259+$AJ$2*AL259*COS(RADIANS(0.25*(_xlfn.SEQUENCE(AO259-AN259,1,AN259+1))))+0.50572*POWER(96.07995-DEGREES(ACOS($AI$2*AK259+$AJ$2*AL259*COS(RADIANS(0.25*(_xlfn.SEQUENCE(AO259-AN259,1,AN259+1)))))),-1.6364)),0.678))*IF(AL259*COS(RADIANS(0.25*(_xlfn.SEQUENCE(AO259-AN259,1,AN259+1))))&gt;0,AL259*COS(RADIANS(0.25*(_xlfn.SEQUENCE(AO259-AN259,1,AN259+1)))),0)/60)</f>
        <v>6298.3182016967276</v>
      </c>
      <c r="AQ259" s="17" cm="1">
        <f t="array" ref="AQ259">SUMPRODUCT(1362*POWER(0.7,POWER(1/($AI$2*AK259+$AJ$2*AL259*COS(RADIANS(0.25*(_xlfn.SEQUENCE(AO259-AN259,1,AN259+1))))+0.50572*POWER(96.07995-DEGREES(ACOS($AI$2*AK259+$AJ$2*AL259*COS(RADIANS(0.25*(_xlfn.SEQUENCE(AO259-AN259,1,AN259+1)))))),-1.6364)),0.678))/60)</f>
        <v>8783.5890308942799</v>
      </c>
      <c r="AR259" s="15">
        <f t="shared" ref="AR259:AR322" si="178">AQ259/AP259</f>
        <v>1.3945927705793009</v>
      </c>
      <c r="AT259">
        <v>0.48524978115032458</v>
      </c>
      <c r="AU259">
        <v>60.971161315528462</v>
      </c>
      <c r="AV259">
        <v>2.0544596661284684</v>
      </c>
      <c r="AW259">
        <v>761.71189324166721</v>
      </c>
    </row>
    <row r="260" spans="4:57" ht="17" x14ac:dyDescent="0.2">
      <c r="D260" s="1">
        <f t="shared" ref="D260:D323" si="179">D259+1</f>
        <v>46281</v>
      </c>
      <c r="E260" s="6">
        <f t="shared" si="146"/>
        <v>0.5</v>
      </c>
      <c r="F260" s="2">
        <f t="shared" si="147"/>
        <v>2461300.3333333335</v>
      </c>
      <c r="G260" s="3">
        <f t="shared" si="148"/>
        <v>0.26708647045403117</v>
      </c>
      <c r="I260">
        <f t="shared" si="149"/>
        <v>175.78502915149693</v>
      </c>
      <c r="J260">
        <f t="shared" si="150"/>
        <v>9972.3883806890481</v>
      </c>
      <c r="K260">
        <f t="shared" si="151"/>
        <v>1.6697397447873876E-2</v>
      </c>
      <c r="L260">
        <f t="shared" si="152"/>
        <v>-1.811945846918692</v>
      </c>
      <c r="M260">
        <f t="shared" si="153"/>
        <v>173.97308330457824</v>
      </c>
      <c r="N260">
        <f t="shared" si="154"/>
        <v>9970.5764348421289</v>
      </c>
      <c r="O260">
        <f t="shared" si="155"/>
        <v>1.0053043717542085</v>
      </c>
      <c r="P260">
        <f t="shared" si="156"/>
        <v>173.96989380317791</v>
      </c>
      <c r="Q260">
        <f t="shared" si="157"/>
        <v>23.435817872039003</v>
      </c>
      <c r="R260">
        <f t="shared" si="158"/>
        <v>23.437999660103969</v>
      </c>
      <c r="S260">
        <f t="shared" si="159"/>
        <v>174.46420363371556</v>
      </c>
      <c r="T260" s="19">
        <f t="shared" si="160"/>
        <v>2.3947855758643271</v>
      </c>
      <c r="U260">
        <f t="shared" si="161"/>
        <v>4.3029652313091922E-2</v>
      </c>
      <c r="V260">
        <f t="shared" si="162"/>
        <v>5.2435442273126709</v>
      </c>
      <c r="W260">
        <f t="shared" si="163"/>
        <v>92.898809545549312</v>
      </c>
      <c r="X260" s="6">
        <f t="shared" si="164"/>
        <v>0.50178051095325504</v>
      </c>
      <c r="Y260" s="6">
        <f t="shared" si="165"/>
        <v>0.24372826221561808</v>
      </c>
      <c r="Z260" s="6">
        <f t="shared" si="166"/>
        <v>0.75983275969089192</v>
      </c>
      <c r="AA260" s="19">
        <f t="shared" si="167"/>
        <v>743.1904763643945</v>
      </c>
      <c r="AB260">
        <f t="shared" si="168"/>
        <v>717.43606422731273</v>
      </c>
      <c r="AC260">
        <f t="shared" si="169"/>
        <v>-0.64098394317181828</v>
      </c>
      <c r="AD260">
        <f t="shared" si="144"/>
        <v>35.210137209190904</v>
      </c>
      <c r="AE260">
        <f t="shared" si="170"/>
        <v>54.789862790809096</v>
      </c>
      <c r="AF260">
        <f t="shared" si="171"/>
        <v>1.1382181461169101E-2</v>
      </c>
      <c r="AG260">
        <f t="shared" si="172"/>
        <v>54.801244972270268</v>
      </c>
      <c r="AH260">
        <f t="shared" si="145"/>
        <v>178.88921857603714</v>
      </c>
      <c r="AK260">
        <f t="shared" si="173"/>
        <v>4.1784724516383549E-2</v>
      </c>
      <c r="AL260">
        <f t="shared" si="174"/>
        <v>0.99912663701709503</v>
      </c>
      <c r="AM260">
        <f t="shared" si="175"/>
        <v>743</v>
      </c>
      <c r="AN260">
        <f t="shared" si="176"/>
        <v>-371.5</v>
      </c>
      <c r="AO260">
        <f t="shared" si="177"/>
        <v>371.5</v>
      </c>
      <c r="AP260" s="16" cm="1">
        <f t="array" ref="AP260">SUMPRODUCT(1362*POWER(0.7,POWER(1/($AI$2*AK260+$AJ$2*AL260*COS(RADIANS(0.25*(_xlfn.SEQUENCE(AO260-AN260,1,AN260+1))))+0.50572*POWER(96.07995-DEGREES(ACOS($AI$2*AK260+$AJ$2*AL260*COS(RADIANS(0.25*(_xlfn.SEQUENCE(AO260-AN260,1,AN260+1)))))),-1.6364)),0.678))*IF(AL260*COS(RADIANS(0.25*(_xlfn.SEQUENCE(AO260-AN260,1,AN260+1))))&gt;0,AL260*COS(RADIANS(0.25*(_xlfn.SEQUENCE(AO260-AN260,1,AN260+1)))),0)/60)</f>
        <v>6285.0775228683833</v>
      </c>
      <c r="AQ260" s="17" cm="1">
        <f t="array" ref="AQ260">SUMPRODUCT(1362*POWER(0.7,POWER(1/($AI$2*AK260+$AJ$2*AL260*COS(RADIANS(0.25*(_xlfn.SEQUENCE(AO260-AN260,1,AN260+1))))+0.50572*POWER(96.07995-DEGREES(ACOS($AI$2*AK260+$AJ$2*AL260*COS(RADIANS(0.25*(_xlfn.SEQUENCE(AO260-AN260,1,AN260+1)))))),-1.6364)),0.678))/60)</f>
        <v>8741.5633761139761</v>
      </c>
      <c r="AR260" s="15">
        <f t="shared" si="178"/>
        <v>1.3908441613182365</v>
      </c>
      <c r="AT260">
        <v>0.48566530244676831</v>
      </c>
      <c r="AU260">
        <v>60.943929587716063</v>
      </c>
      <c r="AV260">
        <v>2.0527153216672378</v>
      </c>
      <c r="AW260">
        <v>761.96679256961647</v>
      </c>
    </row>
    <row r="261" spans="4:57" ht="17" x14ac:dyDescent="0.2">
      <c r="D261" s="1">
        <f t="shared" si="179"/>
        <v>46282</v>
      </c>
      <c r="E261" s="6">
        <f t="shared" si="146"/>
        <v>0.5</v>
      </c>
      <c r="F261" s="2">
        <f t="shared" si="147"/>
        <v>2461301.3333333335</v>
      </c>
      <c r="G261" s="3">
        <f t="shared" si="148"/>
        <v>0.26711384896190249</v>
      </c>
      <c r="I261">
        <f t="shared" si="149"/>
        <v>176.7706765160965</v>
      </c>
      <c r="J261">
        <f t="shared" si="150"/>
        <v>9973.3739809685267</v>
      </c>
      <c r="K261">
        <f t="shared" si="151"/>
        <v>1.6697396295110477E-2</v>
      </c>
      <c r="L261">
        <f t="shared" si="152"/>
        <v>-1.8221898190280035</v>
      </c>
      <c r="M261">
        <f t="shared" si="153"/>
        <v>174.94848669706849</v>
      </c>
      <c r="N261">
        <f t="shared" si="154"/>
        <v>9971.551791149499</v>
      </c>
      <c r="O261">
        <f t="shared" si="155"/>
        <v>1.0050326526171829</v>
      </c>
      <c r="P261">
        <f t="shared" si="156"/>
        <v>174.94530095968346</v>
      </c>
      <c r="Q261">
        <f t="shared" si="157"/>
        <v>23.435817516004878</v>
      </c>
      <c r="R261">
        <f t="shared" si="158"/>
        <v>23.437998065445484</v>
      </c>
      <c r="S261">
        <f t="shared" si="159"/>
        <v>175.36045697268568</v>
      </c>
      <c r="T261" s="19">
        <f t="shared" si="160"/>
        <v>2.0083434031383005</v>
      </c>
      <c r="U261">
        <f t="shared" si="161"/>
        <v>4.3029646291301842E-2</v>
      </c>
      <c r="V261">
        <f t="shared" si="162"/>
        <v>5.6007695355975891</v>
      </c>
      <c r="W261">
        <f t="shared" si="163"/>
        <v>92.600151096802762</v>
      </c>
      <c r="X261" s="6">
        <f t="shared" si="164"/>
        <v>0.50153243782250156</v>
      </c>
      <c r="Y261" s="6">
        <f t="shared" si="165"/>
        <v>0.24430979588693832</v>
      </c>
      <c r="Z261" s="6">
        <f t="shared" si="166"/>
        <v>0.75875507975806489</v>
      </c>
      <c r="AA261" s="19">
        <f t="shared" si="167"/>
        <v>740.80120877442209</v>
      </c>
      <c r="AB261">
        <f t="shared" si="168"/>
        <v>717.79328953559752</v>
      </c>
      <c r="AC261">
        <f t="shared" si="169"/>
        <v>-0.55167761610061916</v>
      </c>
      <c r="AD261">
        <f t="shared" si="144"/>
        <v>35.595269749825306</v>
      </c>
      <c r="AE261">
        <f t="shared" si="170"/>
        <v>54.404730250174694</v>
      </c>
      <c r="AF261">
        <f t="shared" si="171"/>
        <v>1.1545167409231109E-2</v>
      </c>
      <c r="AG261">
        <f t="shared" si="172"/>
        <v>54.416275417583925</v>
      </c>
      <c r="AH261">
        <f t="shared" si="145"/>
        <v>179.0527449439727</v>
      </c>
      <c r="AK261">
        <f t="shared" si="173"/>
        <v>3.5045027479865307E-2</v>
      </c>
      <c r="AL261">
        <f t="shared" si="174"/>
        <v>0.99938573436333156</v>
      </c>
      <c r="AM261">
        <f t="shared" si="175"/>
        <v>741</v>
      </c>
      <c r="AN261">
        <f t="shared" si="176"/>
        <v>-370.5</v>
      </c>
      <c r="AO261">
        <f t="shared" si="177"/>
        <v>370.5</v>
      </c>
      <c r="AP261" s="16" cm="1">
        <f t="array" ref="AP261">SUMPRODUCT(1362*POWER(0.7,POWER(1/($AI$2*AK261+$AJ$2*AL261*COS(RADIANS(0.25*(_xlfn.SEQUENCE(AO261-AN261,1,AN261+1))))+0.50572*POWER(96.07995-DEGREES(ACOS($AI$2*AK261+$AJ$2*AL261*COS(RADIANS(0.25*(_xlfn.SEQUENCE(AO261-AN261,1,AN261+1)))))),-1.6364)),0.678))*IF(AL261*COS(RADIANS(0.25*(_xlfn.SEQUENCE(AO261-AN261,1,AN261+1))))&gt;0,AL261*COS(RADIANS(0.25*(_xlfn.SEQUENCE(AO261-AN261,1,AN261+1)))),0)/60)</f>
        <v>6271.2611218499251</v>
      </c>
      <c r="AQ261" s="17" cm="1">
        <f t="array" ref="AQ261">SUMPRODUCT(1362*POWER(0.7,POWER(1/($AI$2*AK261+$AJ$2*AL261*COS(RADIANS(0.25*(_xlfn.SEQUENCE(AO261-AN261,1,AN261+1))))+0.50572*POWER(96.07995-DEGREES(ACOS($AI$2*AK261+$AJ$2*AL261*COS(RADIANS(0.25*(_xlfn.SEQUENCE(AO261-AN261,1,AN261+1)))))),-1.6364)),0.678))/60)</f>
        <v>8699.4299041571794</v>
      </c>
      <c r="AR261" s="15">
        <f t="shared" si="178"/>
        <v>1.387189870606278</v>
      </c>
      <c r="AT261">
        <v>0.48606704832147207</v>
      </c>
      <c r="AU261">
        <v>60.917593811143234</v>
      </c>
      <c r="AV261">
        <v>2.0510316065721121</v>
      </c>
      <c r="AW261">
        <v>762.21297928568504</v>
      </c>
      <c r="BE261" s="9"/>
    </row>
    <row r="262" spans="4:57" ht="17" x14ac:dyDescent="0.2">
      <c r="D262" s="1">
        <f t="shared" si="179"/>
        <v>46283</v>
      </c>
      <c r="E262" s="6">
        <f t="shared" si="146"/>
        <v>0.5</v>
      </c>
      <c r="F262" s="2">
        <f t="shared" si="147"/>
        <v>2461302.3333333335</v>
      </c>
      <c r="G262" s="3">
        <f t="shared" si="148"/>
        <v>0.26714122746977381</v>
      </c>
      <c r="I262">
        <f t="shared" si="149"/>
        <v>177.75632388069607</v>
      </c>
      <c r="J262">
        <f t="shared" si="150"/>
        <v>9974.3595812480035</v>
      </c>
      <c r="K262">
        <f t="shared" si="151"/>
        <v>1.6697395142346885E-2</v>
      </c>
      <c r="L262">
        <f t="shared" si="152"/>
        <v>-1.8319047610515096</v>
      </c>
      <c r="M262">
        <f t="shared" si="153"/>
        <v>175.92441911964457</v>
      </c>
      <c r="N262">
        <f t="shared" si="154"/>
        <v>9972.5276764869523</v>
      </c>
      <c r="O262">
        <f t="shared" si="155"/>
        <v>1.0047593856548434</v>
      </c>
      <c r="P262">
        <f t="shared" si="156"/>
        <v>175.92123714413577</v>
      </c>
      <c r="Q262">
        <f t="shared" si="157"/>
        <v>23.435817159970753</v>
      </c>
      <c r="R262">
        <f t="shared" si="158"/>
        <v>23.437996468924421</v>
      </c>
      <c r="S262">
        <f t="shared" si="159"/>
        <v>176.25677199110592</v>
      </c>
      <c r="T262" s="19">
        <f t="shared" si="160"/>
        <v>1.6212005276937473</v>
      </c>
      <c r="U262">
        <f t="shared" si="161"/>
        <v>4.3029640262478686E-2</v>
      </c>
      <c r="V262">
        <f t="shared" si="162"/>
        <v>5.9578677304255931</v>
      </c>
      <c r="W262">
        <f t="shared" si="163"/>
        <v>92.301211559943141</v>
      </c>
      <c r="X262" s="6">
        <f t="shared" si="164"/>
        <v>0.50128445296498225</v>
      </c>
      <c r="Y262" s="6">
        <f t="shared" si="165"/>
        <v>0.24489219863180686</v>
      </c>
      <c r="Z262" s="6">
        <f t="shared" si="166"/>
        <v>0.75767670729815773</v>
      </c>
      <c r="AA262" s="19">
        <f t="shared" si="167"/>
        <v>738.40969247954513</v>
      </c>
      <c r="AB262">
        <f t="shared" si="168"/>
        <v>718.15038773042556</v>
      </c>
      <c r="AC262">
        <f t="shared" si="169"/>
        <v>-0.46240306739360904</v>
      </c>
      <c r="AD262">
        <f t="shared" si="144"/>
        <v>35.98131475024109</v>
      </c>
      <c r="AE262">
        <f t="shared" si="170"/>
        <v>54.01868524975891</v>
      </c>
      <c r="AF262">
        <f t="shared" si="171"/>
        <v>1.1710112481281123E-2</v>
      </c>
      <c r="AG262">
        <f t="shared" si="172"/>
        <v>54.030395362240192</v>
      </c>
      <c r="AH262">
        <f t="shared" si="145"/>
        <v>179.21325845545005</v>
      </c>
      <c r="AK262">
        <f t="shared" si="173"/>
        <v>2.829151155026494E-2</v>
      </c>
      <c r="AL262">
        <f t="shared" si="174"/>
        <v>0.99959971507308931</v>
      </c>
      <c r="AM262">
        <f t="shared" si="175"/>
        <v>738</v>
      </c>
      <c r="AN262">
        <f t="shared" si="176"/>
        <v>-369</v>
      </c>
      <c r="AO262">
        <f t="shared" si="177"/>
        <v>369</v>
      </c>
      <c r="AP262" s="16" cm="1">
        <f t="array" ref="AP262">SUMPRODUCT(1362*POWER(0.7,POWER(1/($AI$2*AK262+$AJ$2*AL262*COS(RADIANS(0.25*(_xlfn.SEQUENCE(AO262-AN262,1,AN262+1))))+0.50572*POWER(96.07995-DEGREES(ACOS($AI$2*AK262+$AJ$2*AL262*COS(RADIANS(0.25*(_xlfn.SEQUENCE(AO262-AN262,1,AN262+1)))))),-1.6364)),0.678))*IF(AL262*COS(RADIANS(0.25*(_xlfn.SEQUENCE(AO262-AN262,1,AN262+1))))&gt;0,AL262*COS(RADIANS(0.25*(_xlfn.SEQUENCE(AO262-AN262,1,AN262+1)))),0)/60)</f>
        <v>6256.8678162340557</v>
      </c>
      <c r="AQ262" s="17" cm="1">
        <f t="array" ref="AQ262">SUMPRODUCT(1362*POWER(0.7,POWER(1/($AI$2*AK262+$AJ$2*AL262*COS(RADIANS(0.25*(_xlfn.SEQUENCE(AO262-AN262,1,AN262+1))))+0.50572*POWER(96.07995-DEGREES(ACOS($AI$2*AK262+$AJ$2*AL262*COS(RADIANS(0.25*(_xlfn.SEQUENCE(AO262-AN262,1,AN262+1)))))),-1.6364)),0.678))/60)</f>
        <v>8656.9511710727638</v>
      </c>
      <c r="AR262" s="15">
        <f t="shared" si="178"/>
        <v>1.3835918266662846</v>
      </c>
      <c r="AT262">
        <v>0.48645501112577338</v>
      </c>
      <c r="AU262">
        <v>60.89215516885519</v>
      </c>
      <c r="AV262">
        <v>2.0494082632250774</v>
      </c>
      <c r="AW262">
        <v>762.45047563148637</v>
      </c>
    </row>
    <row r="263" spans="4:57" ht="17" x14ac:dyDescent="0.2">
      <c r="D263" s="1">
        <f t="shared" si="179"/>
        <v>46284</v>
      </c>
      <c r="E263" s="6">
        <f t="shared" si="146"/>
        <v>0.5</v>
      </c>
      <c r="F263" s="2">
        <f t="shared" si="147"/>
        <v>2461303.3333333335</v>
      </c>
      <c r="G263" s="3">
        <f t="shared" si="148"/>
        <v>0.26716860597764513</v>
      </c>
      <c r="I263">
        <f t="shared" si="149"/>
        <v>178.74197124529564</v>
      </c>
      <c r="J263">
        <f t="shared" si="150"/>
        <v>9975.3451815274784</v>
      </c>
      <c r="K263">
        <f t="shared" si="151"/>
        <v>1.6697393989583108E-2</v>
      </c>
      <c r="L263">
        <f t="shared" si="152"/>
        <v>-1.841087309264972</v>
      </c>
      <c r="M263">
        <f t="shared" si="153"/>
        <v>176.90088393603068</v>
      </c>
      <c r="N263">
        <f t="shared" si="154"/>
        <v>9973.5040942182131</v>
      </c>
      <c r="O263">
        <f t="shared" si="155"/>
        <v>1.0044846493207271</v>
      </c>
      <c r="P263">
        <f t="shared" si="156"/>
        <v>176.8977057202558</v>
      </c>
      <c r="Q263">
        <f t="shared" si="157"/>
        <v>23.435816803936628</v>
      </c>
      <c r="R263">
        <f t="shared" si="158"/>
        <v>23.437994870541843</v>
      </c>
      <c r="S263">
        <f t="shared" si="159"/>
        <v>177.15323279848167</v>
      </c>
      <c r="T263" s="19">
        <f t="shared" si="160"/>
        <v>1.2334498263642792</v>
      </c>
      <c r="U263">
        <f t="shared" si="161"/>
        <v>4.3029634226626506E-2</v>
      </c>
      <c r="V263">
        <f t="shared" si="162"/>
        <v>6.314509670549632</v>
      </c>
      <c r="W263">
        <f t="shared" si="163"/>
        <v>92.002028179430326</v>
      </c>
      <c r="X263" s="6">
        <f t="shared" si="164"/>
        <v>0.50103678495100723</v>
      </c>
      <c r="Y263" s="6">
        <f t="shared" si="165"/>
        <v>0.24547559556370074</v>
      </c>
      <c r="Z263" s="6">
        <f t="shared" si="166"/>
        <v>0.75659797433831366</v>
      </c>
      <c r="AA263" s="19">
        <f t="shared" si="167"/>
        <v>736.01622543544261</v>
      </c>
      <c r="AB263">
        <f t="shared" si="168"/>
        <v>718.50702967054963</v>
      </c>
      <c r="AC263">
        <f t="shared" si="169"/>
        <v>-0.37324258236259311</v>
      </c>
      <c r="AD263">
        <f t="shared" si="144"/>
        <v>36.368174173283478</v>
      </c>
      <c r="AE263">
        <f t="shared" si="170"/>
        <v>53.631825826716522</v>
      </c>
      <c r="AF263">
        <f t="shared" si="171"/>
        <v>1.1877023422688477E-2</v>
      </c>
      <c r="AG263">
        <f t="shared" si="172"/>
        <v>53.643702850139213</v>
      </c>
      <c r="AH263">
        <f t="shared" si="145"/>
        <v>179.37069347846978</v>
      </c>
      <c r="AK263">
        <f t="shared" si="173"/>
        <v>2.1526097846443239E-2</v>
      </c>
      <c r="AL263">
        <f t="shared" si="174"/>
        <v>0.99976828671022833</v>
      </c>
      <c r="AM263">
        <f t="shared" si="175"/>
        <v>736</v>
      </c>
      <c r="AN263">
        <f t="shared" si="176"/>
        <v>-368</v>
      </c>
      <c r="AO263">
        <f t="shared" si="177"/>
        <v>368</v>
      </c>
      <c r="AP263" s="16" cm="1">
        <f t="array" ref="AP263">SUMPRODUCT(1362*POWER(0.7,POWER(1/($AI$2*AK263+$AJ$2*AL263*COS(RADIANS(0.25*(_xlfn.SEQUENCE(AO263-AN263,1,AN263+1))))+0.50572*POWER(96.07995-DEGREES(ACOS($AI$2*AK263+$AJ$2*AL263*COS(RADIANS(0.25*(_xlfn.SEQUENCE(AO263-AN263,1,AN263+1)))))),-1.6364)),0.678))*IF(AL263*COS(RADIANS(0.25*(_xlfn.SEQUENCE(AO263-AN263,1,AN263+1))))&gt;0,AL263*COS(RADIANS(0.25*(_xlfn.SEQUENCE(AO263-AN263,1,AN263+1)))),0)/60)</f>
        <v>6241.8985577512531</v>
      </c>
      <c r="AQ263" s="17" cm="1">
        <f t="array" ref="AQ263">SUMPRODUCT(1362*POWER(0.7,POWER(1/($AI$2*AK263+$AJ$2*AL263*COS(RADIANS(0.25*(_xlfn.SEQUENCE(AO263-AN263,1,AN263+1))))+0.50572*POWER(96.07995-DEGREES(ACOS($AI$2*AK263+$AJ$2*AL263*COS(RADIANS(0.25*(_xlfn.SEQUENCE(AO263-AN263,1,AN263+1)))))),-1.6364)),0.678))/60)</f>
        <v>8614.3798862236072</v>
      </c>
      <c r="AR263" s="15">
        <f t="shared" si="178"/>
        <v>1.380089696511678</v>
      </c>
      <c r="AT263">
        <v>0.48682918347341964</v>
      </c>
      <c r="AU263">
        <v>60.867614805525378</v>
      </c>
      <c r="AV263">
        <v>2.0478450437576243</v>
      </c>
      <c r="AW263">
        <v>762.6793030331504</v>
      </c>
    </row>
    <row r="264" spans="4:57" ht="17" x14ac:dyDescent="0.2">
      <c r="D264" s="1">
        <f t="shared" si="179"/>
        <v>46285</v>
      </c>
      <c r="E264" s="6">
        <f t="shared" si="146"/>
        <v>0.5</v>
      </c>
      <c r="F264" s="2">
        <f t="shared" si="147"/>
        <v>2461304.3333333335</v>
      </c>
      <c r="G264" s="3">
        <f t="shared" si="148"/>
        <v>0.26719598448551646</v>
      </c>
      <c r="I264">
        <f t="shared" si="149"/>
        <v>179.72761860989522</v>
      </c>
      <c r="J264">
        <f t="shared" si="150"/>
        <v>9976.3307818069552</v>
      </c>
      <c r="K264">
        <f t="shared" si="151"/>
        <v>1.6697392836819137E-2</v>
      </c>
      <c r="L264">
        <f t="shared" si="152"/>
        <v>-1.849734245346033</v>
      </c>
      <c r="M264">
        <f t="shared" si="153"/>
        <v>177.87788436454917</v>
      </c>
      <c r="N264">
        <f t="shared" si="154"/>
        <v>9974.4810475616086</v>
      </c>
      <c r="O264">
        <f t="shared" si="155"/>
        <v>1.0042085226199784</v>
      </c>
      <c r="P264">
        <f t="shared" si="156"/>
        <v>177.87470990636271</v>
      </c>
      <c r="Q264">
        <f t="shared" si="157"/>
        <v>23.435816447902504</v>
      </c>
      <c r="R264">
        <f t="shared" si="158"/>
        <v>23.437993270298808</v>
      </c>
      <c r="S264">
        <f t="shared" si="159"/>
        <v>178.04992384435954</v>
      </c>
      <c r="T264" s="19">
        <f t="shared" si="160"/>
        <v>0.84518449077877178</v>
      </c>
      <c r="U264">
        <f t="shared" si="161"/>
        <v>4.3029628183749266E-2</v>
      </c>
      <c r="V264">
        <f t="shared" si="162"/>
        <v>6.6703642419063014</v>
      </c>
      <c r="W264">
        <f t="shared" si="163"/>
        <v>91.702638009810642</v>
      </c>
      <c r="X264" s="6">
        <f t="shared" si="164"/>
        <v>0.50078966372089839</v>
      </c>
      <c r="Y264" s="6">
        <f t="shared" si="165"/>
        <v>0.24606011369364664</v>
      </c>
      <c r="Z264" s="6">
        <f t="shared" si="166"/>
        <v>0.75551921374815012</v>
      </c>
      <c r="AA264" s="19">
        <f t="shared" si="167"/>
        <v>733.62110407848513</v>
      </c>
      <c r="AB264">
        <f t="shared" si="168"/>
        <v>718.86288424190639</v>
      </c>
      <c r="AC264">
        <f t="shared" si="169"/>
        <v>-0.28427893952340355</v>
      </c>
      <c r="AD264">
        <f t="shared" si="144"/>
        <v>36.755749154932985</v>
      </c>
      <c r="AE264">
        <f t="shared" si="170"/>
        <v>53.244250845067015</v>
      </c>
      <c r="AF264">
        <f t="shared" si="171"/>
        <v>1.2045906526565807E-2</v>
      </c>
      <c r="AG264">
        <f t="shared" si="172"/>
        <v>53.256296751593581</v>
      </c>
      <c r="AH264">
        <f t="shared" si="145"/>
        <v>179.5249870870939</v>
      </c>
      <c r="AK264">
        <f t="shared" si="173"/>
        <v>1.4750717179333794E-2</v>
      </c>
      <c r="AL264">
        <f t="shared" si="174"/>
        <v>0.99989120225287276</v>
      </c>
      <c r="AM264">
        <f t="shared" si="175"/>
        <v>734</v>
      </c>
      <c r="AN264">
        <f t="shared" si="176"/>
        <v>-367</v>
      </c>
      <c r="AO264">
        <f t="shared" si="177"/>
        <v>367</v>
      </c>
      <c r="AP264" s="16" cm="1">
        <f t="array" ref="AP264">SUMPRODUCT(1362*POWER(0.7,POWER(1/($AI$2*AK264+$AJ$2*AL264*COS(RADIANS(0.25*(_xlfn.SEQUENCE(AO264-AN264,1,AN264+1))))+0.50572*POWER(96.07995-DEGREES(ACOS($AI$2*AK264+$AJ$2*AL264*COS(RADIANS(0.25*(_xlfn.SEQUENCE(AO264-AN264,1,AN264+1)))))),-1.6364)),0.678))*IF(AL264*COS(RADIANS(0.25*(_xlfn.SEQUENCE(AO264-AN264,1,AN264+1))))&gt;0,AL264*COS(RADIANS(0.25*(_xlfn.SEQUENCE(AO264-AN264,1,AN264+1)))),0)/60)</f>
        <v>6226.3518723517318</v>
      </c>
      <c r="AQ264" s="17" cm="1">
        <f t="array" ref="AQ264">SUMPRODUCT(1362*POWER(0.7,POWER(1/($AI$2*AK264+$AJ$2*AL264*COS(RADIANS(0.25*(_xlfn.SEQUENCE(AO264-AN264,1,AN264+1))))+0.50572*POWER(96.07995-DEGREES(ACOS($AI$2*AK264+$AJ$2*AL264*COS(RADIANS(0.25*(_xlfn.SEQUENCE(AO264-AN264,1,AN264+1)))))),-1.6364)),0.678))/60)</f>
        <v>8571.5956535799651</v>
      </c>
      <c r="AR264" s="15">
        <f t="shared" si="178"/>
        <v>1.3766641894497396</v>
      </c>
      <c r="AT264">
        <v>0.48718955824070886</v>
      </c>
      <c r="AU264">
        <v>60.843973827207115</v>
      </c>
      <c r="AV264">
        <v>2.0463417099565029</v>
      </c>
      <c r="AW264">
        <v>762.89948210654688</v>
      </c>
      <c r="BE264" s="9"/>
    </row>
    <row r="265" spans="4:57" ht="17" x14ac:dyDescent="0.2">
      <c r="D265" s="1">
        <f t="shared" si="179"/>
        <v>46286</v>
      </c>
      <c r="E265" s="6">
        <f t="shared" si="146"/>
        <v>0.5</v>
      </c>
      <c r="F265" s="2">
        <f t="shared" si="147"/>
        <v>2461305.3333333335</v>
      </c>
      <c r="G265" s="3">
        <f t="shared" si="148"/>
        <v>0.26722336299338778</v>
      </c>
      <c r="I265">
        <f t="shared" si="149"/>
        <v>180.71326597449661</v>
      </c>
      <c r="J265">
        <f t="shared" si="150"/>
        <v>9977.316382086432</v>
      </c>
      <c r="K265">
        <f t="shared" si="151"/>
        <v>1.6697391684054978E-2</v>
      </c>
      <c r="L265">
        <f t="shared" si="152"/>
        <v>-1.8578424978824986</v>
      </c>
      <c r="M265">
        <f t="shared" si="153"/>
        <v>178.85542347661411</v>
      </c>
      <c r="N265">
        <f t="shared" si="154"/>
        <v>9975.4585395885497</v>
      </c>
      <c r="O265">
        <f t="shared" si="155"/>
        <v>1.003931085088879</v>
      </c>
      <c r="P265">
        <f t="shared" si="156"/>
        <v>178.85225277386735</v>
      </c>
      <c r="Q265">
        <f t="shared" si="157"/>
        <v>23.435816091868379</v>
      </c>
      <c r="R265">
        <f t="shared" si="158"/>
        <v>23.437991668196382</v>
      </c>
      <c r="S265">
        <f t="shared" si="159"/>
        <v>178.94692987036728</v>
      </c>
      <c r="T265" s="19">
        <f t="shared" si="160"/>
        <v>0.456498042807849</v>
      </c>
      <c r="U265">
        <f t="shared" si="161"/>
        <v>4.3029622133851003E-2</v>
      </c>
      <c r="V265">
        <f t="shared" si="162"/>
        <v>7.0250984753935031</v>
      </c>
      <c r="W265">
        <f t="shared" si="163"/>
        <v>91.40307799260917</v>
      </c>
      <c r="X265" s="6">
        <f t="shared" si="164"/>
        <v>0.50054332050319894</v>
      </c>
      <c r="Y265" s="6">
        <f t="shared" si="165"/>
        <v>0.24664588163484011</v>
      </c>
      <c r="Z265" s="6">
        <f t="shared" si="166"/>
        <v>0.75444075937155775</v>
      </c>
      <c r="AA265" s="19">
        <f t="shared" si="167"/>
        <v>731.22462394087336</v>
      </c>
      <c r="AB265">
        <f t="shared" si="168"/>
        <v>719.21761847539346</v>
      </c>
      <c r="AC265">
        <f t="shared" si="169"/>
        <v>-0.19559538115163377</v>
      </c>
      <c r="AD265">
        <f t="shared" si="144"/>
        <v>37.143940012966588</v>
      </c>
      <c r="AE265">
        <f t="shared" si="170"/>
        <v>52.856059987033412</v>
      </c>
      <c r="AF265">
        <f t="shared" si="171"/>
        <v>1.2216767573565882E-2</v>
      </c>
      <c r="AG265">
        <f t="shared" si="172"/>
        <v>52.868276754606974</v>
      </c>
      <c r="AH265">
        <f t="shared" si="145"/>
        <v>179.67607895585627</v>
      </c>
      <c r="AK265">
        <f t="shared" si="173"/>
        <v>7.9673095819903107E-3</v>
      </c>
      <c r="AL265">
        <f t="shared" si="174"/>
        <v>0.99996826048531395</v>
      </c>
      <c r="AM265">
        <f t="shared" si="175"/>
        <v>731</v>
      </c>
      <c r="AN265">
        <f t="shared" si="176"/>
        <v>-365.5</v>
      </c>
      <c r="AO265">
        <f t="shared" si="177"/>
        <v>365.5</v>
      </c>
      <c r="AP265" s="16" cm="1">
        <f t="array" ref="AP265">SUMPRODUCT(1362*POWER(0.7,POWER(1/($AI$2*AK265+$AJ$2*AL265*COS(RADIANS(0.25*(_xlfn.SEQUENCE(AO265-AN265,1,AN265+1))))+0.50572*POWER(96.07995-DEGREES(ACOS($AI$2*AK265+$AJ$2*AL265*COS(RADIANS(0.25*(_xlfn.SEQUENCE(AO265-AN265,1,AN265+1)))))),-1.6364)),0.678))*IF(AL265*COS(RADIANS(0.25*(_xlfn.SEQUENCE(AO265-AN265,1,AN265+1))))&gt;0,AL265*COS(RADIANS(0.25*(_xlfn.SEQUENCE(AO265-AN265,1,AN265+1)))),0)/60)</f>
        <v>6210.2286032399716</v>
      </c>
      <c r="AQ265" s="17" cm="1">
        <f t="array" ref="AQ265">SUMPRODUCT(1362*POWER(0.7,POWER(1/($AI$2*AK265+$AJ$2*AL265*COS(RADIANS(0.25*(_xlfn.SEQUENCE(AO265-AN265,1,AN265+1))))+0.50572*POWER(96.07995-DEGREES(ACOS($AI$2*AK265+$AJ$2*AL265*COS(RADIANS(0.25*(_xlfn.SEQUENCE(AO265-AN265,1,AN265+1)))))),-1.6364)),0.678))/60)</f>
        <v>8528.4872658354434</v>
      </c>
      <c r="AR265" s="15">
        <f t="shared" si="178"/>
        <v>1.3732968318406187</v>
      </c>
      <c r="AT265">
        <v>0.48753612856662476</v>
      </c>
      <c r="AU265">
        <v>60.821233301092832</v>
      </c>
      <c r="AV265">
        <v>2.0448980331734123</v>
      </c>
      <c r="AW265">
        <v>763.11103266229986</v>
      </c>
    </row>
    <row r="266" spans="4:57" ht="17" x14ac:dyDescent="0.2">
      <c r="D266" s="1">
        <f t="shared" si="179"/>
        <v>46287</v>
      </c>
      <c r="E266" s="6">
        <f t="shared" si="146"/>
        <v>0.5</v>
      </c>
      <c r="F266" s="2">
        <f t="shared" si="147"/>
        <v>2461306.3333333335</v>
      </c>
      <c r="G266" s="3">
        <f t="shared" si="148"/>
        <v>0.2672507415012591</v>
      </c>
      <c r="I266">
        <f t="shared" si="149"/>
        <v>181.698913339098</v>
      </c>
      <c r="J266">
        <f t="shared" si="150"/>
        <v>9978.301982365907</v>
      </c>
      <c r="K266">
        <f t="shared" si="151"/>
        <v>1.6697390531290629E-2</v>
      </c>
      <c r="L266">
        <f t="shared" si="152"/>
        <v>-1.8654091438529006</v>
      </c>
      <c r="M266">
        <f t="shared" si="153"/>
        <v>179.8335041952451</v>
      </c>
      <c r="N266">
        <f t="shared" si="154"/>
        <v>9976.436573222054</v>
      </c>
      <c r="O266">
        <f t="shared" si="155"/>
        <v>1.0036524167740908</v>
      </c>
      <c r="P266">
        <f t="shared" si="156"/>
        <v>179.8303372457861</v>
      </c>
      <c r="Q266">
        <f t="shared" si="157"/>
        <v>23.435815735834257</v>
      </c>
      <c r="R266">
        <f t="shared" si="158"/>
        <v>23.437990064235628</v>
      </c>
      <c r="S266">
        <f t="shared" si="159"/>
        <v>179.84433586197832</v>
      </c>
      <c r="T266" s="19">
        <f t="shared" si="160"/>
        <v>6.74843500861248E-2</v>
      </c>
      <c r="U266">
        <f t="shared" si="161"/>
        <v>4.3029616076935742E-2</v>
      </c>
      <c r="V266">
        <f t="shared" si="162"/>
        <v>7.3783776692125782</v>
      </c>
      <c r="W266">
        <f t="shared" si="163"/>
        <v>91.103385033752687</v>
      </c>
      <c r="X266" s="6">
        <f t="shared" si="164"/>
        <v>0.50029798772971346</v>
      </c>
      <c r="Y266" s="6">
        <f t="shared" si="165"/>
        <v>0.24723302930262264</v>
      </c>
      <c r="Z266" s="6">
        <f t="shared" si="166"/>
        <v>0.75336294615680433</v>
      </c>
      <c r="AA266" s="19">
        <f t="shared" si="167"/>
        <v>728.8270802700215</v>
      </c>
      <c r="AB266">
        <f t="shared" si="168"/>
        <v>719.57089766921263</v>
      </c>
      <c r="AC266">
        <f t="shared" si="169"/>
        <v>-0.10727558269684323</v>
      </c>
      <c r="AD266">
        <f t="shared" si="144"/>
        <v>37.532646256147324</v>
      </c>
      <c r="AE266">
        <f t="shared" si="170"/>
        <v>52.467353743852676</v>
      </c>
      <c r="AF266">
        <f t="shared" si="171"/>
        <v>1.2389611768117155E-2</v>
      </c>
      <c r="AG266">
        <f t="shared" si="172"/>
        <v>52.479743355620791</v>
      </c>
      <c r="AH266">
        <f t="shared" si="145"/>
        <v>179.82391126058735</v>
      </c>
      <c r="AK266">
        <f t="shared" si="173"/>
        <v>1.1778238302448171E-3</v>
      </c>
      <c r="AL266">
        <f t="shared" si="174"/>
        <v>0.9999993063652719</v>
      </c>
      <c r="AM266">
        <f t="shared" si="175"/>
        <v>729</v>
      </c>
      <c r="AN266">
        <f t="shared" si="176"/>
        <v>-364.5</v>
      </c>
      <c r="AO266">
        <f t="shared" si="177"/>
        <v>364.5</v>
      </c>
      <c r="AP266" s="16" cm="1">
        <f t="array" ref="AP266">SUMPRODUCT(1362*POWER(0.7,POWER(1/($AI$2*AK266+$AJ$2*AL266*COS(RADIANS(0.25*(_xlfn.SEQUENCE(AO266-AN266,1,AN266+1))))+0.50572*POWER(96.07995-DEGREES(ACOS($AI$2*AK266+$AJ$2*AL266*COS(RADIANS(0.25*(_xlfn.SEQUENCE(AO266-AN266,1,AN266+1)))))),-1.6364)),0.678))*IF(AL266*COS(RADIANS(0.25*(_xlfn.SEQUENCE(AO266-AN266,1,AN266+1))))&gt;0,AL266*COS(RADIANS(0.25*(_xlfn.SEQUENCE(AO266-AN266,1,AN266+1)))),0)/60)</f>
        <v>6193.5287276887202</v>
      </c>
      <c r="AQ266" s="17" cm="1">
        <f t="array" ref="AQ266">SUMPRODUCT(1362*POWER(0.7,POWER(1/($AI$2*AK266+$AJ$2*AL266*COS(RADIANS(0.25*(_xlfn.SEQUENCE(AO266-AN266,1,AN266+1))))+0.50572*POWER(96.07995-DEGREES(ACOS($AI$2*AK266+$AJ$2*AL266*COS(RADIANS(0.25*(_xlfn.SEQUENCE(AO266-AN266,1,AN266+1)))))),-1.6364)),0.678))/60)</f>
        <v>8485.3021439330478</v>
      </c>
      <c r="AR266" s="15">
        <f t="shared" si="178"/>
        <v>1.3700270906952852</v>
      </c>
      <c r="AT266">
        <v>0.48786888785296811</v>
      </c>
      <c r="AU266">
        <v>60.799394255281257</v>
      </c>
      <c r="AV266">
        <v>2.0435137942385375</v>
      </c>
      <c r="AW266">
        <v>763.31397371059938</v>
      </c>
    </row>
    <row r="267" spans="4:57" ht="17" x14ac:dyDescent="0.2">
      <c r="D267" s="1">
        <f t="shared" si="179"/>
        <v>46288</v>
      </c>
      <c r="E267" s="6">
        <f t="shared" si="146"/>
        <v>0.5</v>
      </c>
      <c r="F267" s="2">
        <f t="shared" si="147"/>
        <v>2461307.3333333335</v>
      </c>
      <c r="G267" s="3">
        <f t="shared" si="148"/>
        <v>0.26727812000913043</v>
      </c>
      <c r="I267">
        <f t="shared" si="149"/>
        <v>182.68456070369939</v>
      </c>
      <c r="J267">
        <f t="shared" si="150"/>
        <v>9979.2875826453837</v>
      </c>
      <c r="K267">
        <f t="shared" si="151"/>
        <v>1.6697389378526089E-2</v>
      </c>
      <c r="L267">
        <f t="shared" si="152"/>
        <v>-1.8724314100782615</v>
      </c>
      <c r="M267">
        <f t="shared" si="153"/>
        <v>180.81212929362113</v>
      </c>
      <c r="N267">
        <f t="shared" si="154"/>
        <v>9977.4151512353055</v>
      </c>
      <c r="O267">
        <f t="shared" si="155"/>
        <v>1.0033725982116122</v>
      </c>
      <c r="P267">
        <f t="shared" si="156"/>
        <v>180.80896609529478</v>
      </c>
      <c r="Q267">
        <f t="shared" si="157"/>
        <v>23.435815379800133</v>
      </c>
      <c r="R267">
        <f t="shared" si="158"/>
        <v>23.437988458417607</v>
      </c>
      <c r="S267">
        <f t="shared" si="159"/>
        <v>-179.25777300007971</v>
      </c>
      <c r="T267" s="19">
        <f t="shared" si="160"/>
        <v>-0.32176235845922962</v>
      </c>
      <c r="U267">
        <f t="shared" si="161"/>
        <v>4.3029610013007494E-2</v>
      </c>
      <c r="V267">
        <f t="shared" si="162"/>
        <v>7.7298655168458055</v>
      </c>
      <c r="W267">
        <f t="shared" si="163"/>
        <v>90.803596081492998</v>
      </c>
      <c r="X267" s="6">
        <f t="shared" si="164"/>
        <v>0.50005389894663477</v>
      </c>
      <c r="Y267" s="6">
        <f t="shared" si="165"/>
        <v>0.24782168760915424</v>
      </c>
      <c r="Z267" s="6">
        <f t="shared" si="166"/>
        <v>0.75228611028411541</v>
      </c>
      <c r="AA267" s="19">
        <f t="shared" si="167"/>
        <v>726.42876865194398</v>
      </c>
      <c r="AB267">
        <f t="shared" si="168"/>
        <v>719.92238551684591</v>
      </c>
      <c r="AC267">
        <f t="shared" si="169"/>
        <v>-1.9403620788523313E-2</v>
      </c>
      <c r="AD267">
        <f t="shared" si="144"/>
        <v>37.921766593993219</v>
      </c>
      <c r="AE267">
        <f t="shared" si="170"/>
        <v>52.078233406006781</v>
      </c>
      <c r="AF267">
        <f t="shared" si="171"/>
        <v>1.2564443670971835E-2</v>
      </c>
      <c r="AG267">
        <f t="shared" si="172"/>
        <v>52.090797849677756</v>
      </c>
      <c r="AH267">
        <f t="shared" si="145"/>
        <v>179.96842858561149</v>
      </c>
      <c r="AK267">
        <f t="shared" si="173"/>
        <v>-5.6157830461672307E-3</v>
      </c>
      <c r="AL267">
        <f t="shared" si="174"/>
        <v>0.99998423136606429</v>
      </c>
      <c r="AM267">
        <f t="shared" si="175"/>
        <v>726</v>
      </c>
      <c r="AN267">
        <f t="shared" si="176"/>
        <v>-363</v>
      </c>
      <c r="AO267">
        <f t="shared" si="177"/>
        <v>363</v>
      </c>
      <c r="AP267" s="16" cm="1">
        <f t="array" ref="AP267">SUMPRODUCT(1362*POWER(0.7,POWER(1/($AI$2*AK267+$AJ$2*AL267*COS(RADIANS(0.25*(_xlfn.SEQUENCE(AO267-AN267,1,AN267+1))))+0.50572*POWER(96.07995-DEGREES(ACOS($AI$2*AK267+$AJ$2*AL267*COS(RADIANS(0.25*(_xlfn.SEQUENCE(AO267-AN267,1,AN267+1)))))),-1.6364)),0.678))*IF(AL267*COS(RADIANS(0.25*(_xlfn.SEQUENCE(AO267-AN267,1,AN267+1))))&gt;0,AL267*COS(RADIANS(0.25*(_xlfn.SEQUENCE(AO267-AN267,1,AN267+1)))),0)/60)</f>
        <v>6176.2544363783227</v>
      </c>
      <c r="AQ267" s="17" cm="1">
        <f t="array" ref="AQ267">SUMPRODUCT(1362*POWER(0.7,POWER(1/($AI$2*AK267+$AJ$2*AL267*COS(RADIANS(0.25*(_xlfn.SEQUENCE(AO267-AN267,1,AN267+1))))+0.50572*POWER(96.07995-DEGREES(ACOS($AI$2*AK267+$AJ$2*AL267*COS(RADIANS(0.25*(_xlfn.SEQUENCE(AO267-AN267,1,AN267+1)))))),-1.6364)),0.678))/60)</f>
        <v>8441.8026026733223</v>
      </c>
      <c r="AR267" s="15">
        <f t="shared" si="178"/>
        <v>1.3668158735415519</v>
      </c>
      <c r="AT267">
        <v>0.48818782976448161</v>
      </c>
      <c r="AU267">
        <v>60.778457678552449</v>
      </c>
      <c r="AV267">
        <v>2.0421887833779029</v>
      </c>
      <c r="AW267">
        <v>763.50832346580899</v>
      </c>
    </row>
    <row r="268" spans="4:57" ht="17" x14ac:dyDescent="0.2">
      <c r="D268" s="1">
        <f t="shared" si="179"/>
        <v>46289</v>
      </c>
      <c r="E268" s="6">
        <f t="shared" si="146"/>
        <v>0.5</v>
      </c>
      <c r="F268" s="2">
        <f t="shared" si="147"/>
        <v>2461308.3333333335</v>
      </c>
      <c r="G268" s="3">
        <f t="shared" si="148"/>
        <v>0.26730549851700175</v>
      </c>
      <c r="I268">
        <f t="shared" si="149"/>
        <v>183.6702080683026</v>
      </c>
      <c r="J268">
        <f t="shared" si="150"/>
        <v>9980.2731829248587</v>
      </c>
      <c r="K268">
        <f t="shared" si="151"/>
        <v>1.6697388225761358E-2</v>
      </c>
      <c r="L268">
        <f t="shared" si="152"/>
        <v>-1.8789066746437213</v>
      </c>
      <c r="M268">
        <f t="shared" si="153"/>
        <v>181.79130139365887</v>
      </c>
      <c r="N268">
        <f t="shared" si="154"/>
        <v>9978.3942762502156</v>
      </c>
      <c r="O268">
        <f t="shared" si="155"/>
        <v>1.0030917104054571</v>
      </c>
      <c r="P268">
        <f t="shared" si="156"/>
        <v>181.7881419443068</v>
      </c>
      <c r="Q268">
        <f t="shared" si="157"/>
        <v>23.435815023766011</v>
      </c>
      <c r="R268">
        <f t="shared" si="158"/>
        <v>23.437986850743396</v>
      </c>
      <c r="S268">
        <f t="shared" si="159"/>
        <v>-178.35931138888461</v>
      </c>
      <c r="T268" s="19">
        <f t="shared" si="160"/>
        <v>-0.71114747712988391</v>
      </c>
      <c r="U268">
        <f t="shared" si="161"/>
        <v>4.3029603942070324E-2</v>
      </c>
      <c r="V268">
        <f t="shared" si="162"/>
        <v>8.0792242417134972</v>
      </c>
      <c r="W268">
        <f t="shared" si="163"/>
        <v>90.503748204810492</v>
      </c>
      <c r="X268" s="6">
        <f t="shared" si="164"/>
        <v>0.49981128872103225</v>
      </c>
      <c r="Y268" s="6">
        <f t="shared" si="165"/>
        <v>0.24841198815211421</v>
      </c>
      <c r="Z268" s="6">
        <f t="shared" si="166"/>
        <v>0.75121058928995033</v>
      </c>
      <c r="AA268" s="19">
        <f t="shared" si="167"/>
        <v>724.02998563848394</v>
      </c>
      <c r="AB268">
        <f t="shared" si="168"/>
        <v>720.27174424171358</v>
      </c>
      <c r="AC268">
        <f t="shared" si="169"/>
        <v>6.7936060428394285E-2</v>
      </c>
      <c r="AD268">
        <f t="shared" si="144"/>
        <v>38.311198947165472</v>
      </c>
      <c r="AE268">
        <f t="shared" si="170"/>
        <v>51.688801052834528</v>
      </c>
      <c r="AF268">
        <f t="shared" si="171"/>
        <v>1.2741267127935423E-2</v>
      </c>
      <c r="AG268">
        <f t="shared" si="172"/>
        <v>51.701542319962464</v>
      </c>
      <c r="AH268">
        <f t="shared" si="145"/>
        <v>180.10957783759665</v>
      </c>
      <c r="AK268">
        <f t="shared" si="173"/>
        <v>-1.2411546261905678E-2</v>
      </c>
      <c r="AL268">
        <f t="shared" si="174"/>
        <v>0.99992297379317607</v>
      </c>
      <c r="AM268">
        <f t="shared" si="175"/>
        <v>724</v>
      </c>
      <c r="AN268">
        <f t="shared" si="176"/>
        <v>-362</v>
      </c>
      <c r="AO268">
        <f t="shared" si="177"/>
        <v>362</v>
      </c>
      <c r="AP268" s="16" cm="1">
        <f t="array" ref="AP268">SUMPRODUCT(1362*POWER(0.7,POWER(1/($AI$2*AK268+$AJ$2*AL268*COS(RADIANS(0.25*(_xlfn.SEQUENCE(AO268-AN268,1,AN268+1))))+0.50572*POWER(96.07995-DEGREES(ACOS($AI$2*AK268+$AJ$2*AL268*COS(RADIANS(0.25*(_xlfn.SEQUENCE(AO268-AN268,1,AN268+1)))))),-1.6364)),0.678))*IF(AL268*COS(RADIANS(0.25*(_xlfn.SEQUENCE(AO268-AN268,1,AN268+1))))&gt;0,AL268*COS(RADIANS(0.25*(_xlfn.SEQUENCE(AO268-AN268,1,AN268+1)))),0)/60)</f>
        <v>6158.4090414081948</v>
      </c>
      <c r="AQ268" s="17" cm="1">
        <f t="array" ref="AQ268">SUMPRODUCT(1362*POWER(0.7,POWER(1/($AI$2*AK268+$AJ$2*AL268*COS(RADIANS(0.25*(_xlfn.SEQUENCE(AO268-AN268,1,AN268+1))))+0.50572*POWER(96.07995-DEGREES(ACOS($AI$2*AK268+$AJ$2*AL268*COS(RADIANS(0.25*(_xlfn.SEQUENCE(AO268-AN268,1,AN268+1)))))),-1.6364)),0.678))/60)</f>
        <v>8398.2428429021656</v>
      </c>
      <c r="AR268" s="15">
        <f t="shared" si="178"/>
        <v>1.3637033179241056</v>
      </c>
      <c r="AT268">
        <v>0.48849294822897094</v>
      </c>
      <c r="AU268">
        <v>60.758424520150996</v>
      </c>
      <c r="AV268">
        <v>2.0409228001344557</v>
      </c>
      <c r="AW268">
        <v>763.69409935087322</v>
      </c>
    </row>
    <row r="269" spans="4:57" ht="17" x14ac:dyDescent="0.2">
      <c r="D269" s="1">
        <f t="shared" si="179"/>
        <v>46290</v>
      </c>
      <c r="E269" s="6">
        <f t="shared" si="146"/>
        <v>0.5</v>
      </c>
      <c r="F269" s="2">
        <f t="shared" si="147"/>
        <v>2461309.3333333335</v>
      </c>
      <c r="G269" s="3">
        <f t="shared" si="148"/>
        <v>0.26733287702487307</v>
      </c>
      <c r="I269">
        <f t="shared" si="149"/>
        <v>184.65585543290217</v>
      </c>
      <c r="J269">
        <f t="shared" si="150"/>
        <v>9981.2587832043337</v>
      </c>
      <c r="K269">
        <f t="shared" si="151"/>
        <v>1.669738707299644E-2</v>
      </c>
      <c r="L269">
        <f t="shared" si="152"/>
        <v>-1.8848324682895286</v>
      </c>
      <c r="M269">
        <f t="shared" si="153"/>
        <v>182.77102296461265</v>
      </c>
      <c r="N269">
        <f t="shared" si="154"/>
        <v>9979.3739507360442</v>
      </c>
      <c r="O269">
        <f t="shared" si="155"/>
        <v>1.0028098348060521</v>
      </c>
      <c r="P269">
        <f t="shared" si="156"/>
        <v>182.76786726207334</v>
      </c>
      <c r="Q269">
        <f t="shared" si="157"/>
        <v>23.43581466773189</v>
      </c>
      <c r="R269">
        <f t="shared" si="158"/>
        <v>23.437985241214058</v>
      </c>
      <c r="S269">
        <f t="shared" si="159"/>
        <v>-177.46019388095124</v>
      </c>
      <c r="T269" s="19">
        <f t="shared" si="160"/>
        <v>-1.1005760080898175</v>
      </c>
      <c r="U269">
        <f t="shared" si="161"/>
        <v>4.302959786412823E-2</v>
      </c>
      <c r="V269">
        <f t="shared" si="162"/>
        <v>8.4261147395413634</v>
      </c>
      <c r="W269">
        <f t="shared" si="163"/>
        <v>90.203878672274939</v>
      </c>
      <c r="X269" s="6">
        <f t="shared" si="164"/>
        <v>0.4995703925419851</v>
      </c>
      <c r="Y269" s="6">
        <f t="shared" si="165"/>
        <v>0.24900406289677693</v>
      </c>
      <c r="Z269" s="6">
        <f t="shared" si="166"/>
        <v>0.75013672218719318</v>
      </c>
      <c r="AA269" s="19">
        <f t="shared" si="167"/>
        <v>721.63102937819951</v>
      </c>
      <c r="AB269">
        <f t="shared" si="168"/>
        <v>720.61863473954145</v>
      </c>
      <c r="AC269">
        <f t="shared" si="169"/>
        <v>0.15465868488536216</v>
      </c>
      <c r="AD269">
        <f t="shared" si="144"/>
        <v>38.700840458525207</v>
      </c>
      <c r="AE269">
        <f t="shared" si="170"/>
        <v>51.299159541474793</v>
      </c>
      <c r="AF269">
        <f t="shared" si="171"/>
        <v>1.292008519465134E-2</v>
      </c>
      <c r="AG269">
        <f t="shared" si="172"/>
        <v>51.312079626669444</v>
      </c>
      <c r="AH269">
        <f t="shared" si="145"/>
        <v>180.24730816580353</v>
      </c>
      <c r="AK269">
        <f t="shared" si="173"/>
        <v>-1.920749378371497E-2</v>
      </c>
      <c r="AL269">
        <f t="shared" si="174"/>
        <v>0.99981551907466837</v>
      </c>
      <c r="AM269">
        <f t="shared" si="175"/>
        <v>722</v>
      </c>
      <c r="AN269">
        <f t="shared" si="176"/>
        <v>-361</v>
      </c>
      <c r="AO269">
        <f t="shared" si="177"/>
        <v>361</v>
      </c>
      <c r="AP269" s="16" cm="1">
        <f t="array" ref="AP269">SUMPRODUCT(1362*POWER(0.7,POWER(1/($AI$2*AK269+$AJ$2*AL269*COS(RADIANS(0.25*(_xlfn.SEQUENCE(AO269-AN269,1,AN269+1))))+0.50572*POWER(96.07995-DEGREES(ACOS($AI$2*AK269+$AJ$2*AL269*COS(RADIANS(0.25*(_xlfn.SEQUENCE(AO269-AN269,1,AN269+1)))))),-1.6364)),0.678))*IF(AL269*COS(RADIANS(0.25*(_xlfn.SEQUENCE(AO269-AN269,1,AN269+1))))&gt;0,AL269*COS(RADIANS(0.25*(_xlfn.SEQUENCE(AO269-AN269,1,AN269+1)))),0)/60)</f>
        <v>6139.9955877688108</v>
      </c>
      <c r="AQ269" s="17" cm="1">
        <f t="array" ref="AQ269">SUMPRODUCT(1362*POWER(0.7,POWER(1/($AI$2*AK269+$AJ$2*AL269*COS(RADIANS(0.25*(_xlfn.SEQUENCE(AO269-AN269,1,AN269+1))))+0.50572*POWER(96.07995-DEGREES(ACOS($AI$2*AK269+$AJ$2*AL269*COS(RADIANS(0.25*(_xlfn.SEQUENCE(AO269-AN269,1,AN269+1)))))),-1.6364)),0.678))/60)</f>
        <v>8354.5028892099181</v>
      </c>
      <c r="AR269" s="15">
        <f t="shared" si="178"/>
        <v>1.3606692007812711</v>
      </c>
      <c r="AT269">
        <v>0.48878423743742061</v>
      </c>
      <c r="AU269">
        <v>60.739295689577176</v>
      </c>
      <c r="AV269">
        <v>2.0397156532928427</v>
      </c>
      <c r="AW269">
        <v>763.87131800152645</v>
      </c>
    </row>
    <row r="270" spans="4:57" ht="17" x14ac:dyDescent="0.2">
      <c r="D270" s="1">
        <f t="shared" si="179"/>
        <v>46291</v>
      </c>
      <c r="E270" s="6">
        <f t="shared" si="146"/>
        <v>0.5</v>
      </c>
      <c r="F270" s="2">
        <f t="shared" si="147"/>
        <v>2461310.3333333335</v>
      </c>
      <c r="G270" s="3">
        <f t="shared" si="148"/>
        <v>0.2673602555327444</v>
      </c>
      <c r="I270">
        <f t="shared" si="149"/>
        <v>185.64150279750538</v>
      </c>
      <c r="J270">
        <f t="shared" si="150"/>
        <v>9982.2443834838086</v>
      </c>
      <c r="K270">
        <f t="shared" si="151"/>
        <v>1.6697385920231331E-2</v>
      </c>
      <c r="L270">
        <f t="shared" si="152"/>
        <v>-1.8902064757698316</v>
      </c>
      <c r="M270">
        <f t="shared" si="153"/>
        <v>183.75129632173554</v>
      </c>
      <c r="N270">
        <f t="shared" si="154"/>
        <v>9980.3541770080392</v>
      </c>
      <c r="O270">
        <f t="shared" si="155"/>
        <v>1.0025270532883577</v>
      </c>
      <c r="P270">
        <f t="shared" si="156"/>
        <v>183.74814436384423</v>
      </c>
      <c r="Q270">
        <f t="shared" si="157"/>
        <v>23.435814311697765</v>
      </c>
      <c r="R270">
        <f t="shared" si="158"/>
        <v>23.437983629830661</v>
      </c>
      <c r="S270">
        <f t="shared" si="159"/>
        <v>-176.5603350064994</v>
      </c>
      <c r="T270" s="19">
        <f t="shared" si="160"/>
        <v>-1.4899525461909531</v>
      </c>
      <c r="U270">
        <f t="shared" si="161"/>
        <v>4.3029591779185271E-2</v>
      </c>
      <c r="V270">
        <f t="shared" si="162"/>
        <v>8.7701967294505589</v>
      </c>
      <c r="W270">
        <f t="shared" si="163"/>
        <v>89.904025031325446</v>
      </c>
      <c r="X270" s="6">
        <f t="shared" si="164"/>
        <v>0.49933144671565927</v>
      </c>
      <c r="Y270" s="6">
        <f t="shared" si="165"/>
        <v>0.24959804385086634</v>
      </c>
      <c r="Z270" s="6">
        <f t="shared" si="166"/>
        <v>0.74906484958045216</v>
      </c>
      <c r="AA270" s="19">
        <f t="shared" si="167"/>
        <v>719.23220025060357</v>
      </c>
      <c r="AB270">
        <f t="shared" si="168"/>
        <v>720.96271672945045</v>
      </c>
      <c r="AC270">
        <f t="shared" si="169"/>
        <v>0.24067918236261221</v>
      </c>
      <c r="AD270">
        <f t="shared" si="144"/>
        <v>39.090587504927242</v>
      </c>
      <c r="AE270">
        <f t="shared" si="170"/>
        <v>50.909412495072758</v>
      </c>
      <c r="AF270">
        <f t="shared" si="171"/>
        <v>1.3100900057325116E-2</v>
      </c>
      <c r="AG270">
        <f t="shared" si="172"/>
        <v>50.922513395130082</v>
      </c>
      <c r="AH270">
        <f t="shared" si="145"/>
        <v>180.38157088921577</v>
      </c>
      <c r="AK270">
        <f t="shared" si="173"/>
        <v>-2.6001646847757558E-2</v>
      </c>
      <c r="AL270">
        <f t="shared" si="174"/>
        <v>0.99966190002480559</v>
      </c>
      <c r="AM270">
        <f t="shared" si="175"/>
        <v>719</v>
      </c>
      <c r="AN270">
        <f t="shared" si="176"/>
        <v>-359.5</v>
      </c>
      <c r="AO270">
        <f t="shared" si="177"/>
        <v>359.5</v>
      </c>
      <c r="AP270" s="16" cm="1">
        <f t="array" ref="AP270">SUMPRODUCT(1362*POWER(0.7,POWER(1/($AI$2*AK270+$AJ$2*AL270*COS(RADIANS(0.25*(_xlfn.SEQUENCE(AO270-AN270,1,AN270+1))))+0.50572*POWER(96.07995-DEGREES(ACOS($AI$2*AK270+$AJ$2*AL270*COS(RADIANS(0.25*(_xlfn.SEQUENCE(AO270-AN270,1,AN270+1)))))),-1.6364)),0.678))*IF(AL270*COS(RADIANS(0.25*(_xlfn.SEQUENCE(AO270-AN270,1,AN270+1))))&gt;0,AL270*COS(RADIANS(0.25*(_xlfn.SEQUENCE(AO270-AN270,1,AN270+1)))),0)/60)</f>
        <v>6121.0181455538341</v>
      </c>
      <c r="AQ270" s="17" cm="1">
        <f t="array" ref="AQ270">SUMPRODUCT(1362*POWER(0.7,POWER(1/($AI$2*AK270+$AJ$2*AL270*COS(RADIANS(0.25*(_xlfn.SEQUENCE(AO270-AN270,1,AN270+1))))+0.50572*POWER(96.07995-DEGREES(ACOS($AI$2*AK270+$AJ$2*AL270*COS(RADIANS(0.25*(_xlfn.SEQUENCE(AO270-AN270,1,AN270+1)))))),-1.6364)),0.678))/60)</f>
        <v>8310.4723200367462</v>
      </c>
      <c r="AR270" s="15">
        <f t="shared" si="178"/>
        <v>1.3576944427249054</v>
      </c>
      <c r="AT270">
        <v>0.48906169184410375</v>
      </c>
      <c r="AU270">
        <v>60.721072056386788</v>
      </c>
      <c r="AV270">
        <v>2.0385671608078209</v>
      </c>
      <c r="AW270">
        <v>764.03999527030646</v>
      </c>
    </row>
    <row r="271" spans="4:57" ht="17" x14ac:dyDescent="0.2">
      <c r="D271" s="1">
        <f t="shared" si="179"/>
        <v>46292</v>
      </c>
      <c r="E271" s="6">
        <f t="shared" si="146"/>
        <v>0.5</v>
      </c>
      <c r="F271" s="2">
        <f t="shared" si="147"/>
        <v>2461311.3333333335</v>
      </c>
      <c r="G271" s="3">
        <f t="shared" si="148"/>
        <v>0.26738763404061572</v>
      </c>
      <c r="I271">
        <f t="shared" si="149"/>
        <v>186.62715016210859</v>
      </c>
      <c r="J271">
        <f t="shared" si="150"/>
        <v>9983.2299837632818</v>
      </c>
      <c r="K271">
        <f t="shared" si="151"/>
        <v>1.6697384767466031E-2</v>
      </c>
      <c r="L271">
        <f t="shared" si="152"/>
        <v>-1.8950265371785002</v>
      </c>
      <c r="M271">
        <f t="shared" si="153"/>
        <v>184.7321236249301</v>
      </c>
      <c r="N271">
        <f t="shared" si="154"/>
        <v>9981.3349572261031</v>
      </c>
      <c r="O271">
        <f t="shared" si="155"/>
        <v>1.0022434481297213</v>
      </c>
      <c r="P271">
        <f t="shared" si="156"/>
        <v>184.72897540951888</v>
      </c>
      <c r="Q271">
        <f t="shared" si="157"/>
        <v>23.435813955663644</v>
      </c>
      <c r="R271">
        <f t="shared" si="158"/>
        <v>23.437982016594283</v>
      </c>
      <c r="S271">
        <f t="shared" si="159"/>
        <v>-175.65964930052576</v>
      </c>
      <c r="T271" s="19">
        <f t="shared" si="160"/>
        <v>-1.8791812640280046</v>
      </c>
      <c r="U271">
        <f t="shared" si="161"/>
        <v>4.3029585687245499E-2</v>
      </c>
      <c r="V271">
        <f t="shared" si="162"/>
        <v>9.1111289147152164</v>
      </c>
      <c r="W271">
        <f t="shared" si="163"/>
        <v>89.604225187964204</v>
      </c>
      <c r="X271" s="6">
        <f t="shared" si="164"/>
        <v>0.49909468825366993</v>
      </c>
      <c r="Y271" s="6">
        <f t="shared" si="165"/>
        <v>0.25019406273154715</v>
      </c>
      <c r="Z271" s="6">
        <f t="shared" si="166"/>
        <v>0.74799531377579265</v>
      </c>
      <c r="AA271" s="19">
        <f t="shared" si="167"/>
        <v>716.83380150371363</v>
      </c>
      <c r="AB271">
        <f t="shared" si="168"/>
        <v>721.30364891471527</v>
      </c>
      <c r="AC271">
        <f t="shared" si="169"/>
        <v>0.32591222867881697</v>
      </c>
      <c r="AD271">
        <f t="shared" si="144"/>
        <v>39.480335709777755</v>
      </c>
      <c r="AE271">
        <f t="shared" si="170"/>
        <v>50.519664290222245</v>
      </c>
      <c r="AF271">
        <f t="shared" si="171"/>
        <v>1.3283712949256239E-2</v>
      </c>
      <c r="AG271">
        <f t="shared" si="172"/>
        <v>50.532948003171498</v>
      </c>
      <c r="AH271">
        <f t="shared" si="145"/>
        <v>180.51231942993846</v>
      </c>
      <c r="AK271">
        <f t="shared" si="173"/>
        <v>-3.2792020486065027E-2</v>
      </c>
      <c r="AL271">
        <f t="shared" si="174"/>
        <v>0.99946219708023054</v>
      </c>
      <c r="AM271">
        <f t="shared" si="175"/>
        <v>717</v>
      </c>
      <c r="AN271">
        <f t="shared" si="176"/>
        <v>-358.5</v>
      </c>
      <c r="AO271">
        <f t="shared" si="177"/>
        <v>358.5</v>
      </c>
      <c r="AP271" s="16" cm="1">
        <f t="array" ref="AP271">SUMPRODUCT(1362*POWER(0.7,POWER(1/($AI$2*AK271+$AJ$2*AL271*COS(RADIANS(0.25*(_xlfn.SEQUENCE(AO271-AN271,1,AN271+1))))+0.50572*POWER(96.07995-DEGREES(ACOS($AI$2*AK271+$AJ$2*AL271*COS(RADIANS(0.25*(_xlfn.SEQUENCE(AO271-AN271,1,AN271+1)))))),-1.6364)),0.678))*IF(AL271*COS(RADIANS(0.25*(_xlfn.SEQUENCE(AO271-AN271,1,AN271+1))))&gt;0,AL271*COS(RADIANS(0.25*(_xlfn.SEQUENCE(AO271-AN271,1,AN271+1)))),0)/60)</f>
        <v>6101.4810842714642</v>
      </c>
      <c r="AQ271" s="17" cm="1">
        <f t="array" ref="AQ271">SUMPRODUCT(1362*POWER(0.7,POWER(1/($AI$2*AK271+$AJ$2*AL271*COS(RADIANS(0.25*(_xlfn.SEQUENCE(AO271-AN271,1,AN271+1))))+0.50572*POWER(96.07995-DEGREES(ACOS($AI$2*AK271+$AJ$2*AL271*COS(RADIANS(0.25*(_xlfn.SEQUENCE(AO271-AN271,1,AN271+1)))))),-1.6364)),0.678))/60)</f>
        <v>8266.3997459737766</v>
      </c>
      <c r="AR271" s="15">
        <f t="shared" si="178"/>
        <v>1.354818548447702</v>
      </c>
      <c r="AT271">
        <v>0.48932530616668857</v>
      </c>
      <c r="AU271">
        <v>60.703754449998897</v>
      </c>
      <c r="AV271">
        <v>2.0374771497362478</v>
      </c>
      <c r="AW271">
        <v>764.20014623037059</v>
      </c>
    </row>
    <row r="272" spans="4:57" ht="17" x14ac:dyDescent="0.2">
      <c r="D272" s="1">
        <f t="shared" si="179"/>
        <v>46293</v>
      </c>
      <c r="E272" s="6">
        <f t="shared" si="146"/>
        <v>0.5</v>
      </c>
      <c r="F272" s="2">
        <f t="shared" si="147"/>
        <v>2461312.3333333335</v>
      </c>
      <c r="G272" s="3">
        <f t="shared" si="148"/>
        <v>0.26741501254848704</v>
      </c>
      <c r="I272">
        <f t="shared" si="149"/>
        <v>187.61279752671362</v>
      </c>
      <c r="J272">
        <f t="shared" si="150"/>
        <v>9984.2155840427567</v>
      </c>
      <c r="K272">
        <f t="shared" si="151"/>
        <v>1.669738361470054E-2</v>
      </c>
      <c r="L272">
        <f t="shared" si="152"/>
        <v>-1.8992906492407309</v>
      </c>
      <c r="M272">
        <f t="shared" si="153"/>
        <v>185.71350687747289</v>
      </c>
      <c r="N272">
        <f t="shared" si="154"/>
        <v>9982.3162933935164</v>
      </c>
      <c r="O272">
        <f t="shared" si="155"/>
        <v>1.0019591019874519</v>
      </c>
      <c r="P272">
        <f t="shared" si="156"/>
        <v>185.71036240237061</v>
      </c>
      <c r="Q272">
        <f t="shared" si="157"/>
        <v>23.435813599629522</v>
      </c>
      <c r="R272">
        <f t="shared" si="158"/>
        <v>23.437980401505996</v>
      </c>
      <c r="S272">
        <f t="shared" si="159"/>
        <v>-174.75805135470452</v>
      </c>
      <c r="T272" s="19">
        <f t="shared" si="160"/>
        <v>-2.2681658973224383</v>
      </c>
      <c r="U272">
        <f t="shared" si="161"/>
        <v>4.3029579588312994E-2</v>
      </c>
      <c r="V272">
        <f t="shared" si="162"/>
        <v>9.4485691541404666</v>
      </c>
      <c r="W272">
        <f t="shared" si="163"/>
        <v>89.304517486808919</v>
      </c>
      <c r="X272" s="6">
        <f t="shared" si="164"/>
        <v>0.49886035475406915</v>
      </c>
      <c r="Y272" s="6">
        <f t="shared" si="165"/>
        <v>0.25079225062404437</v>
      </c>
      <c r="Z272" s="6">
        <f t="shared" si="166"/>
        <v>0.74692845888409387</v>
      </c>
      <c r="AA272" s="19">
        <f t="shared" si="167"/>
        <v>714.43613989447135</v>
      </c>
      <c r="AB272">
        <f t="shared" si="168"/>
        <v>721.64108915414045</v>
      </c>
      <c r="AC272">
        <f t="shared" si="169"/>
        <v>0.41027228853511133</v>
      </c>
      <c r="AD272">
        <f t="shared" si="144"/>
        <v>39.869979956446294</v>
      </c>
      <c r="AE272">
        <f t="shared" si="170"/>
        <v>50.130020043553706</v>
      </c>
      <c r="AF272">
        <f t="shared" si="171"/>
        <v>1.3468524063079171E-2</v>
      </c>
      <c r="AG272">
        <f t="shared" si="172"/>
        <v>50.143488567616785</v>
      </c>
      <c r="AH272">
        <f t="shared" si="145"/>
        <v>180.63950925342087</v>
      </c>
      <c r="AK272">
        <f t="shared" si="173"/>
        <v>-3.9576624062646976E-2</v>
      </c>
      <c r="AL272">
        <f t="shared" si="174"/>
        <v>0.99921653850794723</v>
      </c>
      <c r="AM272">
        <f t="shared" si="175"/>
        <v>714</v>
      </c>
      <c r="AN272">
        <f t="shared" si="176"/>
        <v>-357</v>
      </c>
      <c r="AO272">
        <f t="shared" si="177"/>
        <v>357</v>
      </c>
      <c r="AP272" s="16" cm="1">
        <f t="array" ref="AP272">SUMPRODUCT(1362*POWER(0.7,POWER(1/($AI$2*AK272+$AJ$2*AL272*COS(RADIANS(0.25*(_xlfn.SEQUENCE(AO272-AN272,1,AN272+1))))+0.50572*POWER(96.07995-DEGREES(ACOS($AI$2*AK272+$AJ$2*AL272*COS(RADIANS(0.25*(_xlfn.SEQUENCE(AO272-AN272,1,AN272+1)))))),-1.6364)),0.678))*IF(AL272*COS(RADIANS(0.25*(_xlfn.SEQUENCE(AO272-AN272,1,AN272+1))))&gt;0,AL272*COS(RADIANS(0.25*(_xlfn.SEQUENCE(AO272-AN272,1,AN272+1)))),0)/60)</f>
        <v>6081.3888741815963</v>
      </c>
      <c r="AQ272" s="17" cm="1">
        <f t="array" ref="AQ272">SUMPRODUCT(1362*POWER(0.7,POWER(1/($AI$2*AK272+$AJ$2*AL272*COS(RADIANS(0.25*(_xlfn.SEQUENCE(AO272-AN272,1,AN272+1))))+0.50572*POWER(96.07995-DEGREES(ACOS($AI$2*AK272+$AJ$2*AL272*COS(RADIANS(0.25*(_xlfn.SEQUENCE(AO272-AN272,1,AN272+1)))))),-1.6364)),0.678))/60)</f>
        <v>8222.0482071872266</v>
      </c>
      <c r="AR272" s="15">
        <f t="shared" si="178"/>
        <v>1.3520017182413302</v>
      </c>
      <c r="AT272">
        <v>0.48957507538633815</v>
      </c>
      <c r="AU272">
        <v>60.687343659512436</v>
      </c>
      <c r="AV272">
        <v>2.0364454561726166</v>
      </c>
      <c r="AW272">
        <v>764.35178517912175</v>
      </c>
    </row>
    <row r="273" spans="4:49" ht="17" x14ac:dyDescent="0.2">
      <c r="D273" s="1">
        <f t="shared" si="179"/>
        <v>46294</v>
      </c>
      <c r="E273" s="6">
        <f t="shared" si="146"/>
        <v>0.5</v>
      </c>
      <c r="F273" s="2">
        <f t="shared" si="147"/>
        <v>2461313.3333333335</v>
      </c>
      <c r="G273" s="3">
        <f t="shared" si="148"/>
        <v>0.26744239105635836</v>
      </c>
      <c r="I273">
        <f t="shared" si="149"/>
        <v>188.59844489131865</v>
      </c>
      <c r="J273">
        <f t="shared" si="150"/>
        <v>9985.2011843222317</v>
      </c>
      <c r="K273">
        <f t="shared" si="151"/>
        <v>1.6697382461934862E-2</v>
      </c>
      <c r="L273">
        <f t="shared" si="152"/>
        <v>-1.9029969665694015</v>
      </c>
      <c r="M273">
        <f t="shared" si="153"/>
        <v>186.69544792474926</v>
      </c>
      <c r="N273">
        <f t="shared" si="154"/>
        <v>9983.2981873556619</v>
      </c>
      <c r="O273">
        <f t="shared" si="155"/>
        <v>1.0016740978761407</v>
      </c>
      <c r="P273">
        <f t="shared" si="156"/>
        <v>186.69230718778158</v>
      </c>
      <c r="Q273">
        <f t="shared" si="157"/>
        <v>23.435813243595401</v>
      </c>
      <c r="R273">
        <f t="shared" si="158"/>
        <v>23.437978784566877</v>
      </c>
      <c r="S273">
        <f t="shared" si="159"/>
        <v>-173.85545587027752</v>
      </c>
      <c r="T273" s="19">
        <f t="shared" si="160"/>
        <v>-2.6568097306783094</v>
      </c>
      <c r="U273">
        <f t="shared" si="161"/>
        <v>4.3029573482391781E-2</v>
      </c>
      <c r="V273">
        <f t="shared" si="162"/>
        <v>9.7821746449187721</v>
      </c>
      <c r="W273">
        <f t="shared" si="163"/>
        <v>89.004940791489986</v>
      </c>
      <c r="X273" s="6">
        <f t="shared" si="164"/>
        <v>0.49862868427436191</v>
      </c>
      <c r="Y273" s="6">
        <f t="shared" si="165"/>
        <v>0.25139273763133418</v>
      </c>
      <c r="Z273" s="6">
        <f t="shared" si="166"/>
        <v>0.74586463091738975</v>
      </c>
      <c r="AA273" s="19">
        <f t="shared" si="167"/>
        <v>712.03952633191989</v>
      </c>
      <c r="AB273">
        <f t="shared" si="168"/>
        <v>721.97469464491883</v>
      </c>
      <c r="AC273">
        <f t="shared" si="169"/>
        <v>0.49367366122970679</v>
      </c>
      <c r="AD273">
        <f t="shared" si="144"/>
        <v>40.259414402564168</v>
      </c>
      <c r="AE273">
        <f t="shared" si="170"/>
        <v>49.740585597435832</v>
      </c>
      <c r="AF273">
        <f t="shared" si="171"/>
        <v>1.3655332458593477E-2</v>
      </c>
      <c r="AG273">
        <f t="shared" si="172"/>
        <v>49.754240929894422</v>
      </c>
      <c r="AH273">
        <f t="shared" si="145"/>
        <v>180.7630978149852</v>
      </c>
      <c r="AK273">
        <f t="shared" si="173"/>
        <v>-4.6353461818768607E-2</v>
      </c>
      <c r="AL273">
        <f t="shared" si="174"/>
        <v>0.99892510058433104</v>
      </c>
      <c r="AM273">
        <f t="shared" si="175"/>
        <v>712</v>
      </c>
      <c r="AN273">
        <f t="shared" si="176"/>
        <v>-356</v>
      </c>
      <c r="AO273">
        <f t="shared" si="177"/>
        <v>356</v>
      </c>
      <c r="AP273" s="16" cm="1">
        <f t="array" ref="AP273">SUMPRODUCT(1362*POWER(0.7,POWER(1/($AI$2*AK273+$AJ$2*AL273*COS(RADIANS(0.25*(_xlfn.SEQUENCE(AO273-AN273,1,AN273+1))))+0.50572*POWER(96.07995-DEGREES(ACOS($AI$2*AK273+$AJ$2*AL273*COS(RADIANS(0.25*(_xlfn.SEQUENCE(AO273-AN273,1,AN273+1)))))),-1.6364)),0.678))*IF(AL273*COS(RADIANS(0.25*(_xlfn.SEQUENCE(AO273-AN273,1,AN273+1))))&gt;0,AL273*COS(RADIANS(0.25*(_xlfn.SEQUENCE(AO273-AN273,1,AN273+1)))),0)/60)</f>
        <v>6060.750710213807</v>
      </c>
      <c r="AQ273" s="17" cm="1">
        <f t="array" ref="AQ273">SUMPRODUCT(1362*POWER(0.7,POWER(1/($AI$2*AK273+$AJ$2*AL273*COS(RADIANS(0.25*(_xlfn.SEQUENCE(AO273-AN273,1,AN273+1))))+0.50572*POWER(96.07995-DEGREES(ACOS($AI$2*AK273+$AJ$2*AL273*COS(RADIANS(0.25*(_xlfn.SEQUENCE(AO273-AN273,1,AN273+1)))))),-1.6364)),0.678))/60)</f>
        <v>8177.6731454721312</v>
      </c>
      <c r="AR273" s="15">
        <f t="shared" si="178"/>
        <v>1.3492838653948935</v>
      </c>
      <c r="AT273">
        <v>0.48981099474780676</v>
      </c>
      <c r="AU273">
        <v>60.67184043353118</v>
      </c>
      <c r="AV273">
        <v>2.0354719251880726</v>
      </c>
      <c r="AW273">
        <v>764.49492564164132</v>
      </c>
    </row>
    <row r="274" spans="4:49" ht="17" x14ac:dyDescent="0.2">
      <c r="D274" s="1">
        <f t="shared" si="179"/>
        <v>46295</v>
      </c>
      <c r="E274" s="6">
        <f t="shared" si="146"/>
        <v>0.5</v>
      </c>
      <c r="F274" s="2">
        <f t="shared" si="147"/>
        <v>2461314.3333333335</v>
      </c>
      <c r="G274" s="3">
        <f t="shared" si="148"/>
        <v>0.26746976956422969</v>
      </c>
      <c r="I274">
        <f t="shared" si="149"/>
        <v>189.58409225592368</v>
      </c>
      <c r="J274">
        <f t="shared" si="150"/>
        <v>9986.1867846017049</v>
      </c>
      <c r="K274">
        <f t="shared" si="151"/>
        <v>1.6697381309168993E-2</v>
      </c>
      <c r="L274">
        <f t="shared" si="152"/>
        <v>-1.9061438028851245</v>
      </c>
      <c r="M274">
        <f t="shared" si="153"/>
        <v>187.67794845303857</v>
      </c>
      <c r="N274">
        <f t="shared" si="154"/>
        <v>9984.2806407988191</v>
      </c>
      <c r="O274">
        <f t="shared" si="155"/>
        <v>1.0013885191447118</v>
      </c>
      <c r="P274">
        <f t="shared" si="156"/>
        <v>187.67481145202797</v>
      </c>
      <c r="Q274">
        <f t="shared" si="157"/>
        <v>23.43581288756128</v>
      </c>
      <c r="R274">
        <f t="shared" si="158"/>
        <v>23.437977165777998</v>
      </c>
      <c r="S274">
        <f t="shared" si="159"/>
        <v>-172.95177771199803</v>
      </c>
      <c r="T274" s="19">
        <f t="shared" si="160"/>
        <v>-3.045015583794902</v>
      </c>
      <c r="U274">
        <f t="shared" si="161"/>
        <v>4.3029567369485933E-2</v>
      </c>
      <c r="V274">
        <f t="shared" si="162"/>
        <v>10.111602117803045</v>
      </c>
      <c r="W274">
        <f t="shared" si="163"/>
        <v>88.705534565343626</v>
      </c>
      <c r="X274" s="6">
        <f t="shared" si="164"/>
        <v>0.49839991519596999</v>
      </c>
      <c r="Y274" s="6">
        <f t="shared" si="165"/>
        <v>0.25199565251445993</v>
      </c>
      <c r="Z274" s="6">
        <f t="shared" si="166"/>
        <v>0.74480417787747999</v>
      </c>
      <c r="AA274" s="19">
        <f t="shared" si="167"/>
        <v>709.64427652274901</v>
      </c>
      <c r="AB274">
        <f t="shared" si="168"/>
        <v>722.30412211780299</v>
      </c>
      <c r="AC274">
        <f t="shared" si="169"/>
        <v>0.57603052945074751</v>
      </c>
      <c r="AD274">
        <f t="shared" si="144"/>
        <v>40.648532495284094</v>
      </c>
      <c r="AE274">
        <f t="shared" si="170"/>
        <v>49.351467504715906</v>
      </c>
      <c r="AF274">
        <f t="shared" si="171"/>
        <v>1.3844135966089808E-2</v>
      </c>
      <c r="AG274">
        <f t="shared" si="172"/>
        <v>49.365311640681995</v>
      </c>
      <c r="AH274">
        <f t="shared" si="145"/>
        <v>180.88304451289312</v>
      </c>
      <c r="AK274">
        <f t="shared" si="173"/>
        <v>-5.3120533427610458E-2</v>
      </c>
      <c r="AL274">
        <f t="shared" si="174"/>
        <v>0.99858810774431217</v>
      </c>
      <c r="AM274">
        <f t="shared" si="175"/>
        <v>710</v>
      </c>
      <c r="AN274">
        <f t="shared" si="176"/>
        <v>-355</v>
      </c>
      <c r="AO274">
        <f t="shared" si="177"/>
        <v>355</v>
      </c>
      <c r="AP274" s="16" cm="1">
        <f t="array" ref="AP274">SUMPRODUCT(1362*POWER(0.7,POWER(1/($AI$2*AK274+$AJ$2*AL274*COS(RADIANS(0.25*(_xlfn.SEQUENCE(AO274-AN274,1,AN274+1))))+0.50572*POWER(96.07995-DEGREES(ACOS($AI$2*AK274+$AJ$2*AL274*COS(RADIANS(0.25*(_xlfn.SEQUENCE(AO274-AN274,1,AN274+1)))))),-1.6364)),0.678))*IF(AL274*COS(RADIANS(0.25*(_xlfn.SEQUENCE(AO274-AN274,1,AN274+1))))&gt;0,AL274*COS(RADIANS(0.25*(_xlfn.SEQUENCE(AO274-AN274,1,AN274+1)))),0)/60)</f>
        <v>6039.5728753762005</v>
      </c>
      <c r="AQ274" s="17" cm="1">
        <f t="array" ref="AQ274">SUMPRODUCT(1362*POWER(0.7,POWER(1/($AI$2*AK274+$AJ$2*AL274*COS(RADIANS(0.25*(_xlfn.SEQUENCE(AO274-AN274,1,AN274+1))))+0.50572*POWER(96.07995-DEGREES(ACOS($AI$2*AK274+$AJ$2*AL274*COS(RADIANS(0.25*(_xlfn.SEQUENCE(AO274-AN274,1,AN274+1)))))),-1.6364)),0.678))/60)</f>
        <v>8133.1555758863969</v>
      </c>
      <c r="AR274" s="15">
        <f t="shared" si="178"/>
        <v>1.3466441656902415</v>
      </c>
      <c r="AT274">
        <v>0.49003305975952971</v>
      </c>
      <c r="AU274">
        <v>60.657245479997471</v>
      </c>
      <c r="AV274">
        <v>2.0345564107728906</v>
      </c>
      <c r="AW274">
        <v>764.62958037393355</v>
      </c>
    </row>
    <row r="275" spans="4:49" ht="17" x14ac:dyDescent="0.2">
      <c r="D275" s="1">
        <f t="shared" si="179"/>
        <v>46296</v>
      </c>
      <c r="E275" s="6">
        <f t="shared" si="146"/>
        <v>0.5</v>
      </c>
      <c r="F275" s="2">
        <f t="shared" si="147"/>
        <v>2461315.3333333335</v>
      </c>
      <c r="G275" s="3">
        <f t="shared" si="148"/>
        <v>0.26749714807210101</v>
      </c>
      <c r="I275">
        <f t="shared" si="149"/>
        <v>190.56973962052871</v>
      </c>
      <c r="J275">
        <f t="shared" si="150"/>
        <v>9987.172384881178</v>
      </c>
      <c r="K275">
        <f t="shared" si="151"/>
        <v>1.6697380156402934E-2</v>
      </c>
      <c r="L275">
        <f t="shared" si="152"/>
        <v>-1.9087296321987546</v>
      </c>
      <c r="M275">
        <f t="shared" si="153"/>
        <v>188.66100998832997</v>
      </c>
      <c r="N275">
        <f t="shared" si="154"/>
        <v>9985.2636552489785</v>
      </c>
      <c r="O275">
        <f t="shared" si="155"/>
        <v>1.0011024494532159</v>
      </c>
      <c r="P275">
        <f t="shared" si="156"/>
        <v>188.65787672109576</v>
      </c>
      <c r="Q275">
        <f t="shared" si="157"/>
        <v>23.435812531527162</v>
      </c>
      <c r="R275">
        <f t="shared" si="158"/>
        <v>23.437975545140446</v>
      </c>
      <c r="S275">
        <f t="shared" si="159"/>
        <v>-172.04693196324826</v>
      </c>
      <c r="T275" s="19">
        <f t="shared" si="160"/>
        <v>-3.4326857981989489</v>
      </c>
      <c r="U275">
        <f t="shared" si="161"/>
        <v>4.3029561249599578E-2</v>
      </c>
      <c r="V275">
        <f t="shared" si="162"/>
        <v>10.43650804535479</v>
      </c>
      <c r="W275">
        <f t="shared" si="163"/>
        <v>88.406338952365246</v>
      </c>
      <c r="X275" s="6">
        <f t="shared" si="164"/>
        <v>0.49817428607961478</v>
      </c>
      <c r="Y275" s="6">
        <f t="shared" si="165"/>
        <v>0.25260112232304466</v>
      </c>
      <c r="Z275" s="6">
        <f t="shared" si="166"/>
        <v>0.74374744983618502</v>
      </c>
      <c r="AA275" s="19">
        <f t="shared" si="167"/>
        <v>707.25071161892197</v>
      </c>
      <c r="AB275">
        <f t="shared" si="168"/>
        <v>722.62902804535474</v>
      </c>
      <c r="AC275">
        <f t="shared" si="169"/>
        <v>0.65725701133868597</v>
      </c>
      <c r="AD275">
        <f t="shared" si="144"/>
        <v>41.037226987549943</v>
      </c>
      <c r="AE275">
        <f t="shared" si="170"/>
        <v>48.962773012450057</v>
      </c>
      <c r="AF275">
        <f t="shared" si="171"/>
        <v>1.4034931085074543E-2</v>
      </c>
      <c r="AG275">
        <f t="shared" si="172"/>
        <v>48.976807943535135</v>
      </c>
      <c r="AH275">
        <f t="shared" si="145"/>
        <v>180.9993106475921</v>
      </c>
      <c r="AK275">
        <f t="shared" si="173"/>
        <v>-5.9875834558102081E-2</v>
      </c>
      <c r="AL275">
        <f t="shared" si="174"/>
        <v>0.99820583269983487</v>
      </c>
      <c r="AM275">
        <f t="shared" si="175"/>
        <v>707</v>
      </c>
      <c r="AN275">
        <f t="shared" si="176"/>
        <v>-353.5</v>
      </c>
      <c r="AO275">
        <f t="shared" si="177"/>
        <v>353.5</v>
      </c>
      <c r="AP275" s="16" cm="1">
        <f t="array" ref="AP275">SUMPRODUCT(1362*POWER(0.7,POWER(1/($AI$2*AK275+$AJ$2*AL275*COS(RADIANS(0.25*(_xlfn.SEQUENCE(AO275-AN275,1,AN275+1))))+0.50572*POWER(96.07995-DEGREES(ACOS($AI$2*AK275+$AJ$2*AL275*COS(RADIANS(0.25*(_xlfn.SEQUENCE(AO275-AN275,1,AN275+1)))))),-1.6364)),0.678))*IF(AL275*COS(RADIANS(0.25*(_xlfn.SEQUENCE(AO275-AN275,1,AN275+1))))&gt;0,AL275*COS(RADIANS(0.25*(_xlfn.SEQUENCE(AO275-AN275,1,AN275+1)))),0)/60)</f>
        <v>6017.8600260164367</v>
      </c>
      <c r="AQ275" s="17" cm="1">
        <f t="array" ref="AQ275">SUMPRODUCT(1362*POWER(0.7,POWER(1/($AI$2*AK275+$AJ$2*AL275*COS(RADIANS(0.25*(_xlfn.SEQUENCE(AO275-AN275,1,AN275+1))))+0.50572*POWER(96.07995-DEGREES(ACOS($AI$2*AK275+$AJ$2*AL275*COS(RADIANS(0.25*(_xlfn.SEQUENCE(AO275-AN275,1,AN275+1)))))),-1.6364)),0.678))/60)</f>
        <v>8088.3859394895017</v>
      </c>
      <c r="AR275" s="15">
        <f t="shared" si="178"/>
        <v>1.3440634884363809</v>
      </c>
      <c r="AT275">
        <v>0.49024126619370945</v>
      </c>
      <c r="AU275">
        <v>60.643559466034674</v>
      </c>
      <c r="AV275">
        <v>2.033698775782351</v>
      </c>
      <c r="AW275">
        <v>764.75576136598079</v>
      </c>
    </row>
    <row r="276" spans="4:49" ht="17" x14ac:dyDescent="0.2">
      <c r="D276" s="1">
        <f t="shared" si="179"/>
        <v>46297</v>
      </c>
      <c r="E276" s="6">
        <f t="shared" si="146"/>
        <v>0.5</v>
      </c>
      <c r="F276" s="2">
        <f t="shared" si="147"/>
        <v>2461316.3333333335</v>
      </c>
      <c r="G276" s="3">
        <f t="shared" si="148"/>
        <v>0.26752452657997233</v>
      </c>
      <c r="I276">
        <f t="shared" si="149"/>
        <v>191.55538698513374</v>
      </c>
      <c r="J276">
        <f t="shared" si="150"/>
        <v>9988.157985160653</v>
      </c>
      <c r="K276">
        <f t="shared" si="151"/>
        <v>1.6697379003636683E-2</v>
      </c>
      <c r="L276">
        <f t="shared" si="152"/>
        <v>-1.9107530899553364</v>
      </c>
      <c r="M276">
        <f t="shared" si="153"/>
        <v>189.6446338951784</v>
      </c>
      <c r="N276">
        <f t="shared" si="154"/>
        <v>9986.2472320706984</v>
      </c>
      <c r="O276">
        <f t="shared" si="155"/>
        <v>1.0008159727493753</v>
      </c>
      <c r="P276">
        <f t="shared" si="156"/>
        <v>189.64150435953664</v>
      </c>
      <c r="Q276">
        <f t="shared" si="157"/>
        <v>23.435812175493041</v>
      </c>
      <c r="R276">
        <f t="shared" si="158"/>
        <v>23.437973922655289</v>
      </c>
      <c r="S276">
        <f t="shared" si="159"/>
        <v>-171.14083398242116</v>
      </c>
      <c r="T276" s="19">
        <f t="shared" si="160"/>
        <v>-3.8197222245720188</v>
      </c>
      <c r="U276">
        <f t="shared" si="161"/>
        <v>4.3029555122736728E-2</v>
      </c>
      <c r="V276">
        <f t="shared" si="162"/>
        <v>10.756548863971203</v>
      </c>
      <c r="W276">
        <f t="shared" si="163"/>
        <v>88.107394858373354</v>
      </c>
      <c r="X276" s="6">
        <f t="shared" si="164"/>
        <v>0.4979520355111311</v>
      </c>
      <c r="Y276" s="6">
        <f t="shared" si="165"/>
        <v>0.25320927201564958</v>
      </c>
      <c r="Z276" s="6">
        <f t="shared" si="166"/>
        <v>0.74269479900661273</v>
      </c>
      <c r="AA276" s="19">
        <f t="shared" si="167"/>
        <v>704.85915886698683</v>
      </c>
      <c r="AB276">
        <f t="shared" si="168"/>
        <v>722.94906886397121</v>
      </c>
      <c r="AC276">
        <f t="shared" si="169"/>
        <v>0.73726721599280154</v>
      </c>
      <c r="AD276">
        <f t="shared" si="144"/>
        <v>41.425389955437936</v>
      </c>
      <c r="AE276">
        <f t="shared" si="170"/>
        <v>48.574610044562064</v>
      </c>
      <c r="AF276">
        <f t="shared" si="171"/>
        <v>1.4227712878311951E-2</v>
      </c>
      <c r="AG276">
        <f t="shared" si="172"/>
        <v>48.588837757440373</v>
      </c>
      <c r="AH276">
        <f t="shared" si="145"/>
        <v>181.11185938717733</v>
      </c>
      <c r="AK276">
        <f t="shared" si="173"/>
        <v>-6.6617357447909031E-2</v>
      </c>
      <c r="AL276">
        <f t="shared" si="174"/>
        <v>0.99777859652663303</v>
      </c>
      <c r="AM276">
        <f t="shared" si="175"/>
        <v>705</v>
      </c>
      <c r="AN276">
        <f t="shared" si="176"/>
        <v>-352.5</v>
      </c>
      <c r="AO276">
        <f t="shared" si="177"/>
        <v>352.5</v>
      </c>
      <c r="AP276" s="16" cm="1">
        <f t="array" ref="AP276">SUMPRODUCT(1362*POWER(0.7,POWER(1/($AI$2*AK276+$AJ$2*AL276*COS(RADIANS(0.25*(_xlfn.SEQUENCE(AO276-AN276,1,AN276+1))))+0.50572*POWER(96.07995-DEGREES(ACOS($AI$2*AK276+$AJ$2*AL276*COS(RADIANS(0.25*(_xlfn.SEQUENCE(AO276-AN276,1,AN276+1)))))),-1.6364)),0.678))*IF(AL276*COS(RADIANS(0.25*(_xlfn.SEQUENCE(AO276-AN276,1,AN276+1))))&gt;0,AL276*COS(RADIANS(0.25*(_xlfn.SEQUENCE(AO276-AN276,1,AN276+1)))),0)/60)</f>
        <v>5995.6268061392575</v>
      </c>
      <c r="AQ276" s="17" cm="1">
        <f t="array" ref="AQ276">SUMPRODUCT(1362*POWER(0.7,POWER(1/($AI$2*AK276+$AJ$2*AL276*COS(RADIANS(0.25*(_xlfn.SEQUENCE(AO276-AN276,1,AN276+1))))+0.50572*POWER(96.07995-DEGREES(ACOS($AI$2*AK276+$AJ$2*AL276*COS(RADIANS(0.25*(_xlfn.SEQUENCE(AO276-AN276,1,AN276+1)))))),-1.6364)),0.678))/60)</f>
        <v>8043.6145119916937</v>
      </c>
      <c r="AR276" s="15">
        <f t="shared" si="178"/>
        <v>1.3415802504177523</v>
      </c>
      <c r="AT276">
        <v>0.49043561008639547</v>
      </c>
      <c r="AU276">
        <v>60.630783017798393</v>
      </c>
      <c r="AV276">
        <v>2.0328988918859991</v>
      </c>
      <c r="AW276">
        <v>764.87347984461189</v>
      </c>
    </row>
    <row r="277" spans="4:49" ht="17" x14ac:dyDescent="0.2">
      <c r="D277" s="1">
        <f t="shared" si="179"/>
        <v>46298</v>
      </c>
      <c r="E277" s="6">
        <f t="shared" si="146"/>
        <v>0.5</v>
      </c>
      <c r="F277" s="2">
        <f t="shared" si="147"/>
        <v>2461317.3333333335</v>
      </c>
      <c r="G277" s="3">
        <f t="shared" si="148"/>
        <v>0.26755190508784366</v>
      </c>
      <c r="I277">
        <f t="shared" si="149"/>
        <v>192.54103434974058</v>
      </c>
      <c r="J277">
        <f t="shared" si="150"/>
        <v>9989.1435854401243</v>
      </c>
      <c r="K277">
        <f t="shared" si="151"/>
        <v>1.6697377850870245E-2</v>
      </c>
      <c r="L277">
        <f t="shared" si="152"/>
        <v>-1.9122129741383234</v>
      </c>
      <c r="M277">
        <f t="shared" si="153"/>
        <v>190.62882137560226</v>
      </c>
      <c r="N277">
        <f t="shared" si="154"/>
        <v>9987.2313724659853</v>
      </c>
      <c r="O277">
        <f t="shared" si="155"/>
        <v>1.0005291732448804</v>
      </c>
      <c r="P277">
        <f t="shared" si="156"/>
        <v>190.62569556936589</v>
      </c>
      <c r="Q277">
        <f t="shared" si="157"/>
        <v>23.43581181945892</v>
      </c>
      <c r="R277">
        <f t="shared" si="158"/>
        <v>23.437972298323619</v>
      </c>
      <c r="S277">
        <f t="shared" si="159"/>
        <v>-170.23339946066369</v>
      </c>
      <c r="T277" s="19">
        <f t="shared" si="160"/>
        <v>-4.2060262107474458</v>
      </c>
      <c r="U277">
        <f t="shared" si="161"/>
        <v>4.3029548988901503E-2</v>
      </c>
      <c r="V277">
        <f t="shared" si="162"/>
        <v>11.071381210321093</v>
      </c>
      <c r="W277">
        <f t="shared" si="163"/>
        <v>87.808744032329685</v>
      </c>
      <c r="X277" s="6">
        <f t="shared" si="164"/>
        <v>0.497733401937277</v>
      </c>
      <c r="Y277" s="6">
        <f t="shared" si="165"/>
        <v>0.25382022406969451</v>
      </c>
      <c r="Z277" s="6">
        <f t="shared" si="166"/>
        <v>0.74164657980485948</v>
      </c>
      <c r="AA277" s="19">
        <f t="shared" si="167"/>
        <v>702.46995225863748</v>
      </c>
      <c r="AB277">
        <f t="shared" si="168"/>
        <v>723.26390121032114</v>
      </c>
      <c r="AC277">
        <f t="shared" si="169"/>
        <v>0.81597530258028428</v>
      </c>
      <c r="AD277">
        <f t="shared" si="144"/>
        <v>41.81291281662466</v>
      </c>
      <c r="AE277">
        <f t="shared" si="170"/>
        <v>48.18708718337534</v>
      </c>
      <c r="AF277">
        <f t="shared" si="171"/>
        <v>1.4422474861111692E-2</v>
      </c>
      <c r="AG277">
        <f t="shared" si="172"/>
        <v>48.201509658236454</v>
      </c>
      <c r="AH277">
        <f t="shared" si="145"/>
        <v>181.22065573879397</v>
      </c>
      <c r="AK277">
        <f t="shared" si="173"/>
        <v>-7.3343091485493769E-2</v>
      </c>
      <c r="AL277">
        <f t="shared" si="174"/>
        <v>0.99730676871830692</v>
      </c>
      <c r="AM277">
        <f t="shared" si="175"/>
        <v>702</v>
      </c>
      <c r="AN277">
        <f t="shared" si="176"/>
        <v>-351</v>
      </c>
      <c r="AO277">
        <f t="shared" si="177"/>
        <v>351</v>
      </c>
      <c r="AP277" s="16" cm="1">
        <f t="array" ref="AP277">SUMPRODUCT(1362*POWER(0.7,POWER(1/($AI$2*AK277+$AJ$2*AL277*COS(RADIANS(0.25*(_xlfn.SEQUENCE(AO277-AN277,1,AN277+1))))+0.50572*POWER(96.07995-DEGREES(ACOS($AI$2*AK277+$AJ$2*AL277*COS(RADIANS(0.25*(_xlfn.SEQUENCE(AO277-AN277,1,AN277+1)))))),-1.6364)),0.678))*IF(AL277*COS(RADIANS(0.25*(_xlfn.SEQUENCE(AO277-AN277,1,AN277+1))))&gt;0,AL277*COS(RADIANS(0.25*(_xlfn.SEQUENCE(AO277-AN277,1,AN277+1)))),0)/60)</f>
        <v>5972.8748218129977</v>
      </c>
      <c r="AQ277" s="17" cm="1">
        <f t="array" ref="AQ277">SUMPRODUCT(1362*POWER(0.7,POWER(1/($AI$2*AK277+$AJ$2*AL277*COS(RADIANS(0.25*(_xlfn.SEQUENCE(AO277-AN277,1,AN277+1))))+0.50572*POWER(96.07995-DEGREES(ACOS($AI$2*AK277+$AJ$2*AL277*COS(RADIANS(0.25*(_xlfn.SEQUENCE(AO277-AN277,1,AN277+1)))))),-1.6364)),0.678))/60)</f>
        <v>7998.6048519852475</v>
      </c>
      <c r="AR277" s="15">
        <f t="shared" si="178"/>
        <v>1.3391549447469189</v>
      </c>
      <c r="AT277">
        <v>0.49061608773756016</v>
      </c>
      <c r="AU277">
        <v>60.61891672033682</v>
      </c>
      <c r="AV277">
        <v>2.0321566395202333</v>
      </c>
      <c r="AW277">
        <v>764.98274627618639</v>
      </c>
    </row>
    <row r="278" spans="4:49" ht="17" x14ac:dyDescent="0.2">
      <c r="D278" s="1">
        <f t="shared" si="179"/>
        <v>46299</v>
      </c>
      <c r="E278" s="6">
        <f t="shared" si="146"/>
        <v>0.5</v>
      </c>
      <c r="F278" s="2">
        <f t="shared" si="147"/>
        <v>2461318.3333333335</v>
      </c>
      <c r="G278" s="3">
        <f t="shared" si="148"/>
        <v>0.26757928359571492</v>
      </c>
      <c r="I278">
        <f t="shared" si="149"/>
        <v>193.52668171434561</v>
      </c>
      <c r="J278">
        <f t="shared" si="150"/>
        <v>9990.1291857195974</v>
      </c>
      <c r="K278">
        <f t="shared" si="151"/>
        <v>1.6697376698103616E-2</v>
      </c>
      <c r="L278">
        <f t="shared" si="152"/>
        <v>-1.9131082463329512</v>
      </c>
      <c r="M278">
        <f t="shared" si="153"/>
        <v>191.61357346801267</v>
      </c>
      <c r="N278">
        <f t="shared" si="154"/>
        <v>9988.2160774732638</v>
      </c>
      <c r="O278">
        <f t="shared" si="155"/>
        <v>1.000242135391431</v>
      </c>
      <c r="P278">
        <f t="shared" si="156"/>
        <v>191.61045138899138</v>
      </c>
      <c r="Q278">
        <f t="shared" si="157"/>
        <v>23.435811463424802</v>
      </c>
      <c r="R278">
        <f t="shared" si="158"/>
        <v>23.43797067214652</v>
      </c>
      <c r="S278">
        <f t="shared" si="159"/>
        <v>-169.32454448108791</v>
      </c>
      <c r="T278" s="19">
        <f t="shared" si="160"/>
        <v>-4.5914985904474017</v>
      </c>
      <c r="U278">
        <f t="shared" si="161"/>
        <v>4.3029542848097992E-2</v>
      </c>
      <c r="V278">
        <f t="shared" si="162"/>
        <v>11.380662172740646</v>
      </c>
      <c r="W278">
        <f t="shared" si="163"/>
        <v>87.510429147758785</v>
      </c>
      <c r="X278" s="6">
        <f t="shared" si="164"/>
        <v>0.49751862349115233</v>
      </c>
      <c r="Y278" s="6">
        <f t="shared" si="165"/>
        <v>0.25443409808071127</v>
      </c>
      <c r="Z278" s="6">
        <f t="shared" si="166"/>
        <v>0.7406031489015934</v>
      </c>
      <c r="AA278" s="19">
        <f t="shared" si="167"/>
        <v>700.08343318207028</v>
      </c>
      <c r="AB278">
        <f t="shared" si="168"/>
        <v>723.57318217274064</v>
      </c>
      <c r="AC278">
        <f t="shared" si="169"/>
        <v>0.89329554318516102</v>
      </c>
      <c r="AD278">
        <f t="shared" si="144"/>
        <v>42.199686350030973</v>
      </c>
      <c r="AE278">
        <f t="shared" si="170"/>
        <v>47.800313649969027</v>
      </c>
      <c r="AF278">
        <f t="shared" si="171"/>
        <v>1.4619208885800114E-2</v>
      </c>
      <c r="AG278">
        <f t="shared" si="172"/>
        <v>47.814932858854824</v>
      </c>
      <c r="AH278">
        <f t="shared" si="145"/>
        <v>181.3256665258782</v>
      </c>
      <c r="AK278">
        <f t="shared" si="173"/>
        <v>-8.0051023801066712E-2</v>
      </c>
      <c r="AL278">
        <f t="shared" si="174"/>
        <v>0.99679076720663951</v>
      </c>
      <c r="AM278">
        <f t="shared" si="175"/>
        <v>700</v>
      </c>
      <c r="AN278">
        <f t="shared" si="176"/>
        <v>-350</v>
      </c>
      <c r="AO278">
        <f t="shared" si="177"/>
        <v>350</v>
      </c>
      <c r="AP278" s="16" cm="1">
        <f t="array" ref="AP278">SUMPRODUCT(1362*POWER(0.7,POWER(1/($AI$2*AK278+$AJ$2*AL278*COS(RADIANS(0.25*(_xlfn.SEQUENCE(AO278-AN278,1,AN278+1))))+0.50572*POWER(96.07995-DEGREES(ACOS($AI$2*AK278+$AJ$2*AL278*COS(RADIANS(0.25*(_xlfn.SEQUENCE(AO278-AN278,1,AN278+1)))))),-1.6364)),0.678))*IF(AL278*COS(RADIANS(0.25*(_xlfn.SEQUENCE(AO278-AN278,1,AN278+1))))&gt;0,AL278*COS(RADIANS(0.25*(_xlfn.SEQUENCE(AO278-AN278,1,AN278+1)))),0)/60)</f>
        <v>5949.6228095144406</v>
      </c>
      <c r="AQ278" s="17" cm="1">
        <f t="array" ref="AQ278">SUMPRODUCT(1362*POWER(0.7,POWER(1/($AI$2*AK278+$AJ$2*AL278*COS(RADIANS(0.25*(_xlfn.SEQUENCE(AO278-AN278,1,AN278+1))))+0.50572*POWER(96.07995-DEGREES(ACOS($AI$2*AK278+$AJ$2*AL278*COS(RADIANS(0.25*(_xlfn.SEQUENCE(AO278-AN278,1,AN278+1)))))),-1.6364)),0.678))/60)</f>
        <v>7953.6146043208664</v>
      </c>
      <c r="AR278" s="15">
        <f t="shared" si="178"/>
        <v>1.3368266962405932</v>
      </c>
      <c r="AT278">
        <v>0.49078269571116917</v>
      </c>
      <c r="AU278">
        <v>60.60796111745973</v>
      </c>
      <c r="AV278">
        <v>2.0314719078442032</v>
      </c>
      <c r="AW278">
        <v>765.08357036909206</v>
      </c>
    </row>
    <row r="279" spans="4:49" ht="17" x14ac:dyDescent="0.2">
      <c r="D279" s="1">
        <f t="shared" si="179"/>
        <v>46300</v>
      </c>
      <c r="E279" s="6">
        <f t="shared" si="146"/>
        <v>0.5</v>
      </c>
      <c r="F279" s="2">
        <f t="shared" si="147"/>
        <v>2461319.3333333335</v>
      </c>
      <c r="G279" s="3">
        <f t="shared" si="148"/>
        <v>0.26760666210358625</v>
      </c>
      <c r="I279">
        <f t="shared" si="149"/>
        <v>194.51232907895246</v>
      </c>
      <c r="J279">
        <f t="shared" si="150"/>
        <v>9991.1147859990706</v>
      </c>
      <c r="K279">
        <f t="shared" si="151"/>
        <v>1.6697375545336797E-2</v>
      </c>
      <c r="L279">
        <f t="shared" si="152"/>
        <v>-1.9134380327475993</v>
      </c>
      <c r="M279">
        <f t="shared" si="153"/>
        <v>192.59889104620487</v>
      </c>
      <c r="N279">
        <f t="shared" si="154"/>
        <v>9989.2013479663237</v>
      </c>
      <c r="O279">
        <f t="shared" si="155"/>
        <v>0.99995494385655781</v>
      </c>
      <c r="P279">
        <f t="shared" si="156"/>
        <v>192.59577269220523</v>
      </c>
      <c r="Q279">
        <f t="shared" si="157"/>
        <v>23.435811107390684</v>
      </c>
      <c r="R279">
        <f t="shared" si="158"/>
        <v>23.437969044125072</v>
      </c>
      <c r="S279">
        <f t="shared" si="159"/>
        <v>-168.41418557951476</v>
      </c>
      <c r="T279" s="19">
        <f t="shared" si="160"/>
        <v>-4.9760396728492315</v>
      </c>
      <c r="U279">
        <f t="shared" si="161"/>
        <v>4.3029536700330294E-2</v>
      </c>
      <c r="V279">
        <f t="shared" si="162"/>
        <v>11.684049558072136</v>
      </c>
      <c r="W279">
        <f t="shared" si="163"/>
        <v>87.212493884188689</v>
      </c>
      <c r="X279" s="6">
        <f t="shared" si="164"/>
        <v>0.49730793780689436</v>
      </c>
      <c r="Y279" s="6">
        <f t="shared" si="165"/>
        <v>0.25505101035081468</v>
      </c>
      <c r="Z279" s="6">
        <f t="shared" si="166"/>
        <v>0.73956486526297405</v>
      </c>
      <c r="AA279" s="19">
        <f t="shared" si="167"/>
        <v>697.69995107350951</v>
      </c>
      <c r="AB279">
        <f t="shared" si="168"/>
        <v>723.87656955807211</v>
      </c>
      <c r="AC279">
        <f t="shared" si="169"/>
        <v>0.96914238951802645</v>
      </c>
      <c r="AD279">
        <f t="shared" si="144"/>
        <v>42.58560071670405</v>
      </c>
      <c r="AE279">
        <f t="shared" si="170"/>
        <v>47.41439928329595</v>
      </c>
      <c r="AF279">
        <f t="shared" si="171"/>
        <v>1.4817905021336295E-2</v>
      </c>
      <c r="AG279">
        <f t="shared" si="172"/>
        <v>47.429217188317288</v>
      </c>
      <c r="AH279">
        <f t="shared" si="145"/>
        <v>181.42686037094458</v>
      </c>
      <c r="AK279">
        <f t="shared" si="173"/>
        <v>-8.6739139866527037E-2</v>
      </c>
      <c r="AL279">
        <f t="shared" si="174"/>
        <v>0.99623105834701575</v>
      </c>
      <c r="AM279">
        <f t="shared" si="175"/>
        <v>698</v>
      </c>
      <c r="AN279">
        <f t="shared" si="176"/>
        <v>-349</v>
      </c>
      <c r="AO279">
        <f t="shared" si="177"/>
        <v>349</v>
      </c>
      <c r="AP279" s="16" cm="1">
        <f t="array" ref="AP279">SUMPRODUCT(1362*POWER(0.7,POWER(1/($AI$2*AK279+$AJ$2*AL279*COS(RADIANS(0.25*(_xlfn.SEQUENCE(AO279-AN279,1,AN279+1))))+0.50572*POWER(96.07995-DEGREES(ACOS($AI$2*AK279+$AJ$2*AL279*COS(RADIANS(0.25*(_xlfn.SEQUENCE(AO279-AN279,1,AN279+1)))))),-1.6364)),0.678))*IF(AL279*COS(RADIANS(0.25*(_xlfn.SEQUENCE(AO279-AN279,1,AN279+1))))&gt;0,AL279*COS(RADIANS(0.25*(_xlfn.SEQUENCE(AO279-AN279,1,AN279+1)))),0)/60)</f>
        <v>5925.8767759842513</v>
      </c>
      <c r="AQ279" s="17" cm="1">
        <f t="array" ref="AQ279">SUMPRODUCT(1362*POWER(0.7,POWER(1/($AI$2*AK279+$AJ$2*AL279*COS(RADIANS(0.25*(_xlfn.SEQUENCE(AO279-AN279,1,AN279+1))))+0.50572*POWER(96.07995-DEGREES(ACOS($AI$2*AK279+$AJ$2*AL279*COS(RADIANS(0.25*(_xlfn.SEQUENCE(AO279-AN279,1,AN279+1)))))),-1.6364)),0.678))/60)</f>
        <v>7908.5257306430221</v>
      </c>
      <c r="AR279" s="15">
        <f t="shared" si="178"/>
        <v>1.3345747860795611</v>
      </c>
      <c r="AT279">
        <v>0.49093543083524704</v>
      </c>
      <c r="AU279">
        <v>60.597916711616897</v>
      </c>
      <c r="AV279">
        <v>2.0308445946989782</v>
      </c>
      <c r="AW279">
        <v>765.17596107606221</v>
      </c>
    </row>
    <row r="280" spans="4:49" ht="17" x14ac:dyDescent="0.2">
      <c r="D280" s="1">
        <f t="shared" si="179"/>
        <v>46301</v>
      </c>
      <c r="E280" s="6">
        <f t="shared" si="146"/>
        <v>0.5</v>
      </c>
      <c r="F280" s="2">
        <f t="shared" si="147"/>
        <v>2461320.3333333335</v>
      </c>
      <c r="G280" s="3">
        <f t="shared" si="148"/>
        <v>0.26763404061145757</v>
      </c>
      <c r="I280">
        <f t="shared" si="149"/>
        <v>195.49797644355749</v>
      </c>
      <c r="J280">
        <f t="shared" si="150"/>
        <v>9992.1003862785419</v>
      </c>
      <c r="K280">
        <f t="shared" si="151"/>
        <v>1.669737439256979E-2</v>
      </c>
      <c r="L280">
        <f t="shared" si="152"/>
        <v>-1.9132016251920527</v>
      </c>
      <c r="M280">
        <f t="shared" si="153"/>
        <v>193.58477481836545</v>
      </c>
      <c r="N280">
        <f t="shared" si="154"/>
        <v>9990.1871846533504</v>
      </c>
      <c r="O280">
        <f t="shared" si="155"/>
        <v>0.99966768349919677</v>
      </c>
      <c r="P280">
        <f t="shared" si="156"/>
        <v>193.58166018719078</v>
      </c>
      <c r="Q280">
        <f t="shared" si="157"/>
        <v>23.435810751356563</v>
      </c>
      <c r="R280">
        <f t="shared" si="158"/>
        <v>23.437967414260356</v>
      </c>
      <c r="S280">
        <f t="shared" si="159"/>
        <v>-167.50223980688671</v>
      </c>
      <c r="T280" s="19">
        <f t="shared" si="160"/>
        <v>-5.3595492330405312</v>
      </c>
      <c r="U280">
        <f t="shared" si="161"/>
        <v>4.302953054560249E-2</v>
      </c>
      <c r="V280">
        <f t="shared" si="162"/>
        <v>11.981202174320339</v>
      </c>
      <c r="W280">
        <f t="shared" si="163"/>
        <v>86.914983008550351</v>
      </c>
      <c r="X280" s="6">
        <f t="shared" si="164"/>
        <v>0.49710158182338865</v>
      </c>
      <c r="Y280" s="6">
        <f t="shared" si="165"/>
        <v>0.25567107346630435</v>
      </c>
      <c r="Z280" s="6">
        <f t="shared" si="166"/>
        <v>0.73853209018047294</v>
      </c>
      <c r="AA280" s="19">
        <f t="shared" si="167"/>
        <v>695.31986406840281</v>
      </c>
      <c r="AB280">
        <f t="shared" si="168"/>
        <v>724.17372217432035</v>
      </c>
      <c r="AC280">
        <f t="shared" si="169"/>
        <v>1.0434305435800866</v>
      </c>
      <c r="AD280">
        <f t="shared" si="144"/>
        <v>42.970545481966468</v>
      </c>
      <c r="AE280">
        <f t="shared" si="170"/>
        <v>47.029454518033532</v>
      </c>
      <c r="AF280">
        <f t="shared" si="171"/>
        <v>1.5018551428034948E-2</v>
      </c>
      <c r="AG280">
        <f t="shared" si="172"/>
        <v>47.044473069461567</v>
      </c>
      <c r="AH280">
        <f t="shared" si="145"/>
        <v>181.52420768378562</v>
      </c>
      <c r="AK280">
        <f t="shared" si="173"/>
        <v>-9.340542410393643E-2</v>
      </c>
      <c r="AL280">
        <f t="shared" si="174"/>
        <v>0.9956281568677956</v>
      </c>
      <c r="AM280">
        <f t="shared" si="175"/>
        <v>695</v>
      </c>
      <c r="AN280">
        <f t="shared" si="176"/>
        <v>-347.5</v>
      </c>
      <c r="AO280">
        <f t="shared" si="177"/>
        <v>347.5</v>
      </c>
      <c r="AP280" s="16" cm="1">
        <f t="array" ref="AP280">SUMPRODUCT(1362*POWER(0.7,POWER(1/($AI$2*AK280+$AJ$2*AL280*COS(RADIANS(0.25*(_xlfn.SEQUENCE(AO280-AN280,1,AN280+1))))+0.50572*POWER(96.07995-DEGREES(ACOS($AI$2*AK280+$AJ$2*AL280*COS(RADIANS(0.25*(_xlfn.SEQUENCE(AO280-AN280,1,AN280+1)))))),-1.6364)),0.678))*IF(AL280*COS(RADIANS(0.25*(_xlfn.SEQUENCE(AO280-AN280,1,AN280+1))))&gt;0,AL280*COS(RADIANS(0.25*(_xlfn.SEQUENCE(AO280-AN280,1,AN280+1)))),0)/60)</f>
        <v>5901.6413155160108</v>
      </c>
      <c r="AQ280" s="17" cm="1">
        <f t="array" ref="AQ280">SUMPRODUCT(1362*POWER(0.7,POWER(1/($AI$2*AK280+$AJ$2*AL280*COS(RADIANS(0.25*(_xlfn.SEQUENCE(AO280-AN280,1,AN280+1))))+0.50572*POWER(96.07995-DEGREES(ACOS($AI$2*AK280+$AJ$2*AL280*COS(RADIANS(0.25*(_xlfn.SEQUENCE(AO280-AN280,1,AN280+1)))))),-1.6364)),0.678))/60)</f>
        <v>7863.2290142719903</v>
      </c>
      <c r="AR280" s="15">
        <f t="shared" si="178"/>
        <v>1.3323800268238546</v>
      </c>
      <c r="AT280">
        <v>0.49107429020193694</v>
      </c>
      <c r="AU280">
        <v>60.588783963785389</v>
      </c>
      <c r="AV280">
        <v>2.0302746065699702</v>
      </c>
      <c r="AW280">
        <v>765.25992659630754</v>
      </c>
    </row>
    <row r="281" spans="4:49" ht="17" x14ac:dyDescent="0.2">
      <c r="D281" s="1">
        <f t="shared" si="179"/>
        <v>46302</v>
      </c>
      <c r="E281" s="6">
        <f t="shared" si="146"/>
        <v>0.5</v>
      </c>
      <c r="F281" s="2">
        <f t="shared" si="147"/>
        <v>2461321.3333333335</v>
      </c>
      <c r="G281" s="3">
        <f t="shared" si="148"/>
        <v>0.26766141911932889</v>
      </c>
      <c r="I281">
        <f t="shared" si="149"/>
        <v>196.48362380816616</v>
      </c>
      <c r="J281">
        <f t="shared" si="150"/>
        <v>9993.0859865580151</v>
      </c>
      <c r="K281">
        <f t="shared" si="151"/>
        <v>1.6697373239802589E-2</v>
      </c>
      <c r="L281">
        <f t="shared" si="152"/>
        <v>-1.9123984820114797</v>
      </c>
      <c r="M281">
        <f t="shared" si="153"/>
        <v>194.57122532615469</v>
      </c>
      <c r="N281">
        <f t="shared" si="154"/>
        <v>9991.1735880760043</v>
      </c>
      <c r="O281">
        <f t="shared" si="155"/>
        <v>0.99938043934503806</v>
      </c>
      <c r="P281">
        <f t="shared" si="156"/>
        <v>194.56811441560521</v>
      </c>
      <c r="Q281">
        <f t="shared" si="157"/>
        <v>23.435810395322445</v>
      </c>
      <c r="R281">
        <f t="shared" si="158"/>
        <v>23.437965782553473</v>
      </c>
      <c r="S281">
        <f t="shared" si="159"/>
        <v>-166.58862479337984</v>
      </c>
      <c r="T281" s="19">
        <f t="shared" si="160"/>
        <v>-5.7419265034667815</v>
      </c>
      <c r="U281">
        <f t="shared" si="161"/>
        <v>4.3029524383918723E-2</v>
      </c>
      <c r="V281">
        <f t="shared" si="162"/>
        <v>12.271780129445363</v>
      </c>
      <c r="W281">
        <f t="shared" si="163"/>
        <v>86.617942456430157</v>
      </c>
      <c r="X281" s="6">
        <f t="shared" si="164"/>
        <v>0.49689979157677394</v>
      </c>
      <c r="Y281" s="6">
        <f t="shared" si="165"/>
        <v>0.25629439586446795</v>
      </c>
      <c r="Z281" s="6">
        <f t="shared" si="166"/>
        <v>0.73750518728907999</v>
      </c>
      <c r="AA281" s="19">
        <f t="shared" si="167"/>
        <v>692.94353965144126</v>
      </c>
      <c r="AB281">
        <f t="shared" si="168"/>
        <v>724.46430012944529</v>
      </c>
      <c r="AC281">
        <f t="shared" si="169"/>
        <v>1.1160750323613229</v>
      </c>
      <c r="AD281">
        <f t="shared" si="144"/>
        <v>43.354409638898666</v>
      </c>
      <c r="AE281">
        <f t="shared" si="170"/>
        <v>46.645590361101334</v>
      </c>
      <c r="AF281">
        <f t="shared" si="171"/>
        <v>1.5221134227397825E-2</v>
      </c>
      <c r="AG281">
        <f t="shared" si="172"/>
        <v>46.66081149532873</v>
      </c>
      <c r="AH281">
        <f t="shared" si="145"/>
        <v>181.61768065474635</v>
      </c>
      <c r="AK281">
        <f t="shared" si="173"/>
        <v>-0.10004786050279962</v>
      </c>
      <c r="AL281">
        <f t="shared" si="174"/>
        <v>0.99498262578238639</v>
      </c>
      <c r="AM281">
        <f t="shared" si="175"/>
        <v>693</v>
      </c>
      <c r="AN281">
        <f t="shared" si="176"/>
        <v>-346.5</v>
      </c>
      <c r="AO281">
        <f t="shared" si="177"/>
        <v>346.5</v>
      </c>
      <c r="AP281" s="16" cm="1">
        <f t="array" ref="AP281">SUMPRODUCT(1362*POWER(0.7,POWER(1/($AI$2*AK281+$AJ$2*AL281*COS(RADIANS(0.25*(_xlfn.SEQUENCE(AO281-AN281,1,AN281+1))))+0.50572*POWER(96.07995-DEGREES(ACOS($AI$2*AK281+$AJ$2*AL281*COS(RADIANS(0.25*(_xlfn.SEQUENCE(AO281-AN281,1,AN281+1)))))),-1.6364)),0.678))*IF(AL281*COS(RADIANS(0.25*(_xlfn.SEQUENCE(AO281-AN281,1,AN281+1))))&gt;0,AL281*COS(RADIANS(0.25*(_xlfn.SEQUENCE(AO281-AN281,1,AN281+1)))),0)/60)</f>
        <v>5876.9405064899029</v>
      </c>
      <c r="AQ281" s="17" cm="1">
        <f t="array" ref="AQ281">SUMPRODUCT(1362*POWER(0.7,POWER(1/($AI$2*AK281+$AJ$2*AL281*COS(RADIANS(0.25*(_xlfn.SEQUENCE(AO281-AN281,1,AN281+1))))+0.50572*POWER(96.07995-DEGREES(ACOS($AI$2*AK281+$AJ$2*AL281*COS(RADIANS(0.25*(_xlfn.SEQUENCE(AO281-AN281,1,AN281+1)))))),-1.6364)),0.678))/60)</f>
        <v>7817.978094238103</v>
      </c>
      <c r="AR281" s="15">
        <f t="shared" si="178"/>
        <v>1.3302802853975999</v>
      </c>
      <c r="AT281">
        <v>0.49119927116755691</v>
      </c>
      <c r="AU281">
        <v>60.580563293366005</v>
      </c>
      <c r="AV281">
        <v>2.0297618585525679</v>
      </c>
      <c r="AW281">
        <v>765.33547437747029</v>
      </c>
    </row>
    <row r="282" spans="4:49" ht="17" x14ac:dyDescent="0.2">
      <c r="D282" s="1">
        <f t="shared" si="179"/>
        <v>46303</v>
      </c>
      <c r="E282" s="6">
        <f t="shared" si="146"/>
        <v>0.5</v>
      </c>
      <c r="F282" s="2">
        <f t="shared" si="147"/>
        <v>2461322.3333333335</v>
      </c>
      <c r="G282" s="3">
        <f t="shared" si="148"/>
        <v>0.26768879762720021</v>
      </c>
      <c r="I282">
        <f t="shared" si="149"/>
        <v>197.46927117277482</v>
      </c>
      <c r="J282">
        <f t="shared" si="150"/>
        <v>9994.0715868374882</v>
      </c>
      <c r="K282">
        <f t="shared" si="151"/>
        <v>1.66973720870352E-2</v>
      </c>
      <c r="L282">
        <f t="shared" si="152"/>
        <v>-1.9110282289750118</v>
      </c>
      <c r="M282">
        <f t="shared" si="153"/>
        <v>195.55824294379983</v>
      </c>
      <c r="N282">
        <f t="shared" si="154"/>
        <v>9992.1605586085134</v>
      </c>
      <c r="O282">
        <f t="shared" si="155"/>
        <v>0.99909329656166013</v>
      </c>
      <c r="P282">
        <f t="shared" si="156"/>
        <v>195.55513575167251</v>
      </c>
      <c r="Q282">
        <f t="shared" si="157"/>
        <v>23.435810039288327</v>
      </c>
      <c r="R282">
        <f t="shared" si="158"/>
        <v>23.437964149005506</v>
      </c>
      <c r="S282">
        <f t="shared" si="159"/>
        <v>-165.67325881436199</v>
      </c>
      <c r="T282" s="19">
        <f t="shared" si="160"/>
        <v>-6.1230701664272242</v>
      </c>
      <c r="U282">
        <f t="shared" si="161"/>
        <v>4.3029518215283113E-2</v>
      </c>
      <c r="V282">
        <f t="shared" si="162"/>
        <v>12.555445146480604</v>
      </c>
      <c r="W282">
        <f t="shared" si="163"/>
        <v>86.321419413098738</v>
      </c>
      <c r="X282" s="6">
        <f t="shared" si="164"/>
        <v>0.4967028019816106</v>
      </c>
      <c r="Y282" s="6">
        <f t="shared" si="165"/>
        <v>0.25692108138966968</v>
      </c>
      <c r="Z282" s="6">
        <f t="shared" si="166"/>
        <v>0.73648452257355157</v>
      </c>
      <c r="AA282" s="19">
        <f t="shared" si="167"/>
        <v>690.5713553047899</v>
      </c>
      <c r="AB282">
        <f t="shared" si="168"/>
        <v>724.74796514648051</v>
      </c>
      <c r="AC282">
        <f t="shared" si="169"/>
        <v>1.1869912866201275</v>
      </c>
      <c r="AD282">
        <f t="shared" si="144"/>
        <v>43.73708163316887</v>
      </c>
      <c r="AE282">
        <f t="shared" si="170"/>
        <v>46.26291836683113</v>
      </c>
      <c r="AF282">
        <f t="shared" si="171"/>
        <v>1.5425637367051159E-2</v>
      </c>
      <c r="AG282">
        <f t="shared" si="172"/>
        <v>46.278344004198182</v>
      </c>
      <c r="AH282">
        <f t="shared" si="145"/>
        <v>181.70725325288288</v>
      </c>
      <c r="AK282">
        <f t="shared" si="173"/>
        <v>-0.10666443324554779</v>
      </c>
      <c r="AL282">
        <f t="shared" si="174"/>
        <v>0.99429507626277924</v>
      </c>
      <c r="AM282">
        <f t="shared" si="175"/>
        <v>691</v>
      </c>
      <c r="AN282">
        <f t="shared" si="176"/>
        <v>-345.5</v>
      </c>
      <c r="AO282">
        <f t="shared" si="177"/>
        <v>345.5</v>
      </c>
      <c r="AP282" s="16" cm="1">
        <f t="array" ref="AP282">SUMPRODUCT(1362*POWER(0.7,POWER(1/($AI$2*AK282+$AJ$2*AL282*COS(RADIANS(0.25*(_xlfn.SEQUENCE(AO282-AN282,1,AN282+1))))+0.50572*POWER(96.07995-DEGREES(ACOS($AI$2*AK282+$AJ$2*AL282*COS(RADIANS(0.25*(_xlfn.SEQUENCE(AO282-AN282,1,AN282+1)))))),-1.6364)),0.678))*IF(AL282*COS(RADIANS(0.25*(_xlfn.SEQUENCE(AO282-AN282,1,AN282+1))))&gt;0,AL282*COS(RADIANS(0.25*(_xlfn.SEQUENCE(AO282-AN282,1,AN282+1)))),0)/60)</f>
        <v>5851.780382893392</v>
      </c>
      <c r="AQ282" s="17" cm="1">
        <f t="array" ref="AQ282">SUMPRODUCT(1362*POWER(0.7,POWER(1/($AI$2*AK282+$AJ$2*AL282*COS(RADIANS(0.25*(_xlfn.SEQUENCE(AO282-AN282,1,AN282+1))))+0.50572*POWER(96.07995-DEGREES(ACOS($AI$2*AK282+$AJ$2*AL282*COS(RADIANS(0.25*(_xlfn.SEQUENCE(AO282-AN282,1,AN282+1)))))),-1.6364)),0.678))/60)</f>
        <v>7772.6584514086571</v>
      </c>
      <c r="AR282" s="15">
        <f t="shared" si="178"/>
        <v>1.3282553245044193</v>
      </c>
      <c r="AT282">
        <v>0.49131037135264932</v>
      </c>
      <c r="AU282">
        <v>60.573255078089211</v>
      </c>
      <c r="AV282">
        <v>2.0293062743209767</v>
      </c>
      <c r="AW282">
        <v>765.4026111173946</v>
      </c>
    </row>
    <row r="283" spans="4:49" ht="17" x14ac:dyDescent="0.2">
      <c r="D283" s="1">
        <f t="shared" si="179"/>
        <v>46304</v>
      </c>
      <c r="E283" s="6">
        <f t="shared" si="146"/>
        <v>0.5</v>
      </c>
      <c r="F283" s="2">
        <f t="shared" si="147"/>
        <v>2461323.3333333335</v>
      </c>
      <c r="G283" s="3">
        <f t="shared" si="148"/>
        <v>0.26771617613507154</v>
      </c>
      <c r="I283">
        <f t="shared" si="149"/>
        <v>198.45491853738349</v>
      </c>
      <c r="J283">
        <f t="shared" si="150"/>
        <v>9995.0571871169577</v>
      </c>
      <c r="K283">
        <f t="shared" si="151"/>
        <v>1.6697370934267621E-2</v>
      </c>
      <c r="L283">
        <f t="shared" si="152"/>
        <v>-1.9090906601178006</v>
      </c>
      <c r="M283">
        <f t="shared" si="153"/>
        <v>196.54582787726568</v>
      </c>
      <c r="N283">
        <f t="shared" si="154"/>
        <v>9993.14809645684</v>
      </c>
      <c r="O283">
        <f t="shared" si="155"/>
        <v>0.99880634043343997</v>
      </c>
      <c r="P283">
        <f t="shared" si="156"/>
        <v>196.54272440135435</v>
      </c>
      <c r="Q283">
        <f t="shared" si="157"/>
        <v>23.43580968325421</v>
      </c>
      <c r="R283">
        <f t="shared" si="158"/>
        <v>23.437962513617546</v>
      </c>
      <c r="S283">
        <f t="shared" si="159"/>
        <v>-164.75606085821229</v>
      </c>
      <c r="T283" s="19">
        <f t="shared" si="160"/>
        <v>-6.502878347728867</v>
      </c>
      <c r="U283">
        <f t="shared" si="161"/>
        <v>4.3029512039699756E-2</v>
      </c>
      <c r="V283">
        <f t="shared" si="162"/>
        <v>12.831860895109148</v>
      </c>
      <c r="W283">
        <f t="shared" si="163"/>
        <v>86.025462394186547</v>
      </c>
      <c r="X283" s="6">
        <f t="shared" si="164"/>
        <v>0.49651084660061856</v>
      </c>
      <c r="Y283" s="6">
        <f t="shared" si="165"/>
        <v>0.25755122883898923</v>
      </c>
      <c r="Z283" s="6">
        <f t="shared" si="166"/>
        <v>0.73547046436224783</v>
      </c>
      <c r="AA283" s="19">
        <f t="shared" si="167"/>
        <v>688.20369915349238</v>
      </c>
      <c r="AB283">
        <f t="shared" si="168"/>
        <v>725.02438089510906</v>
      </c>
      <c r="AC283">
        <f t="shared" si="169"/>
        <v>1.2560952237772653</v>
      </c>
      <c r="AD283">
        <f t="shared" si="144"/>
        <v>44.118449389271298</v>
      </c>
      <c r="AE283">
        <f t="shared" si="170"/>
        <v>45.881550610728702</v>
      </c>
      <c r="AF283">
        <f t="shared" si="171"/>
        <v>1.5632042480836526E-2</v>
      </c>
      <c r="AG283">
        <f t="shared" si="172"/>
        <v>45.897182653209541</v>
      </c>
      <c r="AH283">
        <f t="shared" si="145"/>
        <v>181.79290122868261</v>
      </c>
      <c r="AK283">
        <f t="shared" si="173"/>
        <v>-0.11325312734152147</v>
      </c>
      <c r="AL283">
        <f t="shared" si="174"/>
        <v>0.99356616747319104</v>
      </c>
      <c r="AM283">
        <f t="shared" si="175"/>
        <v>688</v>
      </c>
      <c r="AN283">
        <f t="shared" si="176"/>
        <v>-344</v>
      </c>
      <c r="AO283">
        <f t="shared" si="177"/>
        <v>344</v>
      </c>
      <c r="AP283" s="16" cm="1">
        <f t="array" ref="AP283">SUMPRODUCT(1362*POWER(0.7,POWER(1/($AI$2*AK283+$AJ$2*AL283*COS(RADIANS(0.25*(_xlfn.SEQUENCE(AO283-AN283,1,AN283+1))))+0.50572*POWER(96.07995-DEGREES(ACOS($AI$2*AK283+$AJ$2*AL283*COS(RADIANS(0.25*(_xlfn.SEQUENCE(AO283-AN283,1,AN283+1)))))),-1.6364)),0.678))*IF(AL283*COS(RADIANS(0.25*(_xlfn.SEQUENCE(AO283-AN283,1,AN283+1))))&gt;0,AL283*COS(RADIANS(0.25*(_xlfn.SEQUENCE(AO283-AN283,1,AN283+1)))),0)/60)</f>
        <v>5826.1656957901587</v>
      </c>
      <c r="AQ283" s="17" cm="1">
        <f t="array" ref="AQ283">SUMPRODUCT(1362*POWER(0.7,POWER(1/($AI$2*AK283+$AJ$2*AL283*COS(RADIANS(0.25*(_xlfn.SEQUENCE(AO283-AN283,1,AN283+1))))+0.50572*POWER(96.07995-DEGREES(ACOS($AI$2*AK283+$AJ$2*AL283*COS(RADIANS(0.25*(_xlfn.SEQUENCE(AO283-AN283,1,AN283+1)))))),-1.6364)),0.678))/60)</f>
        <v>7727.1635593808805</v>
      </c>
      <c r="AR283" s="15">
        <f t="shared" si="178"/>
        <v>1.3262862683367098</v>
      </c>
      <c r="AT283">
        <v>0.49140758864202694</v>
      </c>
      <c r="AU283">
        <v>60.566859653930052</v>
      </c>
      <c r="AV283">
        <v>2.0289077861002296</v>
      </c>
      <c r="AW283">
        <v>765.46134276572047</v>
      </c>
    </row>
    <row r="284" spans="4:49" ht="17" x14ac:dyDescent="0.2">
      <c r="D284" s="1">
        <f t="shared" si="179"/>
        <v>46305</v>
      </c>
      <c r="E284" s="6">
        <f t="shared" si="146"/>
        <v>0.5</v>
      </c>
      <c r="F284" s="2">
        <f t="shared" si="147"/>
        <v>2461324.3333333335</v>
      </c>
      <c r="G284" s="3">
        <f t="shared" si="148"/>
        <v>0.26774355464294286</v>
      </c>
      <c r="I284">
        <f t="shared" si="149"/>
        <v>199.44056590199398</v>
      </c>
      <c r="J284">
        <f t="shared" si="150"/>
        <v>9996.0427873964309</v>
      </c>
      <c r="K284">
        <f t="shared" si="151"/>
        <v>1.6697369781499855E-2</v>
      </c>
      <c r="L284">
        <f t="shared" si="152"/>
        <v>-1.906585738535338</v>
      </c>
      <c r="M284">
        <f t="shared" si="153"/>
        <v>197.53398016345864</v>
      </c>
      <c r="N284">
        <f t="shared" si="154"/>
        <v>9994.1362016578951</v>
      </c>
      <c r="O284">
        <f t="shared" si="155"/>
        <v>0.9985196563362585</v>
      </c>
      <c r="P284">
        <f t="shared" si="156"/>
        <v>197.53088040155396</v>
      </c>
      <c r="Q284">
        <f t="shared" si="157"/>
        <v>23.435809327220095</v>
      </c>
      <c r="R284">
        <f t="shared" si="158"/>
        <v>23.43796087639069</v>
      </c>
      <c r="S284">
        <f t="shared" si="159"/>
        <v>-163.8369506961204</v>
      </c>
      <c r="T284" s="19">
        <f t="shared" si="160"/>
        <v>-6.8812486115657041</v>
      </c>
      <c r="U284">
        <f t="shared" si="161"/>
        <v>4.3029505857172821E-2</v>
      </c>
      <c r="V284">
        <f t="shared" si="162"/>
        <v>13.100693339700197</v>
      </c>
      <c r="W284">
        <f t="shared" si="163"/>
        <v>85.730121325899461</v>
      </c>
      <c r="X284" s="6">
        <f t="shared" si="164"/>
        <v>0.49632415740298591</v>
      </c>
      <c r="Y284" s="6">
        <f t="shared" si="165"/>
        <v>0.25818493149770966</v>
      </c>
      <c r="Z284" s="6">
        <f t="shared" si="166"/>
        <v>0.73446338330826222</v>
      </c>
      <c r="AA284" s="19">
        <f t="shared" si="167"/>
        <v>685.84097060719569</v>
      </c>
      <c r="AB284">
        <f t="shared" si="168"/>
        <v>725.29321333970029</v>
      </c>
      <c r="AC284">
        <f t="shared" si="169"/>
        <v>1.3233033349250718</v>
      </c>
      <c r="AD284">
        <f t="shared" si="144"/>
        <v>44.498400338184581</v>
      </c>
      <c r="AE284">
        <f t="shared" si="170"/>
        <v>45.501599661815419</v>
      </c>
      <c r="AF284">
        <f t="shared" si="171"/>
        <v>1.5840328744105237E-2</v>
      </c>
      <c r="AG284">
        <f t="shared" si="172"/>
        <v>45.517439990559524</v>
      </c>
      <c r="AH284">
        <f t="shared" si="145"/>
        <v>181.87460212106024</v>
      </c>
      <c r="AK284">
        <f t="shared" si="173"/>
        <v>-0.11981192926896531</v>
      </c>
      <c r="AL284">
        <f t="shared" si="174"/>
        <v>0.99279660636247569</v>
      </c>
      <c r="AM284">
        <f t="shared" si="175"/>
        <v>686</v>
      </c>
      <c r="AN284">
        <f t="shared" si="176"/>
        <v>-343</v>
      </c>
      <c r="AO284">
        <f t="shared" si="177"/>
        <v>343</v>
      </c>
      <c r="AP284" s="16" cm="1">
        <f t="array" ref="AP284">SUMPRODUCT(1362*POWER(0.7,POWER(1/($AI$2*AK284+$AJ$2*AL284*COS(RADIANS(0.25*(_xlfn.SEQUENCE(AO284-AN284,1,AN284+1))))+0.50572*POWER(96.07995-DEGREES(ACOS($AI$2*AK284+$AJ$2*AL284*COS(RADIANS(0.25*(_xlfn.SEQUENCE(AO284-AN284,1,AN284+1)))))),-1.6364)),0.678))*IF(AL284*COS(RADIANS(0.25*(_xlfn.SEQUENCE(AO284-AN284,1,AN284+1))))&gt;0,AL284*COS(RADIANS(0.25*(_xlfn.SEQUENCE(AO284-AN284,1,AN284+1)))),0)/60)</f>
        <v>5800.1257559449341</v>
      </c>
      <c r="AQ284" s="17" cm="1">
        <f t="array" ref="AQ284">SUMPRODUCT(1362*POWER(0.7,POWER(1/($AI$2*AK284+$AJ$2*AL284*COS(RADIANS(0.25*(_xlfn.SEQUENCE(AO284-AN284,1,AN284+1))))+0.50572*POWER(96.07995-DEGREES(ACOS($AI$2*AK284+$AJ$2*AL284*COS(RADIANS(0.25*(_xlfn.SEQUENCE(AO284-AN284,1,AN284+1)))))),-1.6364)),0.678))/60)</f>
        <v>7681.7442514008053</v>
      </c>
      <c r="AR284" s="15">
        <f t="shared" si="178"/>
        <v>1.3244099480993623</v>
      </c>
      <c r="AT284">
        <v>0.49149092118481263</v>
      </c>
      <c r="AU284">
        <v>60.561377315032601</v>
      </c>
      <c r="AV284">
        <v>2.0285663346413592</v>
      </c>
      <c r="AW284">
        <v>765.51167452529717</v>
      </c>
    </row>
    <row r="285" spans="4:49" ht="17" x14ac:dyDescent="0.2">
      <c r="D285" s="1">
        <f t="shared" si="179"/>
        <v>46306</v>
      </c>
      <c r="E285" s="6">
        <f t="shared" si="146"/>
        <v>0.5</v>
      </c>
      <c r="F285" s="2">
        <f t="shared" si="147"/>
        <v>2461325.3333333335</v>
      </c>
      <c r="G285" s="3">
        <f t="shared" si="148"/>
        <v>0.26777093315081418</v>
      </c>
      <c r="I285">
        <f t="shared" si="149"/>
        <v>200.42621326660264</v>
      </c>
      <c r="J285">
        <f t="shared" si="150"/>
        <v>9997.0283876759004</v>
      </c>
      <c r="K285">
        <f t="shared" si="151"/>
        <v>1.6697368628731897E-2</v>
      </c>
      <c r="L285">
        <f t="shared" si="152"/>
        <v>-1.9035135971290971</v>
      </c>
      <c r="M285">
        <f t="shared" si="153"/>
        <v>198.52269966947355</v>
      </c>
      <c r="N285">
        <f t="shared" si="154"/>
        <v>9995.1248740787705</v>
      </c>
      <c r="O285">
        <f t="shared" si="155"/>
        <v>0.99823332971200573</v>
      </c>
      <c r="P285">
        <f t="shared" si="156"/>
        <v>198.51960361936298</v>
      </c>
      <c r="Q285">
        <f t="shared" si="157"/>
        <v>23.435808971185978</v>
      </c>
      <c r="R285">
        <f t="shared" si="158"/>
        <v>23.437959237326023</v>
      </c>
      <c r="S285">
        <f t="shared" si="159"/>
        <v>-162.91584895392339</v>
      </c>
      <c r="T285" s="19">
        <f t="shared" si="160"/>
        <v>-7.258077956713664</v>
      </c>
      <c r="U285">
        <f t="shared" si="161"/>
        <v>4.3029499667706361E-2</v>
      </c>
      <c r="V285">
        <f t="shared" si="162"/>
        <v>13.361611103724696</v>
      </c>
      <c r="W285">
        <f t="shared" si="163"/>
        <v>85.435447624637575</v>
      </c>
      <c r="X285" s="6">
        <f t="shared" si="164"/>
        <v>0.49614296451130224</v>
      </c>
      <c r="Y285" s="6">
        <f t="shared" si="165"/>
        <v>0.25882227666508673</v>
      </c>
      <c r="Z285" s="6">
        <f t="shared" si="166"/>
        <v>0.73346365235751765</v>
      </c>
      <c r="AA285" s="19">
        <f t="shared" si="167"/>
        <v>683.4835809971006</v>
      </c>
      <c r="AB285">
        <f t="shared" si="168"/>
        <v>725.55413110372479</v>
      </c>
      <c r="AC285">
        <f t="shared" si="169"/>
        <v>1.3885327759311963</v>
      </c>
      <c r="AD285">
        <f t="shared" si="144"/>
        <v>44.876821446479369</v>
      </c>
      <c r="AE285">
        <f t="shared" si="170"/>
        <v>45.123178553520631</v>
      </c>
      <c r="AF285">
        <f t="shared" si="171"/>
        <v>1.6050472724306243E-2</v>
      </c>
      <c r="AG285">
        <f t="shared" si="172"/>
        <v>45.139229026244941</v>
      </c>
      <c r="AH285">
        <f t="shared" si="145"/>
        <v>181.95233526832251</v>
      </c>
      <c r="AK285">
        <f t="shared" si="173"/>
        <v>-0.12633882762491325</v>
      </c>
      <c r="AL285">
        <f t="shared" si="174"/>
        <v>0.99198714741389793</v>
      </c>
      <c r="AM285">
        <f t="shared" si="175"/>
        <v>683</v>
      </c>
      <c r="AN285">
        <f t="shared" si="176"/>
        <v>-341.5</v>
      </c>
      <c r="AO285">
        <f t="shared" si="177"/>
        <v>341.5</v>
      </c>
      <c r="AP285" s="16" cm="1">
        <f t="array" ref="AP285">SUMPRODUCT(1362*POWER(0.7,POWER(1/($AI$2*AK285+$AJ$2*AL285*COS(RADIANS(0.25*(_xlfn.SEQUENCE(AO285-AN285,1,AN285+1))))+0.50572*POWER(96.07995-DEGREES(ACOS($AI$2*AK285+$AJ$2*AL285*COS(RADIANS(0.25*(_xlfn.SEQUENCE(AO285-AN285,1,AN285+1)))))),-1.6364)),0.678))*IF(AL285*COS(RADIANS(0.25*(_xlfn.SEQUENCE(AO285-AN285,1,AN285+1))))&gt;0,AL285*COS(RADIANS(0.25*(_xlfn.SEQUENCE(AO285-AN285,1,AN285+1)))),0)/60)</f>
        <v>5773.6570465715413</v>
      </c>
      <c r="AQ285" s="17" cm="1">
        <f t="array" ref="AQ285">SUMPRODUCT(1362*POWER(0.7,POWER(1/($AI$2*AK285+$AJ$2*AL285*COS(RADIANS(0.25*(_xlfn.SEQUENCE(AO285-AN285,1,AN285+1))))+0.50572*POWER(96.07995-DEGREES(ACOS($AI$2*AK285+$AJ$2*AL285*COS(RADIANS(0.25*(_xlfn.SEQUENCE(AO285-AN285,1,AN285+1)))))),-1.6364)),0.678))/60)</f>
        <v>7636.167558939017</v>
      </c>
      <c r="AR285" s="15">
        <f t="shared" si="178"/>
        <v>1.3225876593195736</v>
      </c>
      <c r="AT285">
        <v>0.49156036739447484</v>
      </c>
      <c r="AU285">
        <v>60.556808313643671</v>
      </c>
      <c r="AV285">
        <v>2.0282818691997067</v>
      </c>
      <c r="AW285">
        <v>765.55361085341883</v>
      </c>
    </row>
    <row r="286" spans="4:49" ht="17" x14ac:dyDescent="0.2">
      <c r="D286" s="1">
        <f t="shared" si="179"/>
        <v>46307</v>
      </c>
      <c r="E286" s="6">
        <f t="shared" si="146"/>
        <v>0.5</v>
      </c>
      <c r="F286" s="2">
        <f t="shared" si="147"/>
        <v>2461326.3333333335</v>
      </c>
      <c r="G286" s="3">
        <f t="shared" si="148"/>
        <v>0.26779831165868551</v>
      </c>
      <c r="I286">
        <f t="shared" si="149"/>
        <v>201.41186063121313</v>
      </c>
      <c r="J286">
        <f t="shared" si="150"/>
        <v>9998.0139879553717</v>
      </c>
      <c r="K286">
        <f t="shared" si="151"/>
        <v>1.6697367475963749E-2</v>
      </c>
      <c r="L286">
        <f t="shared" si="152"/>
        <v>-1.8998745393020746</v>
      </c>
      <c r="M286">
        <f t="shared" si="153"/>
        <v>199.51198609191107</v>
      </c>
      <c r="N286">
        <f t="shared" si="154"/>
        <v>9996.1141134160698</v>
      </c>
      <c r="O286">
        <f t="shared" si="155"/>
        <v>0.99794744604288266</v>
      </c>
      <c r="P286">
        <f t="shared" si="156"/>
        <v>199.50889375137891</v>
      </c>
      <c r="Q286">
        <f t="shared" si="157"/>
        <v>23.43580861515186</v>
      </c>
      <c r="R286">
        <f t="shared" si="158"/>
        <v>23.437957596424649</v>
      </c>
      <c r="S286">
        <f t="shared" si="159"/>
        <v>-161.99267718601948</v>
      </c>
      <c r="T286" s="19">
        <f t="shared" si="160"/>
        <v>-7.6332628141398748</v>
      </c>
      <c r="U286">
        <f t="shared" si="161"/>
        <v>4.3029493471304608E-2</v>
      </c>
      <c r="V286">
        <f t="shared" si="162"/>
        <v>13.614285850370219</v>
      </c>
      <c r="W286">
        <f t="shared" si="163"/>
        <v>85.141494275861376</v>
      </c>
      <c r="X286" s="6">
        <f t="shared" si="164"/>
        <v>0.49596749593724293</v>
      </c>
      <c r="Y286" s="6">
        <f t="shared" si="165"/>
        <v>0.25946334517096131</v>
      </c>
      <c r="Z286" s="6">
        <f t="shared" si="166"/>
        <v>0.73247164670352449</v>
      </c>
      <c r="AA286" s="19">
        <f t="shared" si="167"/>
        <v>681.13195420689101</v>
      </c>
      <c r="AB286">
        <f t="shared" si="168"/>
        <v>725.80680585037021</v>
      </c>
      <c r="AC286">
        <f t="shared" si="169"/>
        <v>1.4517014625925526</v>
      </c>
      <c r="AD286">
        <f t="shared" si="144"/>
        <v>45.253599246904777</v>
      </c>
      <c r="AE286">
        <f t="shared" si="170"/>
        <v>44.746400753095223</v>
      </c>
      <c r="AF286">
        <f t="shared" si="171"/>
        <v>1.6262448226992542E-2</v>
      </c>
      <c r="AG286">
        <f t="shared" si="172"/>
        <v>44.762663201322212</v>
      </c>
      <c r="AH286">
        <f t="shared" si="145"/>
        <v>182.02608182277601</v>
      </c>
      <c r="AK286">
        <f t="shared" si="173"/>
        <v>-0.13283181378294312</v>
      </c>
      <c r="AL286">
        <f t="shared" si="174"/>
        <v>0.99113859235080415</v>
      </c>
      <c r="AM286">
        <f t="shared" si="175"/>
        <v>681</v>
      </c>
      <c r="AN286">
        <f t="shared" si="176"/>
        <v>-340.5</v>
      </c>
      <c r="AO286">
        <f t="shared" si="177"/>
        <v>340.5</v>
      </c>
      <c r="AP286" s="16" cm="1">
        <f t="array" ref="AP286">SUMPRODUCT(1362*POWER(0.7,POWER(1/($AI$2*AK286+$AJ$2*AL286*COS(RADIANS(0.25*(_xlfn.SEQUENCE(AO286-AN286,1,AN286+1))))+0.50572*POWER(96.07995-DEGREES(ACOS($AI$2*AK286+$AJ$2*AL286*COS(RADIANS(0.25*(_xlfn.SEQUENCE(AO286-AN286,1,AN286+1)))))),-1.6364)),0.678))*IF(AL286*COS(RADIANS(0.25*(_xlfn.SEQUENCE(AO286-AN286,1,AN286+1))))&gt;0,AL286*COS(RADIANS(0.25*(_xlfn.SEQUENCE(AO286-AN286,1,AN286+1)))),0)/60)</f>
        <v>5746.7932970443371</v>
      </c>
      <c r="AQ286" s="17" cm="1">
        <f t="array" ref="AQ286">SUMPRODUCT(1362*POWER(0.7,POWER(1/($AI$2*AK286+$AJ$2*AL286*COS(RADIANS(0.25*(_xlfn.SEQUENCE(AO286-AN286,1,AN286+1))))+0.50572*POWER(96.07995-DEGREES(ACOS($AI$2*AK286+$AJ$2*AL286*COS(RADIANS(0.25*(_xlfn.SEQUENCE(AO286-AN286,1,AN286+1)))))),-1.6364)),0.678))/60)</f>
        <v>7590.6935536763121</v>
      </c>
      <c r="AR286" s="15">
        <f t="shared" si="178"/>
        <v>1.3208572435657848</v>
      </c>
      <c r="AT286">
        <v>0.49161592594885795</v>
      </c>
      <c r="AU286">
        <v>60.553152860055924</v>
      </c>
      <c r="AV286">
        <v>2.0280543475163597</v>
      </c>
      <c r="AW286">
        <v>765.58715546288261</v>
      </c>
    </row>
    <row r="287" spans="4:49" ht="17" x14ac:dyDescent="0.2">
      <c r="D287" s="1">
        <f t="shared" si="179"/>
        <v>46308</v>
      </c>
      <c r="E287" s="6">
        <f t="shared" si="146"/>
        <v>0.5</v>
      </c>
      <c r="F287" s="2">
        <f t="shared" si="147"/>
        <v>2461327.3333333335</v>
      </c>
      <c r="G287" s="3">
        <f t="shared" si="148"/>
        <v>0.26782569016655683</v>
      </c>
      <c r="I287">
        <f t="shared" si="149"/>
        <v>202.39750799582362</v>
      </c>
      <c r="J287">
        <f t="shared" si="150"/>
        <v>9998.9995882348449</v>
      </c>
      <c r="K287">
        <f t="shared" si="151"/>
        <v>1.669736632319541E-2</v>
      </c>
      <c r="L287">
        <f t="shared" si="152"/>
        <v>-1.8956690396034719</v>
      </c>
      <c r="M287">
        <f t="shared" si="153"/>
        <v>200.50183895622015</v>
      </c>
      <c r="N287">
        <f t="shared" si="154"/>
        <v>9997.1039191952423</v>
      </c>
      <c r="O287">
        <f t="shared" si="155"/>
        <v>0.99766209082552626</v>
      </c>
      <c r="P287">
        <f t="shared" si="156"/>
        <v>200.49875032304757</v>
      </c>
      <c r="Q287">
        <f t="shared" si="157"/>
        <v>23.435808259117746</v>
      </c>
      <c r="R287">
        <f t="shared" si="158"/>
        <v>23.437955953687666</v>
      </c>
      <c r="S287">
        <f t="shared" si="159"/>
        <v>-161.06735795145494</v>
      </c>
      <c r="T287" s="19">
        <f t="shared" si="160"/>
        <v>-8.0066990460982392</v>
      </c>
      <c r="U287">
        <f t="shared" si="161"/>
        <v>4.3029487267971671E-2</v>
      </c>
      <c r="V287">
        <f t="shared" si="162"/>
        <v>13.858392679054544</v>
      </c>
      <c r="W287">
        <f t="shared" si="163"/>
        <v>84.848315912056918</v>
      </c>
      <c r="X287" s="6">
        <f t="shared" si="164"/>
        <v>0.49579797730621211</v>
      </c>
      <c r="Y287" s="6">
        <f t="shared" si="165"/>
        <v>0.26010821088383174</v>
      </c>
      <c r="Z287" s="6">
        <f t="shared" si="166"/>
        <v>0.73148774372859249</v>
      </c>
      <c r="AA287" s="19">
        <f t="shared" si="167"/>
        <v>678.78652729645535</v>
      </c>
      <c r="AB287">
        <f t="shared" si="168"/>
        <v>726.05091267905459</v>
      </c>
      <c r="AC287">
        <f t="shared" si="169"/>
        <v>1.5127281697636477</v>
      </c>
      <c r="AD287">
        <f t="shared" si="144"/>
        <v>45.628619870450102</v>
      </c>
      <c r="AE287">
        <f t="shared" si="170"/>
        <v>44.371380129549898</v>
      </c>
      <c r="AF287">
        <f t="shared" si="171"/>
        <v>1.6476226137390072E-2</v>
      </c>
      <c r="AG287">
        <f t="shared" si="172"/>
        <v>44.38785635568729</v>
      </c>
      <c r="AH287">
        <f t="shared" si="145"/>
        <v>182.09582476863932</v>
      </c>
      <c r="AK287">
        <f t="shared" si="173"/>
        <v>-0.13928888255827995</v>
      </c>
      <c r="AL287">
        <f t="shared" si="174"/>
        <v>0.99025178979674944</v>
      </c>
      <c r="AM287">
        <f t="shared" si="175"/>
        <v>679</v>
      </c>
      <c r="AN287">
        <f t="shared" si="176"/>
        <v>-339.5</v>
      </c>
      <c r="AO287">
        <f t="shared" si="177"/>
        <v>339.5</v>
      </c>
      <c r="AP287" s="16" cm="1">
        <f t="array" ref="AP287">SUMPRODUCT(1362*POWER(0.7,POWER(1/($AI$2*AK287+$AJ$2*AL287*COS(RADIANS(0.25*(_xlfn.SEQUENCE(AO287-AN287,1,AN287+1))))+0.50572*POWER(96.07995-DEGREES(ACOS($AI$2*AK287+$AJ$2*AL287*COS(RADIANS(0.25*(_xlfn.SEQUENCE(AO287-AN287,1,AN287+1)))))),-1.6364)),0.678))*IF(AL287*COS(RADIANS(0.25*(_xlfn.SEQUENCE(AO287-AN287,1,AN287+1))))&gt;0,AL287*COS(RADIANS(0.25*(_xlfn.SEQUENCE(AO287-AN287,1,AN287+1)))),0)/60)</f>
        <v>5719.540154791599</v>
      </c>
      <c r="AQ287" s="17" cm="1">
        <f t="array" ref="AQ287">SUMPRODUCT(1362*POWER(0.7,POWER(1/($AI$2*AK287+$AJ$2*AL287*COS(RADIANS(0.25*(_xlfn.SEQUENCE(AO287-AN287,1,AN287+1))))+0.50572*POWER(96.07995-DEGREES(ACOS($AI$2*AK287+$AJ$2*AL287*COS(RADIANS(0.25*(_xlfn.SEQUENCE(AO287-AN287,1,AN287+1)))))),-1.6364)),0.678))/60)</f>
        <v>7545.2071960476142</v>
      </c>
      <c r="AR287" s="15">
        <f t="shared" si="178"/>
        <v>1.3191982208091582</v>
      </c>
      <c r="AT287">
        <v>0.49165759579020729</v>
      </c>
      <c r="AU287">
        <v>60.550411122560483</v>
      </c>
      <c r="AV287">
        <v>2.0278837358027006</v>
      </c>
      <c r="AW287">
        <v>765.61231132287037</v>
      </c>
    </row>
    <row r="288" spans="4:49" ht="17" x14ac:dyDescent="0.2">
      <c r="D288" s="1">
        <f t="shared" si="179"/>
        <v>46309</v>
      </c>
      <c r="E288" s="6">
        <f t="shared" si="146"/>
        <v>0.5</v>
      </c>
      <c r="F288" s="2">
        <f t="shared" si="147"/>
        <v>2461328.3333333335</v>
      </c>
      <c r="G288" s="3">
        <f t="shared" si="148"/>
        <v>0.26785306867442815</v>
      </c>
      <c r="I288">
        <f t="shared" si="149"/>
        <v>203.38315536043592</v>
      </c>
      <c r="J288">
        <f t="shared" si="150"/>
        <v>9999.9851885143144</v>
      </c>
      <c r="K288">
        <f t="shared" si="151"/>
        <v>1.669736517042688E-2</v>
      </c>
      <c r="L288">
        <f t="shared" si="152"/>
        <v>-1.8908977443211081</v>
      </c>
      <c r="M288">
        <f t="shared" si="153"/>
        <v>201.49225761611481</v>
      </c>
      <c r="N288">
        <f t="shared" si="154"/>
        <v>9998.0942907699937</v>
      </c>
      <c r="O288">
        <f t="shared" si="155"/>
        <v>0.99737734954494539</v>
      </c>
      <c r="P288">
        <f t="shared" si="156"/>
        <v>201.48917268807975</v>
      </c>
      <c r="Q288">
        <f t="shared" si="157"/>
        <v>23.435807903083628</v>
      </c>
      <c r="R288">
        <f t="shared" si="158"/>
        <v>23.437954309116165</v>
      </c>
      <c r="S288">
        <f t="shared" si="159"/>
        <v>-160.1398148921883</v>
      </c>
      <c r="T288" s="19">
        <f t="shared" si="160"/>
        <v>-8.3782819468209517</v>
      </c>
      <c r="U288">
        <f t="shared" si="161"/>
        <v>4.302948105771167E-2</v>
      </c>
      <c r="V288">
        <f t="shared" si="162"/>
        <v>14.093610537457597</v>
      </c>
      <c r="W288">
        <f t="shared" si="163"/>
        <v>84.555968889607726</v>
      </c>
      <c r="X288" s="6">
        <f t="shared" si="164"/>
        <v>0.49563463157120996</v>
      </c>
      <c r="Y288" s="6">
        <f t="shared" si="165"/>
        <v>0.2607569402111885</v>
      </c>
      <c r="Z288" s="6">
        <f t="shared" si="166"/>
        <v>0.73051232293123136</v>
      </c>
      <c r="AA288" s="19">
        <f t="shared" si="167"/>
        <v>676.44775111686181</v>
      </c>
      <c r="AB288">
        <f t="shared" si="168"/>
        <v>726.28613053745767</v>
      </c>
      <c r="AC288">
        <f t="shared" si="169"/>
        <v>1.5715326343644165</v>
      </c>
      <c r="AD288">
        <f t="shared" si="144"/>
        <v>46.001769079908797</v>
      </c>
      <c r="AE288">
        <f t="shared" si="170"/>
        <v>43.998230920091203</v>
      </c>
      <c r="AF288">
        <f t="shared" si="171"/>
        <v>1.6691774257730756E-2</v>
      </c>
      <c r="AG288">
        <f t="shared" si="172"/>
        <v>44.014922694348932</v>
      </c>
      <c r="AH288">
        <f t="shared" si="145"/>
        <v>182.16154894292401</v>
      </c>
      <c r="AK288">
        <f t="shared" si="173"/>
        <v>-0.14570803288034256</v>
      </c>
      <c r="AL288">
        <f t="shared" si="174"/>
        <v>0.98932763488853426</v>
      </c>
      <c r="AM288">
        <f t="shared" si="175"/>
        <v>676</v>
      </c>
      <c r="AN288">
        <f t="shared" si="176"/>
        <v>-338</v>
      </c>
      <c r="AO288">
        <f t="shared" si="177"/>
        <v>338</v>
      </c>
      <c r="AP288" s="16" cm="1">
        <f t="array" ref="AP288">SUMPRODUCT(1362*POWER(0.7,POWER(1/($AI$2*AK288+$AJ$2*AL288*COS(RADIANS(0.25*(_xlfn.SEQUENCE(AO288-AN288,1,AN288+1))))+0.50572*POWER(96.07995-DEGREES(ACOS($AI$2*AK288+$AJ$2*AL288*COS(RADIANS(0.25*(_xlfn.SEQUENCE(AO288-AN288,1,AN288+1)))))),-1.6364)),0.678))*IF(AL288*COS(RADIANS(0.25*(_xlfn.SEQUENCE(AO288-AN288,1,AN288+1))))&gt;0,AL288*COS(RADIANS(0.25*(_xlfn.SEQUENCE(AO288-AN288,1,AN288+1)))),0)/60)</f>
        <v>5691.9020130522358</v>
      </c>
      <c r="AQ288" s="17" cm="1">
        <f t="array" ref="AQ288">SUMPRODUCT(1362*POWER(0.7,POWER(1/($AI$2*AK288+$AJ$2*AL288*COS(RADIANS(0.25*(_xlfn.SEQUENCE(AO288-AN288,1,AN288+1))))+0.50572*POWER(96.07995-DEGREES(ACOS($AI$2*AK288+$AJ$2*AL288*COS(RADIANS(0.25*(_xlfn.SEQUENCE(AO288-AN288,1,AN288+1)))))),-1.6364)),0.678))/60)</f>
        <v>7499.6000364917909</v>
      </c>
      <c r="AR288" s="15">
        <f t="shared" si="178"/>
        <v>1.3175912057681738</v>
      </c>
      <c r="AT288">
        <v>0.49168537612518892</v>
      </c>
      <c r="AU288">
        <v>60.548583227408969</v>
      </c>
      <c r="AV288">
        <v>2.0277700087280603</v>
      </c>
      <c r="AW288">
        <v>765.62908065965257</v>
      </c>
    </row>
    <row r="289" spans="4:49" ht="17" x14ac:dyDescent="0.2">
      <c r="D289" s="1">
        <f t="shared" si="179"/>
        <v>46310</v>
      </c>
      <c r="E289" s="6">
        <f t="shared" si="146"/>
        <v>0.5</v>
      </c>
      <c r="F289" s="2">
        <f t="shared" si="147"/>
        <v>2461329.3333333335</v>
      </c>
      <c r="G289" s="3">
        <f t="shared" si="148"/>
        <v>0.26788044718229947</v>
      </c>
      <c r="I289">
        <f t="shared" si="149"/>
        <v>204.36880272504641</v>
      </c>
      <c r="J289">
        <f t="shared" si="150"/>
        <v>10000.970788793786</v>
      </c>
      <c r="K289">
        <f t="shared" si="151"/>
        <v>1.6697364017658162E-2</v>
      </c>
      <c r="L289">
        <f t="shared" si="152"/>
        <v>-1.8855614720206129</v>
      </c>
      <c r="M289">
        <f t="shared" si="153"/>
        <v>202.4832412530258</v>
      </c>
      <c r="N289">
        <f t="shared" si="154"/>
        <v>9999.0852273217643</v>
      </c>
      <c r="O289">
        <f t="shared" si="155"/>
        <v>0.9970933076482823</v>
      </c>
      <c r="P289">
        <f t="shared" si="156"/>
        <v>202.48016002790305</v>
      </c>
      <c r="Q289">
        <f t="shared" si="157"/>
        <v>23.435807547049514</v>
      </c>
      <c r="R289">
        <f t="shared" si="158"/>
        <v>23.437952662711258</v>
      </c>
      <c r="S289">
        <f t="shared" si="159"/>
        <v>-159.20997281360644</v>
      </c>
      <c r="T289" s="19">
        <f t="shared" si="160"/>
        <v>-8.7479062448834739</v>
      </c>
      <c r="U289">
        <f t="shared" si="161"/>
        <v>4.3029474840528818E-2</v>
      </c>
      <c r="V289">
        <f t="shared" si="162"/>
        <v>14.319622648565193</v>
      </c>
      <c r="W289">
        <f t="shared" si="163"/>
        <v>84.264511364391097</v>
      </c>
      <c r="X289" s="6">
        <f t="shared" si="164"/>
        <v>0.49547767871627413</v>
      </c>
      <c r="Y289" s="6">
        <f t="shared" si="165"/>
        <v>0.26140959159296551</v>
      </c>
      <c r="Z289" s="6">
        <f t="shared" si="166"/>
        <v>0.72954576583958264</v>
      </c>
      <c r="AA289" s="19">
        <f t="shared" si="167"/>
        <v>674.11609091512878</v>
      </c>
      <c r="AB289">
        <f t="shared" si="168"/>
        <v>726.51214264856526</v>
      </c>
      <c r="AC289">
        <f t="shared" si="169"/>
        <v>1.6280356621413148</v>
      </c>
      <c r="AD289">
        <f t="shared" si="144"/>
        <v>46.372932304933045</v>
      </c>
      <c r="AE289">
        <f t="shared" si="170"/>
        <v>43.627067695066955</v>
      </c>
      <c r="AF289">
        <f t="shared" si="171"/>
        <v>1.6909057140573853E-2</v>
      </c>
      <c r="AG289">
        <f t="shared" si="172"/>
        <v>43.643976752207529</v>
      </c>
      <c r="AH289">
        <f t="shared" si="145"/>
        <v>182.22324105892852</v>
      </c>
      <c r="AK289">
        <f t="shared" si="173"/>
        <v>-0.15208726847223711</v>
      </c>
      <c r="AL289">
        <f t="shared" si="174"/>
        <v>0.98836706884064773</v>
      </c>
      <c r="AM289">
        <f t="shared" si="175"/>
        <v>674</v>
      </c>
      <c r="AN289">
        <f t="shared" si="176"/>
        <v>-337</v>
      </c>
      <c r="AO289">
        <f t="shared" si="177"/>
        <v>337</v>
      </c>
      <c r="AP289" s="16" cm="1">
        <f t="array" ref="AP289">SUMPRODUCT(1362*POWER(0.7,POWER(1/($AI$2*AK289+$AJ$2*AL289*COS(RADIANS(0.25*(_xlfn.SEQUENCE(AO289-AN289,1,AN289+1))))+0.50572*POWER(96.07995-DEGREES(ACOS($AI$2*AK289+$AJ$2*AL289*COS(RADIANS(0.25*(_xlfn.SEQUENCE(AO289-AN289,1,AN289+1)))))),-1.6364)),0.678))*IF(AL289*COS(RADIANS(0.25*(_xlfn.SEQUENCE(AO289-AN289,1,AN289+1))))&gt;0,AL289*COS(RADIANS(0.25*(_xlfn.SEQUENCE(AO289-AN289,1,AN289+1)))),0)/60)</f>
        <v>5663.9179166666509</v>
      </c>
      <c r="AQ289" s="17" cm="1">
        <f t="array" ref="AQ289">SUMPRODUCT(1362*POWER(0.7,POWER(1/($AI$2*AK289+$AJ$2*AL289*COS(RADIANS(0.25*(_xlfn.SEQUENCE(AO289-AN289,1,AN289+1))))+0.50572*POWER(96.07995-DEGREES(ACOS($AI$2*AK289+$AJ$2*AL289*COS(RADIANS(0.25*(_xlfn.SEQUENCE(AO289-AN289,1,AN289+1)))))),-1.6364)),0.678))/60)</f>
        <v>7454.1318025609025</v>
      </c>
      <c r="AR289" s="15">
        <f t="shared" si="178"/>
        <v>1.3160734163583774</v>
      </c>
      <c r="AT289">
        <v>0.49169926642490536</v>
      </c>
      <c r="AU289">
        <v>60.547669258784936</v>
      </c>
      <c r="AV289">
        <v>2.0277131494104634</v>
      </c>
      <c r="AW289">
        <v>765.63746495711587</v>
      </c>
    </row>
    <row r="290" spans="4:49" ht="17" x14ac:dyDescent="0.2">
      <c r="D290" s="1">
        <f t="shared" si="179"/>
        <v>46311</v>
      </c>
      <c r="E290" s="6">
        <f t="shared" si="146"/>
        <v>0.5</v>
      </c>
      <c r="F290" s="2">
        <f t="shared" si="147"/>
        <v>2461330.3333333335</v>
      </c>
      <c r="G290" s="3">
        <f t="shared" si="148"/>
        <v>0.2679078256901708</v>
      </c>
      <c r="I290">
        <f t="shared" si="149"/>
        <v>205.35445008965689</v>
      </c>
      <c r="J290">
        <f t="shared" si="150"/>
        <v>10001.956389073255</v>
      </c>
      <c r="K290">
        <f t="shared" si="151"/>
        <v>1.6697362864889254E-2</v>
      </c>
      <c r="L290">
        <f t="shared" si="152"/>
        <v>-1.8796612140303235</v>
      </c>
      <c r="M290">
        <f t="shared" si="153"/>
        <v>203.47478887562656</v>
      </c>
      <c r="N290">
        <f t="shared" si="154"/>
        <v>10000.076727859225</v>
      </c>
      <c r="O290">
        <f t="shared" si="155"/>
        <v>0.99681005051841731</v>
      </c>
      <c r="P290">
        <f t="shared" si="156"/>
        <v>203.47171135118782</v>
      </c>
      <c r="Q290">
        <f t="shared" si="157"/>
        <v>23.4358071910154</v>
      </c>
      <c r="R290">
        <f t="shared" si="158"/>
        <v>23.437951014474038</v>
      </c>
      <c r="S290">
        <f t="shared" si="159"/>
        <v>-158.27775776728743</v>
      </c>
      <c r="T290" s="19">
        <f t="shared" si="160"/>
        <v>-9.1154661073506063</v>
      </c>
      <c r="U290">
        <f t="shared" si="161"/>
        <v>4.302946861642723E-2</v>
      </c>
      <c r="V290">
        <f t="shared" si="162"/>
        <v>14.536116952134982</v>
      </c>
      <c r="W290">
        <f t="shared" si="163"/>
        <v>83.974003365877067</v>
      </c>
      <c r="X290" s="6">
        <f t="shared" si="164"/>
        <v>0.4953273354499062</v>
      </c>
      <c r="Y290" s="6">
        <f t="shared" si="165"/>
        <v>0.26206621498913657</v>
      </c>
      <c r="Z290" s="6">
        <f t="shared" si="166"/>
        <v>0.72858845591067589</v>
      </c>
      <c r="AA290" s="19">
        <f t="shared" si="167"/>
        <v>671.79202692701654</v>
      </c>
      <c r="AB290">
        <f t="shared" si="168"/>
        <v>726.72863695213505</v>
      </c>
      <c r="AC290">
        <f t="shared" si="169"/>
        <v>1.682159238033762</v>
      </c>
      <c r="AD290">
        <f t="shared" si="144"/>
        <v>46.741994678590167</v>
      </c>
      <c r="AE290">
        <f t="shared" si="170"/>
        <v>43.258005321409833</v>
      </c>
      <c r="AF290">
        <f t="shared" si="171"/>
        <v>1.7128035918400498E-2</v>
      </c>
      <c r="AG290">
        <f t="shared" si="172"/>
        <v>43.275133357328237</v>
      </c>
      <c r="AH290">
        <f t="shared" si="145"/>
        <v>182.2808897319766</v>
      </c>
      <c r="AK290">
        <f t="shared" si="173"/>
        <v>-0.1584245985371891</v>
      </c>
      <c r="AL290">
        <f t="shared" si="174"/>
        <v>0.98737107845952754</v>
      </c>
      <c r="AM290">
        <f t="shared" si="175"/>
        <v>672</v>
      </c>
      <c r="AN290">
        <f t="shared" si="176"/>
        <v>-336</v>
      </c>
      <c r="AO290">
        <f t="shared" si="177"/>
        <v>336</v>
      </c>
      <c r="AP290" s="16" cm="1">
        <f t="array" ref="AP290">SUMPRODUCT(1362*POWER(0.7,POWER(1/($AI$2*AK290+$AJ$2*AL290*COS(RADIANS(0.25*(_xlfn.SEQUENCE(AO290-AN290,1,AN290+1))))+0.50572*POWER(96.07995-DEGREES(ACOS($AI$2*AK290+$AJ$2*AL290*COS(RADIANS(0.25*(_xlfn.SEQUENCE(AO290-AN290,1,AN290+1)))))),-1.6364)),0.678))*IF(AL290*COS(RADIANS(0.25*(_xlfn.SEQUENCE(AO290-AN290,1,AN290+1))))&gt;0,AL290*COS(RADIANS(0.25*(_xlfn.SEQUENCE(AO290-AN290,1,AN290+1)))),0)/60)</f>
        <v>5635.5934468518526</v>
      </c>
      <c r="AQ290" s="17" cm="1">
        <f t="array" ref="AQ290">SUMPRODUCT(1362*POWER(0.7,POWER(1/($AI$2*AK290+$AJ$2*AL290*COS(RADIANS(0.25*(_xlfn.SEQUENCE(AO290-AN290,1,AN290+1))))+0.50572*POWER(96.07995-DEGREES(ACOS($AI$2*AK290+$AJ$2*AL290*COS(RADIANS(0.25*(_xlfn.SEQUENCE(AO290-AN290,1,AN290+1)))))),-1.6364)),0.678))/60)</f>
        <v>7408.6894910605242</v>
      </c>
      <c r="AR290" s="15">
        <f t="shared" si="178"/>
        <v>1.3146245485822183</v>
      </c>
      <c r="AT290">
        <v>0.49169926642490536</v>
      </c>
      <c r="AU290">
        <v>60.547669258784936</v>
      </c>
      <c r="AV290">
        <v>2.0277131494104634</v>
      </c>
      <c r="AW290">
        <v>765.63746495711587</v>
      </c>
    </row>
    <row r="291" spans="4:49" ht="17" x14ac:dyDescent="0.2">
      <c r="D291" s="1">
        <f t="shared" si="179"/>
        <v>46312</v>
      </c>
      <c r="E291" s="6">
        <f t="shared" si="146"/>
        <v>0.5</v>
      </c>
      <c r="F291" s="2">
        <f t="shared" si="147"/>
        <v>2461331.3333333335</v>
      </c>
      <c r="G291" s="3">
        <f t="shared" si="148"/>
        <v>0.26793520419804212</v>
      </c>
      <c r="I291">
        <f t="shared" si="149"/>
        <v>206.34009745427102</v>
      </c>
      <c r="J291">
        <f t="shared" si="150"/>
        <v>10002.941989352725</v>
      </c>
      <c r="K291">
        <f t="shared" si="151"/>
        <v>1.6697361712120155E-2</v>
      </c>
      <c r="L291">
        <f t="shared" si="152"/>
        <v>-1.8731981348707716</v>
      </c>
      <c r="M291">
        <f t="shared" si="153"/>
        <v>204.46689931940026</v>
      </c>
      <c r="N291">
        <f t="shared" si="154"/>
        <v>10001.068791217855</v>
      </c>
      <c r="O291">
        <f t="shared" si="155"/>
        <v>0.99652766344741273</v>
      </c>
      <c r="P291">
        <f t="shared" si="156"/>
        <v>204.46382549341396</v>
      </c>
      <c r="Q291">
        <f t="shared" si="157"/>
        <v>23.435806834981285</v>
      </c>
      <c r="R291">
        <f t="shared" si="158"/>
        <v>23.437949364405611</v>
      </c>
      <c r="S291">
        <f t="shared" si="159"/>
        <v>-157.34309713606146</v>
      </c>
      <c r="T291" s="19">
        <f t="shared" si="160"/>
        <v>-9.4808551457857586</v>
      </c>
      <c r="U291">
        <f t="shared" si="161"/>
        <v>4.3029462385411117E-2</v>
      </c>
      <c r="V291">
        <f t="shared" si="162"/>
        <v>14.742786559873403</v>
      </c>
      <c r="W291">
        <f t="shared" si="163"/>
        <v>83.684506869511196</v>
      </c>
      <c r="X291" s="6">
        <f t="shared" si="164"/>
        <v>0.49518381488897678</v>
      </c>
      <c r="Y291" s="6">
        <f t="shared" si="165"/>
        <v>0.2627268513625568</v>
      </c>
      <c r="Z291" s="6">
        <f t="shared" si="166"/>
        <v>0.72764077841539687</v>
      </c>
      <c r="AA291" s="19">
        <f t="shared" si="167"/>
        <v>669.47605495608957</v>
      </c>
      <c r="AB291">
        <f t="shared" si="168"/>
        <v>726.93530655987342</v>
      </c>
      <c r="AC291">
        <f t="shared" si="169"/>
        <v>1.7338266399683562</v>
      </c>
      <c r="AD291">
        <f t="shared" si="144"/>
        <v>47.108841075401052</v>
      </c>
      <c r="AE291">
        <f t="shared" si="170"/>
        <v>42.891158924598948</v>
      </c>
      <c r="AF291">
        <f t="shared" si="171"/>
        <v>1.7348668129799578E-2</v>
      </c>
      <c r="AG291">
        <f t="shared" si="172"/>
        <v>42.908507592728746</v>
      </c>
      <c r="AH291">
        <f t="shared" si="145"/>
        <v>182.3344855070653</v>
      </c>
      <c r="AK291">
        <f t="shared" si="173"/>
        <v>-0.16471803845143468</v>
      </c>
      <c r="AL291">
        <f t="shared" si="174"/>
        <v>0.98634069560609317</v>
      </c>
      <c r="AM291">
        <f t="shared" si="175"/>
        <v>669</v>
      </c>
      <c r="AN291">
        <f t="shared" si="176"/>
        <v>-334.5</v>
      </c>
      <c r="AO291">
        <f t="shared" si="177"/>
        <v>334.5</v>
      </c>
      <c r="AP291" s="16" cm="1">
        <f t="array" ref="AP291">SUMPRODUCT(1362*POWER(0.7,POWER(1/($AI$2*AK291+$AJ$2*AL291*COS(RADIANS(0.25*(_xlfn.SEQUENCE(AO291-AN291,1,AN291+1))))+0.50572*POWER(96.07995-DEGREES(ACOS($AI$2*AK291+$AJ$2*AL291*COS(RADIANS(0.25*(_xlfn.SEQUENCE(AO291-AN291,1,AN291+1)))))),-1.6364)),0.678))*IF(AL291*COS(RADIANS(0.25*(_xlfn.SEQUENCE(AO291-AN291,1,AN291+1))))&gt;0,AL291*COS(RADIANS(0.25*(_xlfn.SEQUENCE(AO291-AN291,1,AN291+1)))),0)/60)</f>
        <v>5606.9328972580352</v>
      </c>
      <c r="AQ291" s="17" cm="1">
        <f t="array" ref="AQ291">SUMPRODUCT(1362*POWER(0.7,POWER(1/($AI$2*AK291+$AJ$2*AL291*COS(RADIANS(0.25*(_xlfn.SEQUENCE(AO291-AN291,1,AN291+1))))+0.50572*POWER(96.07995-DEGREES(ACOS($AI$2*AK291+$AJ$2*AL291*COS(RADIANS(0.25*(_xlfn.SEQUENCE(AO291-AN291,1,AN291+1)))))),-1.6364)),0.678))/60)</f>
        <v>7363.1653759434839</v>
      </c>
      <c r="AR291" s="15">
        <f t="shared" si="178"/>
        <v>1.3132251644288986</v>
      </c>
      <c r="AT291">
        <v>0.49168537612518892</v>
      </c>
      <c r="AU291">
        <v>60.548583227408969</v>
      </c>
      <c r="AV291">
        <v>2.0277700087280603</v>
      </c>
      <c r="AW291">
        <v>765.62908065965257</v>
      </c>
    </row>
    <row r="292" spans="4:49" ht="17" x14ac:dyDescent="0.2">
      <c r="D292" s="1">
        <f t="shared" si="179"/>
        <v>46313</v>
      </c>
      <c r="E292" s="6">
        <f t="shared" si="146"/>
        <v>0.5</v>
      </c>
      <c r="F292" s="2">
        <f t="shared" si="147"/>
        <v>2461332.3333333335</v>
      </c>
      <c r="G292" s="3">
        <f t="shared" si="148"/>
        <v>0.26796258270591344</v>
      </c>
      <c r="I292">
        <f t="shared" si="149"/>
        <v>207.32574481888332</v>
      </c>
      <c r="J292">
        <f t="shared" si="150"/>
        <v>10003.927589632194</v>
      </c>
      <c r="K292">
        <f t="shared" si="151"/>
        <v>1.6697360559350869E-2</v>
      </c>
      <c r="L292">
        <f t="shared" si="152"/>
        <v>-1.8661735726276616</v>
      </c>
      <c r="M292">
        <f t="shared" si="153"/>
        <v>205.45957124625565</v>
      </c>
      <c r="N292">
        <f t="shared" si="154"/>
        <v>10002.061416059567</v>
      </c>
      <c r="O292">
        <f t="shared" si="155"/>
        <v>0.99624623160980741</v>
      </c>
      <c r="P292">
        <f t="shared" si="156"/>
        <v>205.45650111648715</v>
      </c>
      <c r="Q292">
        <f t="shared" si="157"/>
        <v>23.435806478947171</v>
      </c>
      <c r="R292">
        <f t="shared" si="158"/>
        <v>23.437947712507086</v>
      </c>
      <c r="S292">
        <f t="shared" si="159"/>
        <v>-156.40591972137045</v>
      </c>
      <c r="T292" s="19">
        <f t="shared" si="160"/>
        <v>-9.8439664242215787</v>
      </c>
      <c r="U292">
        <f t="shared" si="161"/>
        <v>4.3029456147484622E-2</v>
      </c>
      <c r="V292">
        <f t="shared" si="162"/>
        <v>14.939330223522617</v>
      </c>
      <c r="W292">
        <f t="shared" si="163"/>
        <v>83.39608586713257</v>
      </c>
      <c r="X292" s="6">
        <f t="shared" si="164"/>
        <v>0.49504732623366482</v>
      </c>
      <c r="Y292" s="6">
        <f t="shared" si="165"/>
        <v>0.26339153215829658</v>
      </c>
      <c r="Z292" s="6">
        <f t="shared" si="166"/>
        <v>0.72670312030903306</v>
      </c>
      <c r="AA292" s="19">
        <f t="shared" si="167"/>
        <v>667.16868693706056</v>
      </c>
      <c r="AB292">
        <f t="shared" si="168"/>
        <v>727.13185022352263</v>
      </c>
      <c r="AC292">
        <f t="shared" si="169"/>
        <v>1.7829625558806583</v>
      </c>
      <c r="AD292">
        <f t="shared" si="144"/>
        <v>47.473356150849945</v>
      </c>
      <c r="AE292">
        <f t="shared" si="170"/>
        <v>42.526643849150055</v>
      </c>
      <c r="AF292">
        <f t="shared" si="171"/>
        <v>1.757090754262311E-2</v>
      </c>
      <c r="AG292">
        <f t="shared" si="172"/>
        <v>42.544214756692675</v>
      </c>
      <c r="AH292">
        <f t="shared" si="145"/>
        <v>182.38402088801479</v>
      </c>
      <c r="AK292">
        <f t="shared" si="173"/>
        <v>-0.1709656104633433</v>
      </c>
      <c r="AL292">
        <f t="shared" si="174"/>
        <v>0.98527699660496304</v>
      </c>
      <c r="AM292">
        <f t="shared" si="175"/>
        <v>667</v>
      </c>
      <c r="AN292">
        <f t="shared" si="176"/>
        <v>-333.5</v>
      </c>
      <c r="AO292">
        <f t="shared" si="177"/>
        <v>333.5</v>
      </c>
      <c r="AP292" s="16" cm="1">
        <f t="array" ref="AP292">SUMPRODUCT(1362*POWER(0.7,POWER(1/($AI$2*AK292+$AJ$2*AL292*COS(RADIANS(0.25*(_xlfn.SEQUENCE(AO292-AN292,1,AN292+1))))+0.50572*POWER(96.07995-DEGREES(ACOS($AI$2*AK292+$AJ$2*AL292*COS(RADIANS(0.25*(_xlfn.SEQUENCE(AO292-AN292,1,AN292+1)))))),-1.6364)),0.678))*IF(AL292*COS(RADIANS(0.25*(_xlfn.SEQUENCE(AO292-AN292,1,AN292+1))))&gt;0,AL292*COS(RADIANS(0.25*(_xlfn.SEQUENCE(AO292-AN292,1,AN292+1)))),0)/60)</f>
        <v>5577.9807004154954</v>
      </c>
      <c r="AQ292" s="17" cm="1">
        <f t="array" ref="AQ292">SUMPRODUCT(1362*POWER(0.7,POWER(1/($AI$2*AK292+$AJ$2*AL292*COS(RADIANS(0.25*(_xlfn.SEQUENCE(AO292-AN292,1,AN292+1))))+0.50572*POWER(96.07995-DEGREES(ACOS($AI$2*AK292+$AJ$2*AL292*COS(RADIANS(0.25*(_xlfn.SEQUENCE(AO292-AN292,1,AN292+1)))))),-1.6364)),0.678))/60)</f>
        <v>7317.8208561013598</v>
      </c>
      <c r="AR292" s="15">
        <f t="shared" si="178"/>
        <v>1.3119121863502086</v>
      </c>
      <c r="AT292">
        <v>0.49165759579020729</v>
      </c>
      <c r="AU292">
        <v>60.550411122560483</v>
      </c>
      <c r="AV292">
        <v>2.0278837358027006</v>
      </c>
      <c r="AW292">
        <v>765.61231132287037</v>
      </c>
    </row>
    <row r="293" spans="4:49" ht="17" x14ac:dyDescent="0.2">
      <c r="D293" s="1">
        <f t="shared" si="179"/>
        <v>46314</v>
      </c>
      <c r="E293" s="6">
        <f t="shared" si="146"/>
        <v>0.5</v>
      </c>
      <c r="F293" s="2">
        <f t="shared" si="147"/>
        <v>2461333.3333333335</v>
      </c>
      <c r="G293" s="3">
        <f t="shared" si="148"/>
        <v>0.26798996121378477</v>
      </c>
      <c r="I293">
        <f t="shared" si="149"/>
        <v>208.31139218349745</v>
      </c>
      <c r="J293">
        <f t="shared" si="150"/>
        <v>10004.913189911666</v>
      </c>
      <c r="K293">
        <f t="shared" si="151"/>
        <v>1.6697359406581389E-2</v>
      </c>
      <c r="L293">
        <f t="shared" si="152"/>
        <v>-1.8585890392674747</v>
      </c>
      <c r="M293">
        <f t="shared" si="153"/>
        <v>206.45280314422996</v>
      </c>
      <c r="N293">
        <f t="shared" si="154"/>
        <v>10003.054600872398</v>
      </c>
      <c r="O293">
        <f t="shared" si="155"/>
        <v>0.99596584003577149</v>
      </c>
      <c r="P293">
        <f t="shared" si="156"/>
        <v>206.44973670844141</v>
      </c>
      <c r="Q293">
        <f t="shared" si="157"/>
        <v>23.435806122913057</v>
      </c>
      <c r="R293">
        <f t="shared" si="158"/>
        <v>23.437946058779566</v>
      </c>
      <c r="S293">
        <f t="shared" si="159"/>
        <v>-155.46615583289037</v>
      </c>
      <c r="T293" s="19">
        <f t="shared" si="160"/>
        <v>-10.204692469201154</v>
      </c>
      <c r="U293">
        <f t="shared" si="161"/>
        <v>4.3029449902651951E-2</v>
      </c>
      <c r="V293">
        <f t="shared" si="162"/>
        <v>15.125452814963678</v>
      </c>
      <c r="W293">
        <f t="shared" si="163"/>
        <v>83.108806435150981</v>
      </c>
      <c r="X293" s="6">
        <f t="shared" si="164"/>
        <v>0.494918074434053</v>
      </c>
      <c r="Y293" s="6">
        <f t="shared" si="165"/>
        <v>0.26406027878085581</v>
      </c>
      <c r="Z293" s="6">
        <f t="shared" si="166"/>
        <v>0.7257758700872502</v>
      </c>
      <c r="AA293" s="19">
        <f t="shared" si="167"/>
        <v>664.87045148120785</v>
      </c>
      <c r="AB293">
        <f t="shared" si="168"/>
        <v>727.3179728149637</v>
      </c>
      <c r="AC293">
        <f t="shared" si="169"/>
        <v>1.8294932037409239</v>
      </c>
      <c r="AD293">
        <f t="shared" si="144"/>
        <v>47.835424382361367</v>
      </c>
      <c r="AE293">
        <f t="shared" si="170"/>
        <v>42.164575617638633</v>
      </c>
      <c r="AF293">
        <f t="shared" si="171"/>
        <v>1.7794703974552108E-2</v>
      </c>
      <c r="AG293">
        <f t="shared" si="172"/>
        <v>42.182370321613185</v>
      </c>
      <c r="AH293">
        <f t="shared" si="145"/>
        <v>182.4294903677953</v>
      </c>
      <c r="AK293">
        <f t="shared" si="173"/>
        <v>-0.17716534439871073</v>
      </c>
      <c r="AL293">
        <f t="shared" si="174"/>
        <v>0.98418110159872818</v>
      </c>
      <c r="AM293">
        <f t="shared" si="175"/>
        <v>665</v>
      </c>
      <c r="AN293">
        <f t="shared" si="176"/>
        <v>-332.5</v>
      </c>
      <c r="AO293">
        <f t="shared" si="177"/>
        <v>332.5</v>
      </c>
      <c r="AP293" s="16" cm="1">
        <f t="array" ref="AP293">SUMPRODUCT(1362*POWER(0.7,POWER(1/($AI$2*AK293+$AJ$2*AL293*COS(RADIANS(0.25*(_xlfn.SEQUENCE(AO293-AN293,1,AN293+1))))+0.50572*POWER(96.07995-DEGREES(ACOS($AI$2*AK293+$AJ$2*AL293*COS(RADIANS(0.25*(_xlfn.SEQUENCE(AO293-AN293,1,AN293+1)))))),-1.6364)),0.678))*IF(AL293*COS(RADIANS(0.25*(_xlfn.SEQUENCE(AO293-AN293,1,AN293+1))))&gt;0,AL293*COS(RADIANS(0.25*(_xlfn.SEQUENCE(AO293-AN293,1,AN293+1)))),0)/60)</f>
        <v>5548.7422485929901</v>
      </c>
      <c r="AQ293" s="17" cm="1">
        <f t="array" ref="AQ293">SUMPRODUCT(1362*POWER(0.7,POWER(1/($AI$2*AK293+$AJ$2*AL293*COS(RADIANS(0.25*(_xlfn.SEQUENCE(AO293-AN293,1,AN293+1))))+0.50572*POWER(96.07995-DEGREES(ACOS($AI$2*AK293+$AJ$2*AL293*COS(RADIANS(0.25*(_xlfn.SEQUENCE(AO293-AN293,1,AN293+1)))))),-1.6364)),0.678))/60)</f>
        <v>7272.5440588152906</v>
      </c>
      <c r="AR293" s="15">
        <f t="shared" si="178"/>
        <v>1.310665324319112</v>
      </c>
      <c r="AT293">
        <v>0.49161592594885795</v>
      </c>
      <c r="AU293">
        <v>60.553152860055924</v>
      </c>
      <c r="AV293">
        <v>2.0280543475163597</v>
      </c>
      <c r="AW293">
        <v>765.58715546288261</v>
      </c>
    </row>
    <row r="294" spans="4:49" ht="17" x14ac:dyDescent="0.2">
      <c r="D294" s="1">
        <f t="shared" si="179"/>
        <v>46315</v>
      </c>
      <c r="E294" s="6">
        <f t="shared" si="146"/>
        <v>0.5</v>
      </c>
      <c r="F294" s="2">
        <f t="shared" si="147"/>
        <v>2461334.3333333335</v>
      </c>
      <c r="G294" s="3">
        <f t="shared" si="148"/>
        <v>0.26801733972165609</v>
      </c>
      <c r="I294">
        <f t="shared" si="149"/>
        <v>209.29703954811157</v>
      </c>
      <c r="J294">
        <f t="shared" si="150"/>
        <v>10005.898790191133</v>
      </c>
      <c r="K294">
        <f t="shared" si="151"/>
        <v>1.6697358253811721E-2</v>
      </c>
      <c r="L294">
        <f t="shared" si="152"/>
        <v>-1.8504462208944747</v>
      </c>
      <c r="M294">
        <f t="shared" si="153"/>
        <v>207.4465933272171</v>
      </c>
      <c r="N294">
        <f t="shared" si="154"/>
        <v>10004.048343970238</v>
      </c>
      <c r="O294">
        <f t="shared" si="155"/>
        <v>0.9956865735841377</v>
      </c>
      <c r="P294">
        <f t="shared" si="156"/>
        <v>207.4435305831675</v>
      </c>
      <c r="Q294">
        <f t="shared" si="157"/>
        <v>23.435805766878943</v>
      </c>
      <c r="R294">
        <f t="shared" si="158"/>
        <v>23.437944403224162</v>
      </c>
      <c r="S294">
        <f t="shared" si="159"/>
        <v>-154.52373738045659</v>
      </c>
      <c r="T294" s="19">
        <f t="shared" si="160"/>
        <v>-10.562925281963418</v>
      </c>
      <c r="U294">
        <f t="shared" si="161"/>
        <v>4.3029443650917293E-2</v>
      </c>
      <c r="V294">
        <f t="shared" si="162"/>
        <v>15.300865817321707</v>
      </c>
      <c r="W294">
        <f t="shared" si="163"/>
        <v>82.822736800217029</v>
      </c>
      <c r="X294" s="6">
        <f t="shared" si="164"/>
        <v>0.49479625984908215</v>
      </c>
      <c r="Y294" s="6">
        <f t="shared" si="165"/>
        <v>0.2647331020707015</v>
      </c>
      <c r="Z294" s="6">
        <f t="shared" si="166"/>
        <v>0.72485941762746287</v>
      </c>
      <c r="AA294" s="19">
        <f t="shared" si="167"/>
        <v>662.58189440173624</v>
      </c>
      <c r="AB294">
        <f t="shared" si="168"/>
        <v>727.49338581732172</v>
      </c>
      <c r="AC294">
        <f t="shared" si="169"/>
        <v>1.8733464543304308</v>
      </c>
      <c r="AD294">
        <f t="shared" si="144"/>
        <v>48.194930111698731</v>
      </c>
      <c r="AE294">
        <f t="shared" si="170"/>
        <v>41.805069888301269</v>
      </c>
      <c r="AF294">
        <f t="shared" si="171"/>
        <v>1.8020003111551251E-2</v>
      </c>
      <c r="AG294">
        <f t="shared" si="172"/>
        <v>41.82308989141282</v>
      </c>
      <c r="AH294">
        <f t="shared" si="145"/>
        <v>182.47089045963702</v>
      </c>
      <c r="AK294">
        <f t="shared" si="173"/>
        <v>-0.18331527837153067</v>
      </c>
      <c r="AL294">
        <f t="shared" si="174"/>
        <v>0.98305417384575922</v>
      </c>
      <c r="AM294">
        <f t="shared" si="175"/>
        <v>663</v>
      </c>
      <c r="AN294">
        <f t="shared" si="176"/>
        <v>-331.5</v>
      </c>
      <c r="AO294">
        <f t="shared" si="177"/>
        <v>331.5</v>
      </c>
      <c r="AP294" s="16" cm="1">
        <f t="array" ref="AP294">SUMPRODUCT(1362*POWER(0.7,POWER(1/($AI$2*AK294+$AJ$2*AL294*COS(RADIANS(0.25*(_xlfn.SEQUENCE(AO294-AN294,1,AN294+1))))+0.50572*POWER(96.07995-DEGREES(ACOS($AI$2*AK294+$AJ$2*AL294*COS(RADIANS(0.25*(_xlfn.SEQUENCE(AO294-AN294,1,AN294+1)))))),-1.6364)),0.678))*IF(AL294*COS(RADIANS(0.25*(_xlfn.SEQUENCE(AO294-AN294,1,AN294+1))))&gt;0,AL294*COS(RADIANS(0.25*(_xlfn.SEQUENCE(AO294-AN294,1,AN294+1)))),0)/60)</f>
        <v>5519.2366757866557</v>
      </c>
      <c r="AQ294" s="17" cm="1">
        <f t="array" ref="AQ294">SUMPRODUCT(1362*POWER(0.7,POWER(1/($AI$2*AK294+$AJ$2*AL294*COS(RADIANS(0.25*(_xlfn.SEQUENCE(AO294-AN294,1,AN294+1))))+0.50572*POWER(96.07995-DEGREES(ACOS($AI$2*AK294+$AJ$2*AL294*COS(RADIANS(0.25*(_xlfn.SEQUENCE(AO294-AN294,1,AN294+1)))))),-1.6364)),0.678))/60)</f>
        <v>7227.3498441828824</v>
      </c>
      <c r="AR294" s="15">
        <f t="shared" si="178"/>
        <v>1.3094835878102238</v>
      </c>
      <c r="AT294">
        <v>0.49156036739447484</v>
      </c>
      <c r="AU294">
        <v>60.556808313643671</v>
      </c>
      <c r="AV294">
        <v>2.0282818691997067</v>
      </c>
      <c r="AW294">
        <v>765.55361085341883</v>
      </c>
    </row>
    <row r="295" spans="4:49" ht="17" x14ac:dyDescent="0.2">
      <c r="D295" s="1">
        <f t="shared" si="179"/>
        <v>46316</v>
      </c>
      <c r="E295" s="6">
        <f t="shared" si="146"/>
        <v>0.5</v>
      </c>
      <c r="F295" s="2">
        <f t="shared" si="147"/>
        <v>2461335.3333333335</v>
      </c>
      <c r="G295" s="3">
        <f t="shared" si="148"/>
        <v>0.26804471822952741</v>
      </c>
      <c r="I295">
        <f t="shared" si="149"/>
        <v>210.28268691272569</v>
      </c>
      <c r="J295">
        <f t="shared" si="150"/>
        <v>10006.884390470603</v>
      </c>
      <c r="K295">
        <f t="shared" si="151"/>
        <v>1.6697357101041862E-2</v>
      </c>
      <c r="L295">
        <f t="shared" si="152"/>
        <v>-1.8417469779481253</v>
      </c>
      <c r="M295">
        <f t="shared" si="153"/>
        <v>208.44093993477756</v>
      </c>
      <c r="N295">
        <f t="shared" si="154"/>
        <v>10005.042643492654</v>
      </c>
      <c r="O295">
        <f t="shared" si="155"/>
        <v>0.99540851691530341</v>
      </c>
      <c r="P295">
        <f t="shared" si="156"/>
        <v>208.43788088022276</v>
      </c>
      <c r="Q295">
        <f t="shared" si="157"/>
        <v>23.435805410844829</v>
      </c>
      <c r="R295">
        <f t="shared" si="158"/>
        <v>23.437942745841976</v>
      </c>
      <c r="S295">
        <f t="shared" si="159"/>
        <v>-153.57859796821228</v>
      </c>
      <c r="T295" s="19">
        <f t="shared" si="160"/>
        <v>-10.918556352889164</v>
      </c>
      <c r="U295">
        <f t="shared" si="161"/>
        <v>4.3029437392284785E-2</v>
      </c>
      <c r="V295">
        <f t="shared" si="162"/>
        <v>15.465287825991934</v>
      </c>
      <c r="W295">
        <f t="shared" si="163"/>
        <v>82.53794740206493</v>
      </c>
      <c r="X295" s="6">
        <f t="shared" si="164"/>
        <v>0.49468207789861668</v>
      </c>
      <c r="Y295" s="6">
        <f t="shared" si="165"/>
        <v>0.26541000178176966</v>
      </c>
      <c r="Z295" s="6">
        <f t="shared" si="166"/>
        <v>0.72395415401546381</v>
      </c>
      <c r="AA295" s="19">
        <f t="shared" si="167"/>
        <v>660.30357921651944</v>
      </c>
      <c r="AB295">
        <f t="shared" si="168"/>
        <v>727.65780782599199</v>
      </c>
      <c r="AC295">
        <f t="shared" si="169"/>
        <v>1.9144519564979987</v>
      </c>
      <c r="AD295">
        <f t="shared" si="144"/>
        <v>48.551757588777875</v>
      </c>
      <c r="AE295">
        <f t="shared" si="170"/>
        <v>41.448242411222125</v>
      </c>
      <c r="AF295">
        <f t="shared" si="171"/>
        <v>1.8246746324779885E-2</v>
      </c>
      <c r="AG295">
        <f t="shared" si="172"/>
        <v>41.466489157546903</v>
      </c>
      <c r="AH295">
        <f t="shared" si="145"/>
        <v>182.50821972856448</v>
      </c>
      <c r="AK295">
        <f t="shared" si="173"/>
        <v>-0.18941345950027652</v>
      </c>
      <c r="AL295">
        <f t="shared" si="174"/>
        <v>0.98189741895991212</v>
      </c>
      <c r="AM295">
        <f t="shared" si="175"/>
        <v>660</v>
      </c>
      <c r="AN295">
        <f t="shared" si="176"/>
        <v>-330</v>
      </c>
      <c r="AO295">
        <f t="shared" si="177"/>
        <v>330</v>
      </c>
      <c r="AP295" s="16" cm="1">
        <f t="array" ref="AP295">SUMPRODUCT(1362*POWER(0.7,POWER(1/($AI$2*AK295+$AJ$2*AL295*COS(RADIANS(0.25*(_xlfn.SEQUENCE(AO295-AN295,1,AN295+1))))+0.50572*POWER(96.07995-DEGREES(ACOS($AI$2*AK295+$AJ$2*AL295*COS(RADIANS(0.25*(_xlfn.SEQUENCE(AO295-AN295,1,AN295+1)))))),-1.6364)),0.678))*IF(AL295*COS(RADIANS(0.25*(_xlfn.SEQUENCE(AO295-AN295,1,AN295+1))))&gt;0,AL295*COS(RADIANS(0.25*(_xlfn.SEQUENCE(AO295-AN295,1,AN295+1)))),0)/60)</f>
        <v>5489.4685272893075</v>
      </c>
      <c r="AQ295" s="17" cm="1">
        <f t="array" ref="AQ295">SUMPRODUCT(1362*POWER(0.7,POWER(1/($AI$2*AK295+$AJ$2*AL295*COS(RADIANS(0.25*(_xlfn.SEQUENCE(AO295-AN295,1,AN295+1))))+0.50572*POWER(96.07995-DEGREES(ACOS($AI$2*AK295+$AJ$2*AL295*COS(RADIANS(0.25*(_xlfn.SEQUENCE(AO295-AN295,1,AN295+1)))))),-1.6364)),0.678))/60)</f>
        <v>7182.1346992389972</v>
      </c>
      <c r="AR295" s="15">
        <f t="shared" si="178"/>
        <v>1.3083479144720638</v>
      </c>
      <c r="AT295">
        <v>0.49149092118481263</v>
      </c>
      <c r="AU295">
        <v>60.561377315032601</v>
      </c>
      <c r="AV295">
        <v>2.0285663346413592</v>
      </c>
      <c r="AW295">
        <v>765.51167452529717</v>
      </c>
    </row>
    <row r="296" spans="4:49" ht="17" x14ac:dyDescent="0.2">
      <c r="D296" s="1">
        <f t="shared" si="179"/>
        <v>46317</v>
      </c>
      <c r="E296" s="6">
        <f t="shared" si="146"/>
        <v>0.5</v>
      </c>
      <c r="F296" s="2">
        <f t="shared" si="147"/>
        <v>2461336.3333333335</v>
      </c>
      <c r="G296" s="3">
        <f t="shared" si="148"/>
        <v>0.26807209673739874</v>
      </c>
      <c r="I296">
        <f t="shared" si="149"/>
        <v>211.26833427733982</v>
      </c>
      <c r="J296">
        <f t="shared" si="150"/>
        <v>10007.869990750072</v>
      </c>
      <c r="K296">
        <f t="shared" si="151"/>
        <v>1.6697355948271816E-2</v>
      </c>
      <c r="L296">
        <f t="shared" si="152"/>
        <v>-1.8324933453402907</v>
      </c>
      <c r="M296">
        <f t="shared" si="153"/>
        <v>209.43584093199954</v>
      </c>
      <c r="N296">
        <f t="shared" si="154"/>
        <v>10006.037497404732</v>
      </c>
      <c r="O296">
        <f t="shared" si="155"/>
        <v>0.99513175446402613</v>
      </c>
      <c r="P296">
        <f t="shared" si="156"/>
        <v>209.43278556469224</v>
      </c>
      <c r="Q296">
        <f t="shared" si="157"/>
        <v>23.435805054810718</v>
      </c>
      <c r="R296">
        <f t="shared" si="158"/>
        <v>23.437941086634137</v>
      </c>
      <c r="S296">
        <f t="shared" si="159"/>
        <v>-152.6306729909636</v>
      </c>
      <c r="T296" s="19">
        <f t="shared" si="160"/>
        <v>-11.271476678292224</v>
      </c>
      <c r="U296">
        <f t="shared" si="161"/>
        <v>4.3029431126758728E-2</v>
      </c>
      <c r="V296">
        <f t="shared" si="162"/>
        <v>15.618445058397409</v>
      </c>
      <c r="W296">
        <f t="shared" si="163"/>
        <v>82.254510953213895</v>
      </c>
      <c r="X296" s="6">
        <f t="shared" si="164"/>
        <v>0.49457571870944622</v>
      </c>
      <c r="Y296" s="6">
        <f t="shared" si="165"/>
        <v>0.26609096606162985</v>
      </c>
      <c r="Z296" s="6">
        <f t="shared" si="166"/>
        <v>0.72306047135726259</v>
      </c>
      <c r="AA296" s="19">
        <f t="shared" si="167"/>
        <v>658.03608762571116</v>
      </c>
      <c r="AB296">
        <f t="shared" si="168"/>
        <v>727.81096505839741</v>
      </c>
      <c r="AC296">
        <f t="shared" si="169"/>
        <v>1.9527412645993536</v>
      </c>
      <c r="AD296">
        <f t="shared" si="144"/>
        <v>48.905791016853243</v>
      </c>
      <c r="AE296">
        <f t="shared" si="170"/>
        <v>41.094208983146757</v>
      </c>
      <c r="AF296">
        <f t="shared" si="171"/>
        <v>1.8474870486574861E-2</v>
      </c>
      <c r="AG296">
        <f t="shared" si="172"/>
        <v>41.112683853633335</v>
      </c>
      <c r="AH296">
        <f t="shared" si="145"/>
        <v>182.54147882299949</v>
      </c>
      <c r="AK296">
        <f t="shared" si="173"/>
        <v>-0.19545794462916824</v>
      </c>
      <c r="AL296">
        <f t="shared" si="174"/>
        <v>0.98071208409060662</v>
      </c>
      <c r="AM296">
        <f t="shared" si="175"/>
        <v>658</v>
      </c>
      <c r="AN296">
        <f t="shared" si="176"/>
        <v>-329</v>
      </c>
      <c r="AO296">
        <f t="shared" si="177"/>
        <v>329</v>
      </c>
      <c r="AP296" s="16" cm="1">
        <f t="array" ref="AP296">SUMPRODUCT(1362*POWER(0.7,POWER(1/($AI$2*AK296+$AJ$2*AL296*COS(RADIANS(0.25*(_xlfn.SEQUENCE(AO296-AN296,1,AN296+1))))+0.50572*POWER(96.07995-DEGREES(ACOS($AI$2*AK296+$AJ$2*AL296*COS(RADIANS(0.25*(_xlfn.SEQUENCE(AO296-AN296,1,AN296+1)))))),-1.6364)),0.678))*IF(AL296*COS(RADIANS(0.25*(_xlfn.SEQUENCE(AO296-AN296,1,AN296+1))))&gt;0,AL296*COS(RADIANS(0.25*(_xlfn.SEQUENCE(AO296-AN296,1,AN296+1)))),0)/60)</f>
        <v>5459.4882558513691</v>
      </c>
      <c r="AQ296" s="17" cm="1">
        <f t="array" ref="AQ296">SUMPRODUCT(1362*POWER(0.7,POWER(1/($AI$2*AK296+$AJ$2*AL296*COS(RADIANS(0.25*(_xlfn.SEQUENCE(AO296-AN296,1,AN296+1))))+0.50572*POWER(96.07995-DEGREES(ACOS($AI$2*AK296+$AJ$2*AL296*COS(RADIANS(0.25*(_xlfn.SEQUENCE(AO296-AN296,1,AN296+1)))))),-1.6364)),0.678))/60)</f>
        <v>7137.1557474455976</v>
      </c>
      <c r="AR296" s="15">
        <f t="shared" si="178"/>
        <v>1.3072939097901966</v>
      </c>
      <c r="AT296">
        <v>0.49140758864202694</v>
      </c>
      <c r="AU296">
        <v>60.566859653930052</v>
      </c>
      <c r="AV296">
        <v>2.0289077861002296</v>
      </c>
      <c r="AW296">
        <v>765.46134276572047</v>
      </c>
    </row>
    <row r="297" spans="4:49" ht="17" x14ac:dyDescent="0.2">
      <c r="D297" s="1">
        <f t="shared" si="179"/>
        <v>46318</v>
      </c>
      <c r="E297" s="6">
        <f t="shared" si="146"/>
        <v>0.5</v>
      </c>
      <c r="F297" s="2">
        <f t="shared" si="147"/>
        <v>2461337.3333333335</v>
      </c>
      <c r="G297" s="3">
        <f t="shared" si="148"/>
        <v>0.26809947524527006</v>
      </c>
      <c r="I297">
        <f t="shared" si="149"/>
        <v>212.25398164195576</v>
      </c>
      <c r="J297">
        <f t="shared" si="150"/>
        <v>10008.85559102954</v>
      </c>
      <c r="K297">
        <f t="shared" si="151"/>
        <v>1.6697354795501579E-2</v>
      </c>
      <c r="L297">
        <f t="shared" si="152"/>
        <v>-1.8226875325306819</v>
      </c>
      <c r="M297">
        <f t="shared" si="153"/>
        <v>210.43129410942507</v>
      </c>
      <c r="N297">
        <f t="shared" si="154"/>
        <v>10007.032903497009</v>
      </c>
      <c r="O297">
        <f t="shared" si="155"/>
        <v>0.99485637041212038</v>
      </c>
      <c r="P297">
        <f t="shared" si="156"/>
        <v>210.42824242711487</v>
      </c>
      <c r="Q297">
        <f t="shared" si="157"/>
        <v>23.435804698776604</v>
      </c>
      <c r="R297">
        <f t="shared" si="158"/>
        <v>23.437939425601737</v>
      </c>
      <c r="S297">
        <f t="shared" si="159"/>
        <v>-151.67989973267083</v>
      </c>
      <c r="T297" s="19">
        <f t="shared" si="160"/>
        <v>-11.621576779655774</v>
      </c>
      <c r="U297">
        <f t="shared" si="161"/>
        <v>4.3029424854343225E-2</v>
      </c>
      <c r="V297">
        <f t="shared" si="162"/>
        <v>15.76007187120757</v>
      </c>
      <c r="W297">
        <f t="shared" si="163"/>
        <v>81.97250249518072</v>
      </c>
      <c r="X297" s="6">
        <f t="shared" si="164"/>
        <v>0.49447736675610576</v>
      </c>
      <c r="Y297" s="6">
        <f t="shared" si="165"/>
        <v>0.26677597093615935</v>
      </c>
      <c r="Z297" s="6">
        <f t="shared" si="166"/>
        <v>0.72217876257605218</v>
      </c>
      <c r="AA297" s="19">
        <f t="shared" si="167"/>
        <v>655.78001996144576</v>
      </c>
      <c r="AB297">
        <f t="shared" si="168"/>
        <v>727.95259187120746</v>
      </c>
      <c r="AC297">
        <f t="shared" si="169"/>
        <v>1.988147967801865</v>
      </c>
      <c r="AD297">
        <f t="shared" si="144"/>
        <v>49.256914599047064</v>
      </c>
      <c r="AE297">
        <f t="shared" si="170"/>
        <v>40.743085400952936</v>
      </c>
      <c r="AF297">
        <f t="shared" si="171"/>
        <v>1.8704307786201378E-2</v>
      </c>
      <c r="AG297">
        <f t="shared" si="172"/>
        <v>40.761789708739137</v>
      </c>
      <c r="AH297">
        <f t="shared" si="145"/>
        <v>182.5706705060733</v>
      </c>
      <c r="AK297">
        <f t="shared" si="173"/>
        <v>-0.20144680105416365</v>
      </c>
      <c r="AL297">
        <f t="shared" si="174"/>
        <v>0.97949945704173014</v>
      </c>
      <c r="AM297">
        <f t="shared" si="175"/>
        <v>656</v>
      </c>
      <c r="AN297">
        <f t="shared" si="176"/>
        <v>-328</v>
      </c>
      <c r="AO297">
        <f t="shared" si="177"/>
        <v>328</v>
      </c>
      <c r="AP297" s="16" cm="1">
        <f t="array" ref="AP297">SUMPRODUCT(1362*POWER(0.7,POWER(1/($AI$2*AK297+$AJ$2*AL297*COS(RADIANS(0.25*(_xlfn.SEQUENCE(AO297-AN297,1,AN297+1))))+0.50572*POWER(96.07995-DEGREES(ACOS($AI$2*AK297+$AJ$2*AL297*COS(RADIANS(0.25*(_xlfn.SEQUENCE(AO297-AN297,1,AN297+1)))))),-1.6364)),0.678))*IF(AL297*COS(RADIANS(0.25*(_xlfn.SEQUENCE(AO297-AN297,1,AN297+1))))&gt;0,AL297*COS(RADIANS(0.25*(_xlfn.SEQUENCE(AO297-AN297,1,AN297+1)))),0)/60)</f>
        <v>5429.301401523092</v>
      </c>
      <c r="AQ297" s="17" cm="1">
        <f t="array" ref="AQ297">SUMPRODUCT(1362*POWER(0.7,POWER(1/($AI$2*AK297+$AJ$2*AL297*COS(RADIANS(0.25*(_xlfn.SEQUENCE(AO297-AN297,1,AN297+1))))+0.50572*POWER(96.07995-DEGREES(ACOS($AI$2*AK297+$AJ$2*AL297*COS(RADIANS(0.25*(_xlfn.SEQUENCE(AO297-AN297,1,AN297+1)))))),-1.6364)),0.678))/60)</f>
        <v>7092.3061004751044</v>
      </c>
      <c r="AR297" s="15">
        <f t="shared" si="178"/>
        <v>1.306301782856536</v>
      </c>
      <c r="AT297">
        <v>0.49131037135264932</v>
      </c>
      <c r="AU297">
        <v>60.573255078089211</v>
      </c>
      <c r="AV297">
        <v>2.0293062743209767</v>
      </c>
      <c r="AW297">
        <v>765.4026111173946</v>
      </c>
    </row>
    <row r="298" spans="4:49" ht="17" x14ac:dyDescent="0.2">
      <c r="D298" s="1">
        <f t="shared" si="179"/>
        <v>46319</v>
      </c>
      <c r="E298" s="6">
        <f t="shared" si="146"/>
        <v>0.5</v>
      </c>
      <c r="F298" s="2">
        <f t="shared" si="147"/>
        <v>2461338.3333333335</v>
      </c>
      <c r="G298" s="3">
        <f t="shared" si="148"/>
        <v>0.26812685375314138</v>
      </c>
      <c r="I298">
        <f t="shared" si="149"/>
        <v>213.2396290065717</v>
      </c>
      <c r="J298">
        <f t="shared" si="150"/>
        <v>10009.841191309009</v>
      </c>
      <c r="K298">
        <f t="shared" si="151"/>
        <v>1.6697353642731151E-2</v>
      </c>
      <c r="L298">
        <f t="shared" si="152"/>
        <v>-1.8123319235400532</v>
      </c>
      <c r="M298">
        <f t="shared" si="153"/>
        <v>211.42729708303165</v>
      </c>
      <c r="N298">
        <f t="shared" si="154"/>
        <v>10008.028859385469</v>
      </c>
      <c r="O298">
        <f t="shared" si="155"/>
        <v>0.99458244866105516</v>
      </c>
      <c r="P298">
        <f t="shared" si="156"/>
        <v>211.4242490834649</v>
      </c>
      <c r="Q298">
        <f t="shared" si="157"/>
        <v>23.435804342742493</v>
      </c>
      <c r="R298">
        <f t="shared" si="158"/>
        <v>23.437937762745911</v>
      </c>
      <c r="S298">
        <f t="shared" si="159"/>
        <v>-150.72621746700861</v>
      </c>
      <c r="T298" s="19">
        <f t="shared" si="160"/>
        <v>-11.968746725404399</v>
      </c>
      <c r="U298">
        <f t="shared" si="161"/>
        <v>4.3029418575042562E-2</v>
      </c>
      <c r="V298">
        <f t="shared" si="162"/>
        <v>15.889911283664691</v>
      </c>
      <c r="W298">
        <f t="shared" si="163"/>
        <v>81.691999450843809</v>
      </c>
      <c r="X298" s="6">
        <f t="shared" si="164"/>
        <v>0.49438720049745499</v>
      </c>
      <c r="Y298" s="6">
        <f t="shared" si="165"/>
        <v>0.26746497980066664</v>
      </c>
      <c r="Z298" s="6">
        <f t="shared" si="166"/>
        <v>0.72130942119424335</v>
      </c>
      <c r="AA298" s="19">
        <f t="shared" si="167"/>
        <v>653.53599560675048</v>
      </c>
      <c r="AB298">
        <f t="shared" si="168"/>
        <v>728.08243128366462</v>
      </c>
      <c r="AC298">
        <f t="shared" si="169"/>
        <v>2.0206078209161547</v>
      </c>
      <c r="AD298">
        <f t="shared" si="144"/>
        <v>49.605012586180422</v>
      </c>
      <c r="AE298">
        <f t="shared" si="170"/>
        <v>40.394987413819578</v>
      </c>
      <c r="AF298">
        <f t="shared" si="171"/>
        <v>1.8934985546136845E-2</v>
      </c>
      <c r="AG298">
        <f t="shared" si="172"/>
        <v>40.413922399365717</v>
      </c>
      <c r="AH298">
        <f t="shared" si="145"/>
        <v>182.59579968630678</v>
      </c>
      <c r="AK298">
        <f t="shared" si="173"/>
        <v>-0.20737810725325706</v>
      </c>
      <c r="AL298">
        <f t="shared" si="174"/>
        <v>0.97826086532788203</v>
      </c>
      <c r="AM298">
        <f t="shared" si="175"/>
        <v>654</v>
      </c>
      <c r="AN298">
        <f t="shared" si="176"/>
        <v>-327</v>
      </c>
      <c r="AO298">
        <f t="shared" si="177"/>
        <v>327</v>
      </c>
      <c r="AP298" s="16" cm="1">
        <f t="array" ref="AP298">SUMPRODUCT(1362*POWER(0.7,POWER(1/($AI$2*AK298+$AJ$2*AL298*COS(RADIANS(0.25*(_xlfn.SEQUENCE(AO298-AN298,1,AN298+1))))+0.50572*POWER(96.07995-DEGREES(ACOS($AI$2*AK298+$AJ$2*AL298*COS(RADIANS(0.25*(_xlfn.SEQUENCE(AO298-AN298,1,AN298+1)))))),-1.6364)),0.678))*IF(AL298*COS(RADIANS(0.25*(_xlfn.SEQUENCE(AO298-AN298,1,AN298+1))))&gt;0,AL298*COS(RADIANS(0.25*(_xlfn.SEQUENCE(AO298-AN298,1,AN298+1)))),0)/60)</f>
        <v>5398.9291522352014</v>
      </c>
      <c r="AQ298" s="17" cm="1">
        <f t="array" ref="AQ298">SUMPRODUCT(1362*POWER(0.7,POWER(1/($AI$2*AK298+$AJ$2*AL298*COS(RADIANS(0.25*(_xlfn.SEQUENCE(AO298-AN298,1,AN298+1))))+0.50572*POWER(96.07995-DEGREES(ACOS($AI$2*AK298+$AJ$2*AL298*COS(RADIANS(0.25*(_xlfn.SEQUENCE(AO298-AN298,1,AN298+1)))))),-1.6364)),0.678))/60)</f>
        <v>7047.6022808173493</v>
      </c>
      <c r="AR298" s="15">
        <f t="shared" si="178"/>
        <v>1.3053703951457825</v>
      </c>
      <c r="AT298">
        <v>0.49119927116755691</v>
      </c>
      <c r="AU298">
        <v>60.580563293366005</v>
      </c>
      <c r="AV298">
        <v>2.0297618585525679</v>
      </c>
      <c r="AW298">
        <v>765.33547437747029</v>
      </c>
    </row>
    <row r="299" spans="4:49" ht="17" x14ac:dyDescent="0.2">
      <c r="D299" s="1">
        <f t="shared" si="179"/>
        <v>46320</v>
      </c>
      <c r="E299" s="6">
        <f t="shared" si="146"/>
        <v>0.5</v>
      </c>
      <c r="F299" s="2">
        <f t="shared" si="147"/>
        <v>2461339.3333333335</v>
      </c>
      <c r="G299" s="3">
        <f t="shared" si="148"/>
        <v>0.2681542322610127</v>
      </c>
      <c r="I299">
        <f t="shared" si="149"/>
        <v>214.22527637118765</v>
      </c>
      <c r="J299">
        <f t="shared" si="150"/>
        <v>10010.826791588479</v>
      </c>
      <c r="K299">
        <f t="shared" si="151"/>
        <v>1.6697352489960533E-2</v>
      </c>
      <c r="L299">
        <f t="shared" si="152"/>
        <v>-1.8014290769002859</v>
      </c>
      <c r="M299">
        <f t="shared" si="153"/>
        <v>212.42384729428736</v>
      </c>
      <c r="N299">
        <f t="shared" si="154"/>
        <v>10009.025362511578</v>
      </c>
      <c r="O299">
        <f t="shared" si="155"/>
        <v>0.99431007280448269</v>
      </c>
      <c r="P299">
        <f t="shared" si="156"/>
        <v>212.42080297520735</v>
      </c>
      <c r="Q299">
        <f t="shared" si="157"/>
        <v>23.435803986708379</v>
      </c>
      <c r="R299">
        <f t="shared" si="158"/>
        <v>23.437936098067755</v>
      </c>
      <c r="S299">
        <f t="shared" si="159"/>
        <v>-149.76956755988482</v>
      </c>
      <c r="T299" s="19">
        <f t="shared" si="160"/>
        <v>-12.312876155310931</v>
      </c>
      <c r="U299">
        <f t="shared" si="161"/>
        <v>4.302941228886089E-2</v>
      </c>
      <c r="V299">
        <f t="shared" si="162"/>
        <v>16.007715505590088</v>
      </c>
      <c r="W299">
        <f t="shared" si="163"/>
        <v>81.413081672570954</v>
      </c>
      <c r="X299" s="6">
        <f t="shared" si="164"/>
        <v>0.49430539201000684</v>
      </c>
      <c r="Y299" s="6">
        <f t="shared" si="165"/>
        <v>0.26815794291953193</v>
      </c>
      <c r="Z299" s="6">
        <f t="shared" si="166"/>
        <v>0.72045284110048169</v>
      </c>
      <c r="AA299" s="19">
        <f t="shared" si="167"/>
        <v>651.30465338056763</v>
      </c>
      <c r="AB299">
        <f t="shared" si="168"/>
        <v>728.20023550559017</v>
      </c>
      <c r="AC299">
        <f t="shared" si="169"/>
        <v>2.0500588763975429</v>
      </c>
      <c r="AD299">
        <f t="shared" si="144"/>
        <v>49.949969325872125</v>
      </c>
      <c r="AE299">
        <f t="shared" si="170"/>
        <v>40.050030674127875</v>
      </c>
      <c r="AF299">
        <f t="shared" si="171"/>
        <v>1.9166826039736833E-2</v>
      </c>
      <c r="AG299">
        <f t="shared" si="172"/>
        <v>40.069197500167611</v>
      </c>
      <c r="AH299">
        <f t="shared" si="145"/>
        <v>182.61687344730603</v>
      </c>
      <c r="AK299">
        <f t="shared" si="173"/>
        <v>-0.2132499536208253</v>
      </c>
      <c r="AL299">
        <f t="shared" si="174"/>
        <v>0.97699767516648461</v>
      </c>
      <c r="AM299">
        <f t="shared" si="175"/>
        <v>651</v>
      </c>
      <c r="AN299">
        <f t="shared" si="176"/>
        <v>-325.5</v>
      </c>
      <c r="AO299">
        <f t="shared" si="177"/>
        <v>325.5</v>
      </c>
      <c r="AP299" s="16" cm="1">
        <f t="array" ref="AP299">SUMPRODUCT(1362*POWER(0.7,POWER(1/($AI$2*AK299+$AJ$2*AL299*COS(RADIANS(0.25*(_xlfn.SEQUENCE(AO299-AN299,1,AN299+1))))+0.50572*POWER(96.07995-DEGREES(ACOS($AI$2*AK299+$AJ$2*AL299*COS(RADIANS(0.25*(_xlfn.SEQUENCE(AO299-AN299,1,AN299+1)))))),-1.6364)),0.678))*IF(AL299*COS(RADIANS(0.25*(_xlfn.SEQUENCE(AO299-AN299,1,AN299+1))))&gt;0,AL299*COS(RADIANS(0.25*(_xlfn.SEQUENCE(AO299-AN299,1,AN299+1)))),0)/60)</f>
        <v>5368.3758721159056</v>
      </c>
      <c r="AQ299" s="17" cm="1">
        <f t="array" ref="AQ299">SUMPRODUCT(1362*POWER(0.7,POWER(1/($AI$2*AK299+$AJ$2*AL299*COS(RADIANS(0.25*(_xlfn.SEQUENCE(AO299-AN299,1,AN299+1))))+0.50572*POWER(96.07995-DEGREES(ACOS($AI$2*AK299+$AJ$2*AL299*COS(RADIANS(0.25*(_xlfn.SEQUENCE(AO299-AN299,1,AN299+1)))))),-1.6364)),0.678))/60)</f>
        <v>7002.9424217980304</v>
      </c>
      <c r="AR299" s="15">
        <f t="shared" si="178"/>
        <v>1.3044806452864621</v>
      </c>
      <c r="AT299">
        <v>0.49107429020193694</v>
      </c>
      <c r="AU299">
        <v>60.588783963785389</v>
      </c>
      <c r="AV299">
        <v>2.0302746065699702</v>
      </c>
      <c r="AW299">
        <v>765.25992659630754</v>
      </c>
    </row>
    <row r="300" spans="4:49" ht="17" x14ac:dyDescent="0.2">
      <c r="D300" s="1">
        <f t="shared" si="179"/>
        <v>46321</v>
      </c>
      <c r="E300" s="6">
        <f t="shared" si="146"/>
        <v>0.5</v>
      </c>
      <c r="F300" s="2">
        <f t="shared" si="147"/>
        <v>2461340.3333333335</v>
      </c>
      <c r="G300" s="3">
        <f t="shared" si="148"/>
        <v>0.26818161076888403</v>
      </c>
      <c r="I300">
        <f t="shared" si="149"/>
        <v>215.21092373580177</v>
      </c>
      <c r="J300">
        <f t="shared" si="150"/>
        <v>10011.812391867945</v>
      </c>
      <c r="K300">
        <f t="shared" si="151"/>
        <v>1.6697351337189723E-2</v>
      </c>
      <c r="L300">
        <f t="shared" si="152"/>
        <v>-1.789981725540045</v>
      </c>
      <c r="M300">
        <f t="shared" si="153"/>
        <v>213.42094201026174</v>
      </c>
      <c r="N300">
        <f t="shared" si="154"/>
        <v>10010.022410142405</v>
      </c>
      <c r="O300">
        <f t="shared" si="155"/>
        <v>0.99403932610068613</v>
      </c>
      <c r="P300">
        <f t="shared" si="156"/>
        <v>213.41790136940861</v>
      </c>
      <c r="Q300">
        <f t="shared" si="157"/>
        <v>23.435803630674268</v>
      </c>
      <c r="R300">
        <f t="shared" si="158"/>
        <v>23.437934431568404</v>
      </c>
      <c r="S300">
        <f t="shared" si="159"/>
        <v>-148.80989357382484</v>
      </c>
      <c r="T300" s="19">
        <f t="shared" si="160"/>
        <v>-12.653854307622185</v>
      </c>
      <c r="U300">
        <f t="shared" si="161"/>
        <v>4.302940599580251E-2</v>
      </c>
      <c r="V300">
        <f t="shared" si="162"/>
        <v>16.113246468561655</v>
      </c>
      <c r="W300">
        <f t="shared" si="163"/>
        <v>81.135831485715187</v>
      </c>
      <c r="X300" s="6">
        <f t="shared" si="164"/>
        <v>0.49423210661905442</v>
      </c>
      <c r="Y300" s="6">
        <f t="shared" si="165"/>
        <v>0.26885479693651226</v>
      </c>
      <c r="Z300" s="6">
        <f t="shared" si="166"/>
        <v>0.71960941630159658</v>
      </c>
      <c r="AA300" s="19">
        <f t="shared" si="167"/>
        <v>649.08665188572149</v>
      </c>
      <c r="AB300">
        <f t="shared" si="168"/>
        <v>728.30576646856161</v>
      </c>
      <c r="AC300">
        <f t="shared" si="169"/>
        <v>2.0764416171404037</v>
      </c>
      <c r="AD300">
        <f t="shared" si="144"/>
        <v>50.291669312857124</v>
      </c>
      <c r="AE300">
        <f t="shared" si="170"/>
        <v>39.708330687142876</v>
      </c>
      <c r="AF300">
        <f t="shared" si="171"/>
        <v>1.9399746311204696E-2</v>
      </c>
      <c r="AG300">
        <f t="shared" si="172"/>
        <v>39.727730433454077</v>
      </c>
      <c r="AH300">
        <f t="shared" si="145"/>
        <v>182.63390107616749</v>
      </c>
      <c r="AK300">
        <f t="shared" si="173"/>
        <v>-0.21906044320552598</v>
      </c>
      <c r="AL300">
        <f t="shared" si="174"/>
        <v>0.97571129040438931</v>
      </c>
      <c r="AM300">
        <f t="shared" si="175"/>
        <v>649</v>
      </c>
      <c r="AN300">
        <f t="shared" si="176"/>
        <v>-324.5</v>
      </c>
      <c r="AO300">
        <f t="shared" si="177"/>
        <v>324.5</v>
      </c>
      <c r="AP300" s="16" cm="1">
        <f t="array" ref="AP300">SUMPRODUCT(1362*POWER(0.7,POWER(1/($AI$2*AK300+$AJ$2*AL300*COS(RADIANS(0.25*(_xlfn.SEQUENCE(AO300-AN300,1,AN300+1))))+0.50572*POWER(96.07995-DEGREES(ACOS($AI$2*AK300+$AJ$2*AL300*COS(RADIANS(0.25*(_xlfn.SEQUENCE(AO300-AN300,1,AN300+1)))))),-1.6364)),0.678))*IF(AL300*COS(RADIANS(0.25*(_xlfn.SEQUENCE(AO300-AN300,1,AN300+1))))&gt;0,AL300*COS(RADIANS(0.25*(_xlfn.SEQUENCE(AO300-AN300,1,AN300+1)))),0)/60)</f>
        <v>5337.698301839795</v>
      </c>
      <c r="AQ300" s="17" cm="1">
        <f t="array" ref="AQ300">SUMPRODUCT(1362*POWER(0.7,POWER(1/($AI$2*AK300+$AJ$2*AL300*COS(RADIANS(0.25*(_xlfn.SEQUENCE(AO300-AN300,1,AN300+1))))+0.50572*POWER(96.07995-DEGREES(ACOS($AI$2*AK300+$AJ$2*AL300*COS(RADIANS(0.25*(_xlfn.SEQUENCE(AO300-AN300,1,AN300+1)))))),-1.6364)),0.678))/60)</f>
        <v>6958.584645878962</v>
      </c>
      <c r="AR300" s="15">
        <f t="shared" si="178"/>
        <v>1.3036676583014219</v>
      </c>
      <c r="AT300">
        <v>0.49093543083524704</v>
      </c>
      <c r="AU300">
        <v>60.597916711616897</v>
      </c>
      <c r="AV300">
        <v>2.0308445946989782</v>
      </c>
      <c r="AW300">
        <v>765.17596107606221</v>
      </c>
    </row>
    <row r="301" spans="4:49" ht="17" x14ac:dyDescent="0.2">
      <c r="D301" s="1">
        <f t="shared" si="179"/>
        <v>46322</v>
      </c>
      <c r="E301" s="6">
        <f t="shared" si="146"/>
        <v>0.5</v>
      </c>
      <c r="F301" s="2">
        <f t="shared" si="147"/>
        <v>2461341.3333333335</v>
      </c>
      <c r="G301" s="3">
        <f t="shared" si="148"/>
        <v>0.26820898927675535</v>
      </c>
      <c r="I301">
        <f t="shared" si="149"/>
        <v>216.19657110041953</v>
      </c>
      <c r="J301">
        <f t="shared" si="150"/>
        <v>10012.797992147414</v>
      </c>
      <c r="K301">
        <f t="shared" si="151"/>
        <v>1.6697350184418727E-2</v>
      </c>
      <c r="L301">
        <f t="shared" si="152"/>
        <v>-1.7779927766054728</v>
      </c>
      <c r="M301">
        <f t="shared" si="153"/>
        <v>214.41857832381405</v>
      </c>
      <c r="N301">
        <f t="shared" si="154"/>
        <v>10011.019999370808</v>
      </c>
      <c r="O301">
        <f t="shared" si="155"/>
        <v>0.99377029144497175</v>
      </c>
      <c r="P301">
        <f t="shared" si="156"/>
        <v>214.41554135892474</v>
      </c>
      <c r="Q301">
        <f t="shared" si="157"/>
        <v>23.435803274640158</v>
      </c>
      <c r="R301">
        <f t="shared" si="158"/>
        <v>23.43793276324897</v>
      </c>
      <c r="S301">
        <f t="shared" si="159"/>
        <v>-147.84714137406971</v>
      </c>
      <c r="T301" s="19">
        <f t="shared" si="160"/>
        <v>-12.99157004899943</v>
      </c>
      <c r="U301">
        <f t="shared" si="161"/>
        <v>4.3029399695871572E-2</v>
      </c>
      <c r="V301">
        <f t="shared" si="162"/>
        <v>16.206276358696531</v>
      </c>
      <c r="W301">
        <f t="shared" si="163"/>
        <v>80.860333727052719</v>
      </c>
      <c r="X301" s="6">
        <f t="shared" si="164"/>
        <v>0.49416750252868286</v>
      </c>
      <c r="Y301" s="6">
        <f t="shared" si="165"/>
        <v>0.26955546439798084</v>
      </c>
      <c r="Z301" s="6">
        <f t="shared" si="166"/>
        <v>0.71877954065938476</v>
      </c>
      <c r="AA301" s="19">
        <f t="shared" si="167"/>
        <v>646.88266981642175</v>
      </c>
      <c r="AB301">
        <f t="shared" si="168"/>
        <v>728.39879635869647</v>
      </c>
      <c r="AC301">
        <f t="shared" si="169"/>
        <v>2.0996990896741181</v>
      </c>
      <c r="AD301">
        <f t="shared" si="144"/>
        <v>50.629997240487398</v>
      </c>
      <c r="AE301">
        <f t="shared" si="170"/>
        <v>39.370002759512602</v>
      </c>
      <c r="AF301">
        <f t="shared" si="171"/>
        <v>1.9633657998878448E-2</v>
      </c>
      <c r="AG301">
        <f t="shared" si="172"/>
        <v>39.389636417511483</v>
      </c>
      <c r="AH301">
        <f t="shared" si="145"/>
        <v>182.64689409025678</v>
      </c>
      <c r="AK301">
        <f t="shared" si="173"/>
        <v>-0.22480769245148199</v>
      </c>
      <c r="AL301">
        <f t="shared" si="174"/>
        <v>0.97440315137762146</v>
      </c>
      <c r="AM301">
        <f t="shared" si="175"/>
        <v>647</v>
      </c>
      <c r="AN301">
        <f t="shared" si="176"/>
        <v>-323.5</v>
      </c>
      <c r="AO301">
        <f t="shared" si="177"/>
        <v>323.5</v>
      </c>
      <c r="AP301" s="16" cm="1">
        <f t="array" ref="AP301">SUMPRODUCT(1362*POWER(0.7,POWER(1/($AI$2*AK301+$AJ$2*AL301*COS(RADIANS(0.25*(_xlfn.SEQUENCE(AO301-AN301,1,AN301+1))))+0.50572*POWER(96.07995-DEGREES(ACOS($AI$2*AK301+$AJ$2*AL301*COS(RADIANS(0.25*(_xlfn.SEQUENCE(AO301-AN301,1,AN301+1)))))),-1.6364)),0.678))*IF(AL301*COS(RADIANS(0.25*(_xlfn.SEQUENCE(AO301-AN301,1,AN301+1))))&gt;0,AL301*COS(RADIANS(0.25*(_xlfn.SEQUENCE(AO301-AN301,1,AN301+1)))),0)/60)</f>
        <v>5306.9017085207715</v>
      </c>
      <c r="AQ301" s="17" cm="1">
        <f t="array" ref="AQ301">SUMPRODUCT(1362*POWER(0.7,POWER(1/($AI$2*AK301+$AJ$2*AL301*COS(RADIANS(0.25*(_xlfn.SEQUENCE(AO301-AN301,1,AN301+1))))+0.50572*POWER(96.07995-DEGREES(ACOS($AI$2*AK301+$AJ$2*AL301*COS(RADIANS(0.25*(_xlfn.SEQUENCE(AO301-AN301,1,AN301+1)))))),-1.6364)),0.678))/60)</f>
        <v>6914.4244672049945</v>
      </c>
      <c r="AR301" s="15">
        <f t="shared" si="178"/>
        <v>1.3029117264605035</v>
      </c>
      <c r="AT301">
        <v>0.49078269571116917</v>
      </c>
      <c r="AU301">
        <v>60.60796111745973</v>
      </c>
      <c r="AV301">
        <v>2.0314719078442032</v>
      </c>
      <c r="AW301">
        <v>765.08357036909206</v>
      </c>
    </row>
    <row r="302" spans="4:49" ht="17" x14ac:dyDescent="0.2">
      <c r="D302" s="1">
        <f t="shared" si="179"/>
        <v>46323</v>
      </c>
      <c r="E302" s="6">
        <f t="shared" si="146"/>
        <v>0.5</v>
      </c>
      <c r="F302" s="2">
        <f t="shared" si="147"/>
        <v>2461342.3333333335</v>
      </c>
      <c r="G302" s="3">
        <f t="shared" si="148"/>
        <v>0.26823636778462667</v>
      </c>
      <c r="I302">
        <f t="shared" si="149"/>
        <v>217.18221846503729</v>
      </c>
      <c r="J302">
        <f t="shared" si="150"/>
        <v>10013.78359242688</v>
      </c>
      <c r="K302">
        <f t="shared" si="151"/>
        <v>1.6697349031647539E-2</v>
      </c>
      <c r="L302">
        <f t="shared" si="152"/>
        <v>-1.7654653112154999</v>
      </c>
      <c r="M302">
        <f t="shared" si="153"/>
        <v>215.41675315382179</v>
      </c>
      <c r="N302">
        <f t="shared" si="154"/>
        <v>10012.018127115665</v>
      </c>
      <c r="O302">
        <f t="shared" si="155"/>
        <v>0.99350305134202155</v>
      </c>
      <c r="P302">
        <f t="shared" si="156"/>
        <v>215.41371986263016</v>
      </c>
      <c r="Q302">
        <f t="shared" si="157"/>
        <v>23.435802918606047</v>
      </c>
      <c r="R302">
        <f t="shared" si="158"/>
        <v>23.437931093110574</v>
      </c>
      <c r="S302">
        <f t="shared" si="159"/>
        <v>-146.88125923627331</v>
      </c>
      <c r="T302" s="19">
        <f t="shared" si="160"/>
        <v>-13.325911907346237</v>
      </c>
      <c r="U302">
        <f t="shared" si="161"/>
        <v>4.3029393389072378E-2</v>
      </c>
      <c r="V302">
        <f t="shared" si="162"/>
        <v>16.286588149403308</v>
      </c>
      <c r="W302">
        <f t="shared" si="163"/>
        <v>80.58667577773646</v>
      </c>
      <c r="X302" s="6">
        <f t="shared" si="164"/>
        <v>0.49411173045180323</v>
      </c>
      <c r="Y302" s="6">
        <f t="shared" si="165"/>
        <v>0.27025985329142416</v>
      </c>
      <c r="Z302" s="6">
        <f t="shared" si="166"/>
        <v>0.71796360761218225</v>
      </c>
      <c r="AA302" s="19">
        <f t="shared" si="167"/>
        <v>644.69340622189168</v>
      </c>
      <c r="AB302">
        <f t="shared" si="168"/>
        <v>728.47910814940337</v>
      </c>
      <c r="AC302">
        <f t="shared" si="169"/>
        <v>2.1197770373508433</v>
      </c>
      <c r="AD302">
        <f t="shared" si="144"/>
        <v>50.964838053358534</v>
      </c>
      <c r="AE302">
        <f t="shared" si="170"/>
        <v>39.035161946641466</v>
      </c>
      <c r="AF302">
        <f t="shared" si="171"/>
        <v>1.9868467162921108E-2</v>
      </c>
      <c r="AG302">
        <f t="shared" si="172"/>
        <v>39.055030413804388</v>
      </c>
      <c r="AH302">
        <f t="shared" si="145"/>
        <v>182.65586626207696</v>
      </c>
      <c r="AK302">
        <f t="shared" si="173"/>
        <v>-0.23048983194212924</v>
      </c>
      <c r="AL302">
        <f t="shared" si="174"/>
        <v>0.97307473370306408</v>
      </c>
      <c r="AM302">
        <f t="shared" si="175"/>
        <v>645</v>
      </c>
      <c r="AN302">
        <f t="shared" si="176"/>
        <v>-322.5</v>
      </c>
      <c r="AO302">
        <f t="shared" si="177"/>
        <v>322.5</v>
      </c>
      <c r="AP302" s="16" cm="1">
        <f t="array" ref="AP302">SUMPRODUCT(1362*POWER(0.7,POWER(1/($AI$2*AK302+$AJ$2*AL302*COS(RADIANS(0.25*(_xlfn.SEQUENCE(AO302-AN302,1,AN302+1))))+0.50572*POWER(96.07995-DEGREES(ACOS($AI$2*AK302+$AJ$2*AL302*COS(RADIANS(0.25*(_xlfn.SEQUENCE(AO302-AN302,1,AN302+1)))))),-1.6364)),0.678))*IF(AL302*COS(RADIANS(0.25*(_xlfn.SEQUENCE(AO302-AN302,1,AN302+1))))&gt;0,AL302*COS(RADIANS(0.25*(_xlfn.SEQUENCE(AO302-AN302,1,AN302+1)))),0)/60)</f>
        <v>5276.0091097090462</v>
      </c>
      <c r="AQ302" s="17" cm="1">
        <f t="array" ref="AQ302">SUMPRODUCT(1362*POWER(0.7,POWER(1/($AI$2*AK302+$AJ$2*AL302*COS(RADIANS(0.25*(_xlfn.SEQUENCE(AO302-AN302,1,AN302+1))))+0.50572*POWER(96.07995-DEGREES(ACOS($AI$2*AK302+$AJ$2*AL302*COS(RADIANS(0.25*(_xlfn.SEQUENCE(AO302-AN302,1,AN302+1)))))),-1.6364)),0.678))/60)</f>
        <v>6870.4800861883923</v>
      </c>
      <c r="AR302" s="15">
        <f t="shared" si="178"/>
        <v>1.3022115662281857</v>
      </c>
      <c r="AT302">
        <v>0.49061608773756016</v>
      </c>
      <c r="AU302">
        <v>60.61891672033682</v>
      </c>
      <c r="AV302">
        <v>2.0321566395202333</v>
      </c>
      <c r="AW302">
        <v>764.98274627618639</v>
      </c>
    </row>
    <row r="303" spans="4:49" ht="17" x14ac:dyDescent="0.2">
      <c r="D303" s="1">
        <f t="shared" si="179"/>
        <v>46324</v>
      </c>
      <c r="E303" s="6">
        <f t="shared" si="146"/>
        <v>0.5</v>
      </c>
      <c r="F303" s="2">
        <f t="shared" si="147"/>
        <v>2461343.3333333335</v>
      </c>
      <c r="G303" s="3">
        <f t="shared" si="148"/>
        <v>0.268263746292498</v>
      </c>
      <c r="I303">
        <f t="shared" si="149"/>
        <v>218.16786582965506</v>
      </c>
      <c r="J303">
        <f t="shared" si="150"/>
        <v>10014.769192706348</v>
      </c>
      <c r="K303">
        <f t="shared" si="151"/>
        <v>1.6697347878876161E-2</v>
      </c>
      <c r="L303">
        <f t="shared" si="152"/>
        <v>-1.7524025841498188</v>
      </c>
      <c r="M303">
        <f t="shared" si="153"/>
        <v>216.41546324550524</v>
      </c>
      <c r="N303">
        <f t="shared" si="154"/>
        <v>10013.016790122198</v>
      </c>
      <c r="O303">
        <f t="shared" si="155"/>
        <v>0.99323768787819411</v>
      </c>
      <c r="P303">
        <f t="shared" si="156"/>
        <v>216.41243362574198</v>
      </c>
      <c r="Q303">
        <f t="shared" si="157"/>
        <v>23.435802562571936</v>
      </c>
      <c r="R303">
        <f t="shared" si="158"/>
        <v>23.437929421154337</v>
      </c>
      <c r="S303">
        <f t="shared" si="159"/>
        <v>-145.9121979555741</v>
      </c>
      <c r="T303" s="19">
        <f t="shared" si="160"/>
        <v>-13.656768107624487</v>
      </c>
      <c r="U303">
        <f t="shared" si="161"/>
        <v>4.3029387075409105E-2</v>
      </c>
      <c r="V303">
        <f t="shared" si="162"/>
        <v>16.353976132420705</v>
      </c>
      <c r="W303">
        <f t="shared" si="163"/>
        <v>80.314947590296072</v>
      </c>
      <c r="X303" s="6">
        <f t="shared" si="164"/>
        <v>0.49406493324137446</v>
      </c>
      <c r="Y303" s="6">
        <f t="shared" si="165"/>
        <v>0.27096785660166317</v>
      </c>
      <c r="Z303" s="6">
        <f t="shared" si="166"/>
        <v>0.7171620098810858</v>
      </c>
      <c r="AA303" s="19">
        <f t="shared" si="167"/>
        <v>642.51958072236857</v>
      </c>
      <c r="AB303">
        <f t="shared" si="168"/>
        <v>728.54649613242077</v>
      </c>
      <c r="AC303">
        <f t="shared" si="169"/>
        <v>2.1366240331051927</v>
      </c>
      <c r="AD303">
        <f t="shared" si="144"/>
        <v>51.296077001034838</v>
      </c>
      <c r="AE303">
        <f t="shared" si="170"/>
        <v>38.703922998965162</v>
      </c>
      <c r="AF303">
        <f t="shared" si="171"/>
        <v>2.0104074118608633E-2</v>
      </c>
      <c r="AG303">
        <f t="shared" si="172"/>
        <v>38.724027073083768</v>
      </c>
      <c r="AH303">
        <f t="shared" si="145"/>
        <v>182.66083364192986</v>
      </c>
      <c r="AK303">
        <f t="shared" si="173"/>
        <v>-0.23610500714663257</v>
      </c>
      <c r="AL303">
        <f t="shared" si="174"/>
        <v>0.97172754700084973</v>
      </c>
      <c r="AM303">
        <f t="shared" si="175"/>
        <v>643</v>
      </c>
      <c r="AN303">
        <f t="shared" si="176"/>
        <v>-321.5</v>
      </c>
      <c r="AO303">
        <f t="shared" si="177"/>
        <v>321.5</v>
      </c>
      <c r="AP303" s="16" cm="1">
        <f t="array" ref="AP303">SUMPRODUCT(1362*POWER(0.7,POWER(1/($AI$2*AK303+$AJ$2*AL303*COS(RADIANS(0.25*(_xlfn.SEQUENCE(AO303-AN303,1,AN303+1))))+0.50572*POWER(96.07995-DEGREES(ACOS($AI$2*AK303+$AJ$2*AL303*COS(RADIANS(0.25*(_xlfn.SEQUENCE(AO303-AN303,1,AN303+1)))))),-1.6364)),0.678))*IF(AL303*COS(RADIANS(0.25*(_xlfn.SEQUENCE(AO303-AN303,1,AN303+1))))&gt;0,AL303*COS(RADIANS(0.25*(_xlfn.SEQUENCE(AO303-AN303,1,AN303+1)))),0)/60)</f>
        <v>5245.0439386593553</v>
      </c>
      <c r="AQ303" s="17" cm="1">
        <f t="array" ref="AQ303">SUMPRODUCT(1362*POWER(0.7,POWER(1/($AI$2*AK303+$AJ$2*AL303*COS(RADIANS(0.25*(_xlfn.SEQUENCE(AO303-AN303,1,AN303+1))))+0.50572*POWER(96.07995-DEGREES(ACOS($AI$2*AK303+$AJ$2*AL303*COS(RADIANS(0.25*(_xlfn.SEQUENCE(AO303-AN303,1,AN303+1)))))),-1.6364)),0.678))/60)</f>
        <v>6826.7701147187709</v>
      </c>
      <c r="AR303" s="15">
        <f t="shared" si="178"/>
        <v>1.3015658580857776</v>
      </c>
      <c r="AT303">
        <v>0.49043561008639547</v>
      </c>
      <c r="AU303">
        <v>60.630783017798393</v>
      </c>
      <c r="AV303">
        <v>2.0328988918859991</v>
      </c>
      <c r="AW303">
        <v>764.87347984461189</v>
      </c>
    </row>
    <row r="304" spans="4:49" ht="17" x14ac:dyDescent="0.2">
      <c r="D304" s="1">
        <f t="shared" si="179"/>
        <v>46325</v>
      </c>
      <c r="E304" s="6">
        <f t="shared" si="146"/>
        <v>0.5</v>
      </c>
      <c r="F304" s="2">
        <f t="shared" si="147"/>
        <v>2461344.3333333335</v>
      </c>
      <c r="G304" s="3">
        <f t="shared" si="148"/>
        <v>0.26829112480036932</v>
      </c>
      <c r="I304">
        <f t="shared" si="149"/>
        <v>219.15351319427464</v>
      </c>
      <c r="J304">
        <f t="shared" si="150"/>
        <v>10015.754792985816</v>
      </c>
      <c r="K304">
        <f t="shared" si="151"/>
        <v>1.6697346726104595E-2</v>
      </c>
      <c r="L304">
        <f t="shared" si="152"/>
        <v>-1.7388080234702363</v>
      </c>
      <c r="M304">
        <f t="shared" si="153"/>
        <v>217.41470517080441</v>
      </c>
      <c r="N304">
        <f t="shared" si="154"/>
        <v>10014.015984962345</v>
      </c>
      <c r="O304">
        <f t="shared" si="155"/>
        <v>0.99297428269381416</v>
      </c>
      <c r="P304">
        <f t="shared" si="156"/>
        <v>217.4116792201971</v>
      </c>
      <c r="Q304">
        <f t="shared" si="157"/>
        <v>23.435802206537829</v>
      </c>
      <c r="R304">
        <f t="shared" si="158"/>
        <v>23.437927747381391</v>
      </c>
      <c r="S304">
        <f t="shared" si="159"/>
        <v>-144.93991095689051</v>
      </c>
      <c r="T304" s="19">
        <f t="shared" si="160"/>
        <v>-13.984026610721097</v>
      </c>
      <c r="U304">
        <f t="shared" si="161"/>
        <v>4.3029380754886076E-2</v>
      </c>
      <c r="V304">
        <f t="shared" si="162"/>
        <v>16.408246445407112</v>
      </c>
      <c r="W304">
        <f t="shared" si="163"/>
        <v>80.045241709228819</v>
      </c>
      <c r="X304" s="6">
        <f t="shared" si="164"/>
        <v>0.49402724552402283</v>
      </c>
      <c r="Y304" s="6">
        <f t="shared" si="165"/>
        <v>0.27167935188727615</v>
      </c>
      <c r="Z304" s="6">
        <f t="shared" si="166"/>
        <v>0.71637513916076956</v>
      </c>
      <c r="AA304" s="19">
        <f t="shared" si="167"/>
        <v>640.36193367383055</v>
      </c>
      <c r="AB304">
        <f t="shared" si="168"/>
        <v>728.60076644540709</v>
      </c>
      <c r="AC304">
        <f t="shared" si="169"/>
        <v>2.1501916113517723</v>
      </c>
      <c r="AD304">
        <f t="shared" si="144"/>
        <v>51.623599692812874</v>
      </c>
      <c r="AE304">
        <f t="shared" si="170"/>
        <v>38.376400307187126</v>
      </c>
      <c r="AF304">
        <f t="shared" si="171"/>
        <v>2.0340373276475129E-2</v>
      </c>
      <c r="AG304">
        <f t="shared" si="172"/>
        <v>38.396740680463601</v>
      </c>
      <c r="AH304">
        <f t="shared" si="145"/>
        <v>182.66181457811078</v>
      </c>
      <c r="AK304">
        <f t="shared" si="173"/>
        <v>-0.24165137916818086</v>
      </c>
      <c r="AL304">
        <f t="shared" si="174"/>
        <v>0.97036313354646575</v>
      </c>
      <c r="AM304">
        <f t="shared" si="175"/>
        <v>640</v>
      </c>
      <c r="AN304">
        <f t="shared" si="176"/>
        <v>-320</v>
      </c>
      <c r="AO304">
        <f t="shared" si="177"/>
        <v>320</v>
      </c>
      <c r="AP304" s="16" cm="1">
        <f t="array" ref="AP304">SUMPRODUCT(1362*POWER(0.7,POWER(1/($AI$2*AK304+$AJ$2*AL304*COS(RADIANS(0.25*(_xlfn.SEQUENCE(AO304-AN304,1,AN304+1))))+0.50572*POWER(96.07995-DEGREES(ACOS($AI$2*AK304+$AJ$2*AL304*COS(RADIANS(0.25*(_xlfn.SEQUENCE(AO304-AN304,1,AN304+1)))))),-1.6364)),0.678))*IF(AL304*COS(RADIANS(0.25*(_xlfn.SEQUENCE(AO304-AN304,1,AN304+1))))&gt;0,AL304*COS(RADIANS(0.25*(_xlfn.SEQUENCE(AO304-AN304,1,AN304+1)))),0)/60)</f>
        <v>5214.0099646729768</v>
      </c>
      <c r="AQ304" s="17" cm="1">
        <f t="array" ref="AQ304">SUMPRODUCT(1362*POWER(0.7,POWER(1/($AI$2*AK304+$AJ$2*AL304*COS(RADIANS(0.25*(_xlfn.SEQUENCE(AO304-AN304,1,AN304+1))))+0.50572*POWER(96.07995-DEGREES(ACOS($AI$2*AK304+$AJ$2*AL304*COS(RADIANS(0.25*(_xlfn.SEQUENCE(AO304-AN304,1,AN304+1)))))),-1.6364)),0.678))/60)</f>
        <v>6783.1939136871706</v>
      </c>
      <c r="AR304" s="15">
        <f t="shared" si="178"/>
        <v>1.3009553030481431</v>
      </c>
      <c r="AT304">
        <v>0.49024126619370945</v>
      </c>
      <c r="AU304">
        <v>60.643559466034674</v>
      </c>
      <c r="AV304">
        <v>2.033698775782351</v>
      </c>
      <c r="AW304">
        <v>764.75576136598079</v>
      </c>
    </row>
    <row r="305" spans="4:49" ht="17" x14ac:dyDescent="0.2">
      <c r="D305" s="1">
        <f t="shared" si="179"/>
        <v>46326</v>
      </c>
      <c r="E305" s="6">
        <f t="shared" si="146"/>
        <v>0.5</v>
      </c>
      <c r="F305" s="2">
        <f t="shared" si="147"/>
        <v>2461345.3333333335</v>
      </c>
      <c r="G305" s="3">
        <f t="shared" si="148"/>
        <v>0.26831850330824064</v>
      </c>
      <c r="I305">
        <f t="shared" si="149"/>
        <v>220.1391605588924</v>
      </c>
      <c r="J305">
        <f t="shared" si="150"/>
        <v>10016.740393265281</v>
      </c>
      <c r="K305">
        <f t="shared" si="151"/>
        <v>1.6697345573332835E-2</v>
      </c>
      <c r="L305">
        <f t="shared" si="152"/>
        <v>-1.7246852300735571</v>
      </c>
      <c r="M305">
        <f t="shared" si="153"/>
        <v>218.41447532881884</v>
      </c>
      <c r="N305">
        <f t="shared" si="154"/>
        <v>10015.015708035207</v>
      </c>
      <c r="O305">
        <f t="shared" si="155"/>
        <v>0.99271291695544261</v>
      </c>
      <c r="P305">
        <f t="shared" si="156"/>
        <v>218.41145304509189</v>
      </c>
      <c r="Q305">
        <f t="shared" si="157"/>
        <v>23.435801850503719</v>
      </c>
      <c r="R305">
        <f t="shared" si="158"/>
        <v>23.437926071792848</v>
      </c>
      <c r="S305">
        <f t="shared" si="159"/>
        <v>-143.96435440621437</v>
      </c>
      <c r="T305" s="19">
        <f t="shared" si="160"/>
        <v>-14.307575155442368</v>
      </c>
      <c r="U305">
        <f t="shared" si="161"/>
        <v>4.3029374427507455E-2</v>
      </c>
      <c r="V305">
        <f t="shared" si="162"/>
        <v>16.449217594302489</v>
      </c>
      <c r="W305">
        <f t="shared" si="163"/>
        <v>79.777653284696157</v>
      </c>
      <c r="X305" s="6">
        <f t="shared" si="164"/>
        <v>0.49399879333728985</v>
      </c>
      <c r="Y305" s="6">
        <f t="shared" si="165"/>
        <v>0.27239420087980049</v>
      </c>
      <c r="Z305" s="6">
        <f t="shared" si="166"/>
        <v>0.71560338579477911</v>
      </c>
      <c r="AA305" s="19">
        <f t="shared" si="167"/>
        <v>638.22122627756926</v>
      </c>
      <c r="AB305">
        <f t="shared" si="168"/>
        <v>728.64173759430241</v>
      </c>
      <c r="AC305">
        <f t="shared" si="169"/>
        <v>2.1604343985756032</v>
      </c>
      <c r="AD305">
        <f t="shared" si="144"/>
        <v>51.947292153481975</v>
      </c>
      <c r="AE305">
        <f t="shared" si="170"/>
        <v>38.052707846518025</v>
      </c>
      <c r="AF305">
        <f t="shared" si="171"/>
        <v>2.0577252990675841E-2</v>
      </c>
      <c r="AG305">
        <f t="shared" si="172"/>
        <v>38.073285099508702</v>
      </c>
      <c r="AH305">
        <f t="shared" si="145"/>
        <v>182.6588297343838</v>
      </c>
      <c r="AK305">
        <f t="shared" si="173"/>
        <v>-0.24712712549378882</v>
      </c>
      <c r="AL305">
        <f t="shared" si="174"/>
        <v>0.96898306685162316</v>
      </c>
      <c r="AM305">
        <f t="shared" si="175"/>
        <v>638</v>
      </c>
      <c r="AN305">
        <f t="shared" si="176"/>
        <v>-319</v>
      </c>
      <c r="AO305">
        <f t="shared" si="177"/>
        <v>319</v>
      </c>
      <c r="AP305" s="16" cm="1">
        <f t="array" ref="AP305">SUMPRODUCT(1362*POWER(0.7,POWER(1/($AI$2*AK305+$AJ$2*AL305*COS(RADIANS(0.25*(_xlfn.SEQUENCE(AO305-AN305,1,AN305+1))))+0.50572*POWER(96.07995-DEGREES(ACOS($AI$2*AK305+$AJ$2*AL305*COS(RADIANS(0.25*(_xlfn.SEQUENCE(AO305-AN305,1,AN305+1)))))),-1.6364)),0.678))*IF(AL305*COS(RADIANS(0.25*(_xlfn.SEQUENCE(AO305-AN305,1,AN305+1))))&gt;0,AL305*COS(RADIANS(0.25*(_xlfn.SEQUENCE(AO305-AN305,1,AN305+1)))),0)/60)</f>
        <v>5182.9713967811804</v>
      </c>
      <c r="AQ305" s="17" cm="1">
        <f t="array" ref="AQ305">SUMPRODUCT(1362*POWER(0.7,POWER(1/($AI$2*AK305+$AJ$2*AL305*COS(RADIANS(0.25*(_xlfn.SEQUENCE(AO305-AN305,1,AN305+1))))+0.50572*POWER(96.07995-DEGREES(ACOS($AI$2*AK305+$AJ$2*AL305*COS(RADIANS(0.25*(_xlfn.SEQUENCE(AO305-AN305,1,AN305+1)))))),-1.6364)),0.678))/60)</f>
        <v>6740.0122614206075</v>
      </c>
      <c r="AR305" s="15">
        <f t="shared" si="178"/>
        <v>1.3004147129977233</v>
      </c>
      <c r="AT305">
        <v>0.49003305975952971</v>
      </c>
      <c r="AU305">
        <v>60.657245479997471</v>
      </c>
      <c r="AV305">
        <v>2.0345564107728906</v>
      </c>
      <c r="AW305">
        <v>764.62958037393355</v>
      </c>
    </row>
    <row r="306" spans="4:49" ht="17" x14ac:dyDescent="0.2">
      <c r="D306" s="1">
        <f t="shared" si="179"/>
        <v>46327</v>
      </c>
      <c r="E306" s="6">
        <f t="shared" si="146"/>
        <v>0.5</v>
      </c>
      <c r="F306" s="2">
        <f t="shared" si="147"/>
        <v>2461346.3333333335</v>
      </c>
      <c r="G306" s="3">
        <f t="shared" si="148"/>
        <v>0.26834588181611196</v>
      </c>
      <c r="I306">
        <f t="shared" si="149"/>
        <v>221.12480792351198</v>
      </c>
      <c r="J306">
        <f t="shared" si="150"/>
        <v>10017.725993544749</v>
      </c>
      <c r="K306">
        <f t="shared" si="151"/>
        <v>1.6697344420560888E-2</v>
      </c>
      <c r="L306">
        <f t="shared" si="152"/>
        <v>-1.7100379771758958</v>
      </c>
      <c r="M306">
        <f t="shared" si="153"/>
        <v>219.41476994633609</v>
      </c>
      <c r="N306">
        <f t="shared" si="154"/>
        <v>10016.015955567573</v>
      </c>
      <c r="O306">
        <f t="shared" si="155"/>
        <v>0.99245367132814399</v>
      </c>
      <c r="P306">
        <f t="shared" si="156"/>
        <v>219.41175132721079</v>
      </c>
      <c r="Q306">
        <f t="shared" si="157"/>
        <v>23.435801494469608</v>
      </c>
      <c r="R306">
        <f t="shared" si="158"/>
        <v>23.437924394389846</v>
      </c>
      <c r="S306">
        <f t="shared" si="159"/>
        <v>-142.98548732264007</v>
      </c>
      <c r="T306" s="19">
        <f t="shared" si="160"/>
        <v>-14.627301303711649</v>
      </c>
      <c r="U306">
        <f t="shared" si="161"/>
        <v>4.3029368093277558E-2</v>
      </c>
      <c r="V306">
        <f t="shared" si="162"/>
        <v>16.476720968657386</v>
      </c>
      <c r="W306">
        <f t="shared" si="163"/>
        <v>79.512280078826763</v>
      </c>
      <c r="X306" s="6">
        <f t="shared" si="164"/>
        <v>0.49397969377176565</v>
      </c>
      <c r="Y306" s="6">
        <f t="shared" si="165"/>
        <v>0.27311224910835796</v>
      </c>
      <c r="Z306" s="6">
        <f t="shared" si="166"/>
        <v>0.71484713843517322</v>
      </c>
      <c r="AA306" s="19">
        <f t="shared" si="167"/>
        <v>636.0982406306141</v>
      </c>
      <c r="AB306">
        <f t="shared" si="168"/>
        <v>728.66924096865728</v>
      </c>
      <c r="AC306">
        <f t="shared" si="169"/>
        <v>2.1673102421643193</v>
      </c>
      <c r="AD306">
        <f t="shared" si="144"/>
        <v>52.267040880045812</v>
      </c>
      <c r="AE306">
        <f t="shared" si="170"/>
        <v>37.732959119954188</v>
      </c>
      <c r="AF306">
        <f t="shared" si="171"/>
        <v>2.0814595417019528E-2</v>
      </c>
      <c r="AG306">
        <f t="shared" si="172"/>
        <v>37.75377371537121</v>
      </c>
      <c r="AH306">
        <f t="shared" si="145"/>
        <v>182.65190210450825</v>
      </c>
      <c r="AK306">
        <f t="shared" si="173"/>
        <v>-0.25253044074529185</v>
      </c>
      <c r="AL306">
        <f t="shared" si="174"/>
        <v>0.96758895017305191</v>
      </c>
      <c r="AM306">
        <f t="shared" si="175"/>
        <v>636</v>
      </c>
      <c r="AN306">
        <f t="shared" si="176"/>
        <v>-318</v>
      </c>
      <c r="AO306">
        <f t="shared" si="177"/>
        <v>318</v>
      </c>
      <c r="AP306" s="16" cm="1">
        <f t="array" ref="AP306">SUMPRODUCT(1362*POWER(0.7,POWER(1/($AI$2*AK306+$AJ$2*AL306*COS(RADIANS(0.25*(_xlfn.SEQUENCE(AO306-AN306,1,AN306+1))))+0.50572*POWER(96.07995-DEGREES(ACOS($AI$2*AK306+$AJ$2*AL306*COS(RADIANS(0.25*(_xlfn.SEQUENCE(AO306-AN306,1,AN306+1)))))),-1.6364)),0.678))*IF(AL306*COS(RADIANS(0.25*(_xlfn.SEQUENCE(AO306-AN306,1,AN306+1))))&gt;0,AL306*COS(RADIANS(0.25*(_xlfn.SEQUENCE(AO306-AN306,1,AN306+1)))),0)/60)</f>
        <v>5151.9328221427695</v>
      </c>
      <c r="AQ306" s="17" cm="1">
        <f t="array" ref="AQ306">SUMPRODUCT(1362*POWER(0.7,POWER(1/($AI$2*AK306+$AJ$2*AL306*COS(RADIANS(0.25*(_xlfn.SEQUENCE(AO306-AN306,1,AN306+1))))+0.50572*POWER(96.07995-DEGREES(ACOS($AI$2*AK306+$AJ$2*AL306*COS(RADIANS(0.25*(_xlfn.SEQUENCE(AO306-AN306,1,AN306+1)))))),-1.6364)),0.678))/60)</f>
        <v>6697.1229769526026</v>
      </c>
      <c r="AR306" s="15">
        <f t="shared" si="178"/>
        <v>1.2999243600709771</v>
      </c>
      <c r="AT306">
        <v>0.48981099474780676</v>
      </c>
      <c r="AU306">
        <v>60.67184043353118</v>
      </c>
      <c r="AV306">
        <v>2.0354719251880726</v>
      </c>
      <c r="AW306">
        <v>764.49492564164132</v>
      </c>
    </row>
    <row r="307" spans="4:49" ht="17" x14ac:dyDescent="0.2">
      <c r="D307" s="1">
        <f t="shared" si="179"/>
        <v>46328</v>
      </c>
      <c r="E307" s="6">
        <f t="shared" si="146"/>
        <v>0.5</v>
      </c>
      <c r="F307" s="2">
        <f t="shared" si="147"/>
        <v>2461347.3333333335</v>
      </c>
      <c r="G307" s="3">
        <f t="shared" si="148"/>
        <v>0.26837326032398329</v>
      </c>
      <c r="I307">
        <f t="shared" si="149"/>
        <v>222.11045528813156</v>
      </c>
      <c r="J307">
        <f t="shared" si="150"/>
        <v>10018.711593824215</v>
      </c>
      <c r="K307">
        <f t="shared" si="151"/>
        <v>1.6697343267788753E-2</v>
      </c>
      <c r="L307">
        <f t="shared" si="152"/>
        <v>-1.6948702097276382</v>
      </c>
      <c r="M307">
        <f t="shared" si="153"/>
        <v>220.41558507840392</v>
      </c>
      <c r="N307">
        <f t="shared" si="154"/>
        <v>10017.016723614488</v>
      </c>
      <c r="O307">
        <f t="shared" si="155"/>
        <v>0.99219662594777225</v>
      </c>
      <c r="P307">
        <f t="shared" si="156"/>
        <v>220.41257012159843</v>
      </c>
      <c r="Q307">
        <f t="shared" si="157"/>
        <v>23.435801138435501</v>
      </c>
      <c r="R307">
        <f t="shared" si="158"/>
        <v>23.437922715173514</v>
      </c>
      <c r="S307">
        <f t="shared" si="159"/>
        <v>-142.00327169091102</v>
      </c>
      <c r="T307" s="19">
        <f t="shared" si="160"/>
        <v>-14.9430924890169</v>
      </c>
      <c r="U307">
        <f t="shared" si="161"/>
        <v>4.3029361752200637E-2</v>
      </c>
      <c r="V307">
        <f t="shared" si="162"/>
        <v>16.490601348086788</v>
      </c>
      <c r="W307">
        <f t="shared" si="163"/>
        <v>79.24922246413648</v>
      </c>
      <c r="X307" s="6">
        <f t="shared" si="164"/>
        <v>0.49397005461938415</v>
      </c>
      <c r="Y307" s="6">
        <f t="shared" si="165"/>
        <v>0.27383332555233836</v>
      </c>
      <c r="Z307" s="6">
        <f t="shared" si="166"/>
        <v>0.71410678368642999</v>
      </c>
      <c r="AA307" s="19">
        <f t="shared" si="167"/>
        <v>633.99377971309184</v>
      </c>
      <c r="AB307">
        <f t="shared" si="168"/>
        <v>728.68312134808684</v>
      </c>
      <c r="AC307">
        <f t="shared" si="169"/>
        <v>2.1707803370217107</v>
      </c>
      <c r="AD307">
        <f t="shared" si="144"/>
        <v>52.582732899346922</v>
      </c>
      <c r="AE307">
        <f t="shared" si="170"/>
        <v>37.417267100653078</v>
      </c>
      <c r="AF307">
        <f t="shared" si="171"/>
        <v>2.1052276382191013E-2</v>
      </c>
      <c r="AG307">
        <f t="shared" si="172"/>
        <v>37.43831937703527</v>
      </c>
      <c r="AH307">
        <f t="shared" si="145"/>
        <v>182.64105702360769</v>
      </c>
      <c r="AK307">
        <f t="shared" si="173"/>
        <v>-0.25785953743082107</v>
      </c>
      <c r="AL307">
        <f t="shared" si="174"/>
        <v>0.96618241494862811</v>
      </c>
      <c r="AM307">
        <f t="shared" si="175"/>
        <v>634</v>
      </c>
      <c r="AN307">
        <f t="shared" si="176"/>
        <v>-317</v>
      </c>
      <c r="AO307">
        <f t="shared" si="177"/>
        <v>317</v>
      </c>
      <c r="AP307" s="16" cm="1">
        <f t="array" ref="AP307">SUMPRODUCT(1362*POWER(0.7,POWER(1/($AI$2*AK307+$AJ$2*AL307*COS(RADIANS(0.25*(_xlfn.SEQUENCE(AO307-AN307,1,AN307+1))))+0.50572*POWER(96.07995-DEGREES(ACOS($AI$2*AK307+$AJ$2*AL307*COS(RADIANS(0.25*(_xlfn.SEQUENCE(AO307-AN307,1,AN307+1)))))),-1.6364)),0.678))*IF(AL307*COS(RADIANS(0.25*(_xlfn.SEQUENCE(AO307-AN307,1,AN307+1))))&gt;0,AL307*COS(RADIANS(0.25*(_xlfn.SEQUENCE(AO307-AN307,1,AN307+1)))),0)/60)</f>
        <v>5120.919134470666</v>
      </c>
      <c r="AQ307" s="17" cm="1">
        <f t="array" ref="AQ307">SUMPRODUCT(1362*POWER(0.7,POWER(1/($AI$2*AK307+$AJ$2*AL307*COS(RADIANS(0.25*(_xlfn.SEQUENCE(AO307-AN307,1,AN307+1))))+0.50572*POWER(96.07995-DEGREES(ACOS($AI$2*AK307+$AJ$2*AL307*COS(RADIANS(0.25*(_xlfn.SEQUENCE(AO307-AN307,1,AN307+1)))))),-1.6364)),0.678))/60)</f>
        <v>6654.546266572328</v>
      </c>
      <c r="AR307" s="15">
        <f t="shared" si="178"/>
        <v>1.2994827865525724</v>
      </c>
      <c r="AT307">
        <v>0.48957507538633815</v>
      </c>
      <c r="AU307">
        <v>60.687343659512436</v>
      </c>
      <c r="AV307">
        <v>2.0364454561726166</v>
      </c>
      <c r="AW307">
        <v>764.35178517912175</v>
      </c>
    </row>
    <row r="308" spans="4:49" ht="17" x14ac:dyDescent="0.2">
      <c r="D308" s="1">
        <f t="shared" si="179"/>
        <v>46329</v>
      </c>
      <c r="E308" s="6">
        <f t="shared" si="146"/>
        <v>0.5</v>
      </c>
      <c r="F308" s="2">
        <f t="shared" si="147"/>
        <v>2461348.3333333335</v>
      </c>
      <c r="G308" s="3">
        <f t="shared" si="148"/>
        <v>0.26840063883185455</v>
      </c>
      <c r="I308">
        <f t="shared" si="149"/>
        <v>223.09610265275114</v>
      </c>
      <c r="J308">
        <f t="shared" si="150"/>
        <v>10019.697194103677</v>
      </c>
      <c r="K308">
        <f t="shared" si="151"/>
        <v>1.6697342115016424E-2</v>
      </c>
      <c r="L308">
        <f t="shared" si="152"/>
        <v>-1.6791860437584196</v>
      </c>
      <c r="M308">
        <f t="shared" si="153"/>
        <v>221.41691660899272</v>
      </c>
      <c r="N308">
        <f t="shared" si="154"/>
        <v>10018.018008059918</v>
      </c>
      <c r="O308">
        <f t="shared" si="155"/>
        <v>0.99194186039327559</v>
      </c>
      <c r="P308">
        <f t="shared" si="156"/>
        <v>221.41390531222211</v>
      </c>
      <c r="Q308">
        <f t="shared" si="157"/>
        <v>23.43580078240139</v>
      </c>
      <c r="R308">
        <f t="shared" si="158"/>
        <v>23.437921034144971</v>
      </c>
      <c r="S308">
        <f t="shared" si="159"/>
        <v>-141.01767257415315</v>
      </c>
      <c r="T308" s="19">
        <f t="shared" si="160"/>
        <v>-15.254836068177926</v>
      </c>
      <c r="U308">
        <f t="shared" si="161"/>
        <v>4.302935540428094E-2</v>
      </c>
      <c r="V308">
        <f t="shared" si="162"/>
        <v>16.490717397997582</v>
      </c>
      <c r="W308">
        <f t="shared" si="163"/>
        <v>78.988583413544703</v>
      </c>
      <c r="X308" s="6">
        <f t="shared" si="164"/>
        <v>0.49396997402916837</v>
      </c>
      <c r="Y308" s="6">
        <f t="shared" si="165"/>
        <v>0.27455724232487749</v>
      </c>
      <c r="Z308" s="6">
        <f t="shared" si="166"/>
        <v>0.71338270573345919</v>
      </c>
      <c r="AA308" s="19">
        <f t="shared" si="167"/>
        <v>631.90866730835762</v>
      </c>
      <c r="AB308">
        <f t="shared" si="168"/>
        <v>728.68323739799757</v>
      </c>
      <c r="AC308">
        <f t="shared" si="169"/>
        <v>2.1708093494993932</v>
      </c>
      <c r="AD308">
        <f t="shared" si="144"/>
        <v>52.894255826568262</v>
      </c>
      <c r="AE308">
        <f t="shared" si="170"/>
        <v>37.105744173431738</v>
      </c>
      <c r="AF308">
        <f t="shared" si="171"/>
        <v>2.1290165265789765E-2</v>
      </c>
      <c r="AG308">
        <f t="shared" si="172"/>
        <v>37.127034338697527</v>
      </c>
      <c r="AH308">
        <f t="shared" si="145"/>
        <v>182.62632217619804</v>
      </c>
      <c r="AK308">
        <f t="shared" si="173"/>
        <v>-0.26311264669654472</v>
      </c>
      <c r="AL308">
        <f t="shared" si="174"/>
        <v>0.96476511916027474</v>
      </c>
      <c r="AM308">
        <f t="shared" si="175"/>
        <v>632</v>
      </c>
      <c r="AN308">
        <f t="shared" si="176"/>
        <v>-316</v>
      </c>
      <c r="AO308">
        <f t="shared" si="177"/>
        <v>316</v>
      </c>
      <c r="AP308" s="16" cm="1">
        <f t="array" ref="AP308">SUMPRODUCT(1362*POWER(0.7,POWER(1/($AI$2*AK308+$AJ$2*AL308*COS(RADIANS(0.25*(_xlfn.SEQUENCE(AO308-AN308,1,AN308+1))))+0.50572*POWER(96.07995-DEGREES(ACOS($AI$2*AK308+$AJ$2*AL308*COS(RADIANS(0.25*(_xlfn.SEQUENCE(AO308-AN308,1,AN308+1)))))),-1.6364)),0.678))*IF(AL308*COS(RADIANS(0.25*(_xlfn.SEQUENCE(AO308-AN308,1,AN308+1))))&gt;0,AL308*COS(RADIANS(0.25*(_xlfn.SEQUENCE(AO308-AN308,1,AN308+1)))),0)/60)</f>
        <v>5089.9555379732828</v>
      </c>
      <c r="AQ308" s="17" cm="1">
        <f t="array" ref="AQ308">SUMPRODUCT(1362*POWER(0.7,POWER(1/($AI$2*AK308+$AJ$2*AL308*COS(RADIANS(0.25*(_xlfn.SEQUENCE(AO308-AN308,1,AN308+1))))+0.50572*POWER(96.07995-DEGREES(ACOS($AI$2*AK308+$AJ$2*AL308*COS(RADIANS(0.25*(_xlfn.SEQUENCE(AO308-AN308,1,AN308+1)))))),-1.6364)),0.678))/60)</f>
        <v>6612.3027112645968</v>
      </c>
      <c r="AR308" s="15">
        <f t="shared" si="178"/>
        <v>1.2990885012519151</v>
      </c>
      <c r="AT308">
        <v>0.48932530616668857</v>
      </c>
      <c r="AU308">
        <v>60.703754449998897</v>
      </c>
      <c r="AV308">
        <v>2.0374771497362478</v>
      </c>
      <c r="AW308">
        <v>764.20014623037059</v>
      </c>
    </row>
    <row r="309" spans="4:49" ht="17" x14ac:dyDescent="0.2">
      <c r="D309" s="1">
        <f t="shared" si="179"/>
        <v>46330</v>
      </c>
      <c r="E309" s="6">
        <f t="shared" si="146"/>
        <v>0.5</v>
      </c>
      <c r="F309" s="2">
        <f t="shared" si="147"/>
        <v>2461349.3333333335</v>
      </c>
      <c r="G309" s="3">
        <f t="shared" si="148"/>
        <v>0.26842801733972588</v>
      </c>
      <c r="I309">
        <f t="shared" si="149"/>
        <v>224.08175001737072</v>
      </c>
      <c r="J309">
        <f t="shared" si="150"/>
        <v>10020.682794383145</v>
      </c>
      <c r="K309">
        <f t="shared" si="151"/>
        <v>1.6697340962243908E-2</v>
      </c>
      <c r="L309">
        <f t="shared" si="152"/>
        <v>-1.6629897656514636</v>
      </c>
      <c r="M309">
        <f t="shared" si="153"/>
        <v>222.41876025171925</v>
      </c>
      <c r="N309">
        <f t="shared" si="154"/>
        <v>10019.019804617494</v>
      </c>
      <c r="O309">
        <f t="shared" si="155"/>
        <v>0.99168945365903105</v>
      </c>
      <c r="P309">
        <f t="shared" si="156"/>
        <v>222.4157526126954</v>
      </c>
      <c r="Q309">
        <f t="shared" si="157"/>
        <v>23.435800426367283</v>
      </c>
      <c r="R309">
        <f t="shared" si="158"/>
        <v>23.437919351305361</v>
      </c>
      <c r="S309">
        <f t="shared" si="159"/>
        <v>-140.02865822651495</v>
      </c>
      <c r="T309" s="19">
        <f t="shared" si="160"/>
        <v>-15.562419376470549</v>
      </c>
      <c r="U309">
        <f t="shared" si="161"/>
        <v>4.3029349049522776E-2</v>
      </c>
      <c r="V309">
        <f t="shared" si="162"/>
        <v>16.476942152718969</v>
      </c>
      <c r="W309">
        <f t="shared" si="163"/>
        <v>78.730468481484138</v>
      </c>
      <c r="X309" s="6">
        <f t="shared" si="164"/>
        <v>0.49397954017172291</v>
      </c>
      <c r="Y309" s="6">
        <f t="shared" si="165"/>
        <v>0.27528379438982253</v>
      </c>
      <c r="Z309" s="6">
        <f t="shared" si="166"/>
        <v>0.71267528595362328</v>
      </c>
      <c r="AA309" s="19">
        <f t="shared" si="167"/>
        <v>629.8437478518731</v>
      </c>
      <c r="AB309">
        <f t="shared" si="168"/>
        <v>728.66946215271901</v>
      </c>
      <c r="AC309">
        <f t="shared" si="169"/>
        <v>2.1673655381797516</v>
      </c>
      <c r="AD309">
        <f t="shared" si="144"/>
        <v>53.201497924561885</v>
      </c>
      <c r="AE309">
        <f t="shared" si="170"/>
        <v>36.798502075438115</v>
      </c>
      <c r="AF309">
        <f t="shared" si="171"/>
        <v>2.152812489687066E-2</v>
      </c>
      <c r="AG309">
        <f t="shared" si="172"/>
        <v>36.820030200334983</v>
      </c>
      <c r="AH309">
        <f t="shared" si="145"/>
        <v>182.60772760071407</v>
      </c>
      <c r="AK309">
        <f t="shared" si="173"/>
        <v>-0.26828801907803262</v>
      </c>
      <c r="AL309">
        <f t="shared" si="174"/>
        <v>0.96333874562335819</v>
      </c>
      <c r="AM309">
        <f t="shared" si="175"/>
        <v>630</v>
      </c>
      <c r="AN309">
        <f t="shared" si="176"/>
        <v>-315</v>
      </c>
      <c r="AO309">
        <f t="shared" si="177"/>
        <v>315</v>
      </c>
      <c r="AP309" s="16" cm="1">
        <f t="array" ref="AP309">SUMPRODUCT(1362*POWER(0.7,POWER(1/($AI$2*AK309+$AJ$2*AL309*COS(RADIANS(0.25*(_xlfn.SEQUENCE(AO309-AN309,1,AN309+1))))+0.50572*POWER(96.07995-DEGREES(ACOS($AI$2*AK309+$AJ$2*AL309*COS(RADIANS(0.25*(_xlfn.SEQUENCE(AO309-AN309,1,AN309+1)))))),-1.6364)),0.678))*IF(AL309*COS(RADIANS(0.25*(_xlfn.SEQUENCE(AO309-AN309,1,AN309+1))))&gt;0,AL309*COS(RADIANS(0.25*(_xlfn.SEQUENCE(AO309-AN309,1,AN309+1)))),0)/60)</f>
        <v>5059.0675231079349</v>
      </c>
      <c r="AQ309" s="17" cm="1">
        <f t="array" ref="AQ309">SUMPRODUCT(1362*POWER(0.7,POWER(1/($AI$2*AK309+$AJ$2*AL309*COS(RADIANS(0.25*(_xlfn.SEQUENCE(AO309-AN309,1,AN309+1))))+0.50572*POWER(96.07995-DEGREES(ACOS($AI$2*AK309+$AJ$2*AL309*COS(RADIANS(0.25*(_xlfn.SEQUENCE(AO309-AN309,1,AN309+1)))))),-1.6364)),0.678))/60)</f>
        <v>6570.4132548860471</v>
      </c>
      <c r="AR309" s="15">
        <f t="shared" si="178"/>
        <v>1.2987399802186566</v>
      </c>
      <c r="AT309">
        <v>0.48906169184410375</v>
      </c>
      <c r="AU309">
        <v>60.721072056386788</v>
      </c>
      <c r="AV309">
        <v>2.0385671608078209</v>
      </c>
      <c r="AW309">
        <v>764.03999527030646</v>
      </c>
    </row>
    <row r="310" spans="4:49" ht="17" x14ac:dyDescent="0.2">
      <c r="D310" s="1">
        <f t="shared" si="179"/>
        <v>46331</v>
      </c>
      <c r="E310" s="6">
        <f t="shared" si="146"/>
        <v>0.5</v>
      </c>
      <c r="F310" s="2">
        <f t="shared" si="147"/>
        <v>2461350.3333333335</v>
      </c>
      <c r="G310" s="3">
        <f t="shared" si="148"/>
        <v>0.2684553958475972</v>
      </c>
      <c r="I310">
        <f t="shared" si="149"/>
        <v>225.06739738199212</v>
      </c>
      <c r="J310">
        <f t="shared" si="150"/>
        <v>10021.668394662611</v>
      </c>
      <c r="K310">
        <f t="shared" si="151"/>
        <v>1.66973398094712E-2</v>
      </c>
      <c r="L310">
        <f t="shared" si="152"/>
        <v>-1.6462858313474822</v>
      </c>
      <c r="M310">
        <f t="shared" si="153"/>
        <v>223.42111155064464</v>
      </c>
      <c r="N310">
        <f t="shared" si="154"/>
        <v>10020.022108831263</v>
      </c>
      <c r="O310">
        <f t="shared" si="155"/>
        <v>0.99143948412724869</v>
      </c>
      <c r="P310">
        <f t="shared" si="156"/>
        <v>223.41810756707636</v>
      </c>
      <c r="Q310">
        <f t="shared" si="157"/>
        <v>23.435800070333176</v>
      </c>
      <c r="R310">
        <f t="shared" si="158"/>
        <v>23.437917666655814</v>
      </c>
      <c r="S310">
        <f t="shared" si="159"/>
        <v>-139.03620020536636</v>
      </c>
      <c r="T310" s="19">
        <f t="shared" si="160"/>
        <v>-15.865729786150327</v>
      </c>
      <c r="U310">
        <f t="shared" si="161"/>
        <v>4.3029342687930419E-2</v>
      </c>
      <c r="V310">
        <f t="shared" si="162"/>
        <v>16.449163484169077</v>
      </c>
      <c r="W310">
        <f t="shared" si="163"/>
        <v>78.474985775589872</v>
      </c>
      <c r="X310" s="6">
        <f t="shared" si="164"/>
        <v>0.49399883091377145</v>
      </c>
      <c r="Y310" s="6">
        <f t="shared" si="165"/>
        <v>0.27601275931491071</v>
      </c>
      <c r="Z310" s="6">
        <f t="shared" si="166"/>
        <v>0.71198490251263213</v>
      </c>
      <c r="AA310" s="19">
        <f t="shared" si="167"/>
        <v>627.79988620471897</v>
      </c>
      <c r="AB310">
        <f t="shared" si="168"/>
        <v>728.64168348416911</v>
      </c>
      <c r="AC310">
        <f t="shared" si="169"/>
        <v>2.1604208710422768</v>
      </c>
      <c r="AD310">
        <f t="shared" si="144"/>
        <v>53.504348163971287</v>
      </c>
      <c r="AE310">
        <f t="shared" si="170"/>
        <v>36.495651836028713</v>
      </c>
      <c r="AF310">
        <f t="shared" si="171"/>
        <v>2.1766011466756805E-2</v>
      </c>
      <c r="AG310">
        <f t="shared" si="172"/>
        <v>36.517417847495473</v>
      </c>
      <c r="AH310">
        <f t="shared" si="145"/>
        <v>182.58530569038311</v>
      </c>
      <c r="AK310">
        <f t="shared" si="173"/>
        <v>-0.27338392525082161</v>
      </c>
      <c r="AL310">
        <f t="shared" si="174"/>
        <v>0.96190500020243852</v>
      </c>
      <c r="AM310">
        <f t="shared" si="175"/>
        <v>628</v>
      </c>
      <c r="AN310">
        <f t="shared" si="176"/>
        <v>-314</v>
      </c>
      <c r="AO310">
        <f t="shared" si="177"/>
        <v>314</v>
      </c>
      <c r="AP310" s="16" cm="1">
        <f t="array" ref="AP310">SUMPRODUCT(1362*POWER(0.7,POWER(1/($AI$2*AK310+$AJ$2*AL310*COS(RADIANS(0.25*(_xlfn.SEQUENCE(AO310-AN310,1,AN310+1))))+0.50572*POWER(96.07995-DEGREES(ACOS($AI$2*AK310+$AJ$2*AL310*COS(RADIANS(0.25*(_xlfn.SEQUENCE(AO310-AN310,1,AN310+1)))))),-1.6364)),0.678))*IF(AL310*COS(RADIANS(0.25*(_xlfn.SEQUENCE(AO310-AN310,1,AN310+1))))&gt;0,AL310*COS(RADIANS(0.25*(_xlfn.SEQUENCE(AO310-AN310,1,AN310+1)))),0)/60)</f>
        <v>5028.2808412370023</v>
      </c>
      <c r="AQ310" s="17" cm="1">
        <f t="array" ref="AQ310">SUMPRODUCT(1362*POWER(0.7,POWER(1/($AI$2*AK310+$AJ$2*AL310*COS(RADIANS(0.25*(_xlfn.SEQUENCE(AO310-AN310,1,AN310+1))))+0.50572*POWER(96.07995-DEGREES(ACOS($AI$2*AK310+$AJ$2*AL310*COS(RADIANS(0.25*(_xlfn.SEQUENCE(AO310-AN310,1,AN310+1)))))),-1.6364)),0.678))/60)</f>
        <v>6528.8991905638659</v>
      </c>
      <c r="AR310" s="15">
        <f t="shared" si="178"/>
        <v>1.2984356675188609</v>
      </c>
      <c r="AT310">
        <v>0.48878423743742061</v>
      </c>
      <c r="AU310">
        <v>60.739295689577176</v>
      </c>
      <c r="AV310">
        <v>2.0397156532928427</v>
      </c>
      <c r="AW310">
        <v>763.87131800152645</v>
      </c>
    </row>
    <row r="311" spans="4:49" ht="17" x14ac:dyDescent="0.2">
      <c r="D311" s="1">
        <f t="shared" si="179"/>
        <v>46332</v>
      </c>
      <c r="E311" s="6">
        <f t="shared" si="146"/>
        <v>0.5</v>
      </c>
      <c r="F311" s="2">
        <f t="shared" si="147"/>
        <v>2461351.3333333335</v>
      </c>
      <c r="G311" s="3">
        <f t="shared" si="148"/>
        <v>0.26848277435546852</v>
      </c>
      <c r="I311">
        <f t="shared" si="149"/>
        <v>226.05304474661352</v>
      </c>
      <c r="J311">
        <f t="shared" si="150"/>
        <v>10022.653994942075</v>
      </c>
      <c r="K311">
        <f t="shared" si="151"/>
        <v>1.6697338656698302E-2</v>
      </c>
      <c r="L311">
        <f t="shared" si="152"/>
        <v>-1.6290788654763853</v>
      </c>
      <c r="M311">
        <f t="shared" si="153"/>
        <v>224.42396588113715</v>
      </c>
      <c r="N311">
        <f t="shared" si="154"/>
        <v>10021.024916076598</v>
      </c>
      <c r="O311">
        <f t="shared" si="155"/>
        <v>0.99119202954041263</v>
      </c>
      <c r="P311">
        <f t="shared" si="156"/>
        <v>224.42096555073007</v>
      </c>
      <c r="Q311">
        <f t="shared" si="157"/>
        <v>23.435799714299069</v>
      </c>
      <c r="R311">
        <f t="shared" si="158"/>
        <v>23.437915980197463</v>
      </c>
      <c r="S311">
        <f t="shared" si="159"/>
        <v>-138.04027348271077</v>
      </c>
      <c r="T311" s="19">
        <f t="shared" si="160"/>
        <v>-16.164654768401892</v>
      </c>
      <c r="U311">
        <f t="shared" si="161"/>
        <v>4.3029336319508144E-2</v>
      </c>
      <c r="V311">
        <f t="shared" si="162"/>
        <v>16.407284554186095</v>
      </c>
      <c r="W311">
        <f t="shared" si="163"/>
        <v>78.222245918463727</v>
      </c>
      <c r="X311" s="6">
        <f t="shared" si="164"/>
        <v>0.49402791350403735</v>
      </c>
      <c r="Y311" s="6">
        <f t="shared" si="165"/>
        <v>0.27674389706386032</v>
      </c>
      <c r="Z311" s="6">
        <f t="shared" si="166"/>
        <v>0.71131192994421433</v>
      </c>
      <c r="AA311" s="19">
        <f t="shared" si="167"/>
        <v>625.77796734770982</v>
      </c>
      <c r="AB311">
        <f t="shared" si="168"/>
        <v>728.59980455418599</v>
      </c>
      <c r="AC311">
        <f t="shared" si="169"/>
        <v>2.1499511385464984</v>
      </c>
      <c r="AD311">
        <f t="shared" si="144"/>
        <v>53.802696284108265</v>
      </c>
      <c r="AE311">
        <f t="shared" si="170"/>
        <v>36.197303715891735</v>
      </c>
      <c r="AF311">
        <f t="shared" si="171"/>
        <v>2.2003674459954735E-2</v>
      </c>
      <c r="AG311">
        <f t="shared" si="172"/>
        <v>36.219307390351688</v>
      </c>
      <c r="AH311">
        <f t="shared" si="145"/>
        <v>182.55909119034933</v>
      </c>
      <c r="AK311">
        <f t="shared" si="173"/>
        <v>-0.2783986567796311</v>
      </c>
      <c r="AL311">
        <f t="shared" si="174"/>
        <v>0.96046560995347308</v>
      </c>
      <c r="AM311">
        <f t="shared" si="175"/>
        <v>626</v>
      </c>
      <c r="AN311">
        <f t="shared" si="176"/>
        <v>-313</v>
      </c>
      <c r="AO311">
        <f t="shared" si="177"/>
        <v>313</v>
      </c>
      <c r="AP311" s="16" cm="1">
        <f t="array" ref="AP311">SUMPRODUCT(1362*POWER(0.7,POWER(1/($AI$2*AK311+$AJ$2*AL311*COS(RADIANS(0.25*(_xlfn.SEQUENCE(AO311-AN311,1,AN311+1))))+0.50572*POWER(96.07995-DEGREES(ACOS($AI$2*AK311+$AJ$2*AL311*COS(RADIANS(0.25*(_xlfn.SEQUENCE(AO311-AN311,1,AN311+1)))))),-1.6364)),0.678))*IF(AL311*COS(RADIANS(0.25*(_xlfn.SEQUENCE(AO311-AN311,1,AN311+1))))&gt;0,AL311*COS(RADIANS(0.25*(_xlfn.SEQUENCE(AO311-AN311,1,AN311+1)))),0)/60)</f>
        <v>4997.6214781760445</v>
      </c>
      <c r="AQ311" s="17" cm="1">
        <f t="array" ref="AQ311">SUMPRODUCT(1362*POWER(0.7,POWER(1/($AI$2*AK311+$AJ$2*AL311*COS(RADIANS(0.25*(_xlfn.SEQUENCE(AO311-AN311,1,AN311+1))))+0.50572*POWER(96.07995-DEGREES(ACOS($AI$2*AK311+$AJ$2*AL311*COS(RADIANS(0.25*(_xlfn.SEQUENCE(AO311-AN311,1,AN311+1)))))),-1.6364)),0.678))/60)</f>
        <v>6487.7821452179533</v>
      </c>
      <c r="AR311" s="15">
        <f t="shared" si="178"/>
        <v>1.2981739760702655</v>
      </c>
      <c r="AT311">
        <v>0.48849294822897094</v>
      </c>
      <c r="AU311">
        <v>60.758424520150996</v>
      </c>
      <c r="AV311">
        <v>2.0409228001344557</v>
      </c>
      <c r="AW311">
        <v>763.69409935087322</v>
      </c>
    </row>
    <row r="312" spans="4:49" ht="17" x14ac:dyDescent="0.2">
      <c r="D312" s="1">
        <f t="shared" si="179"/>
        <v>46333</v>
      </c>
      <c r="E312" s="6">
        <f t="shared" si="146"/>
        <v>0.5</v>
      </c>
      <c r="F312" s="2">
        <f t="shared" si="147"/>
        <v>2461352.3333333335</v>
      </c>
      <c r="G312" s="3">
        <f t="shared" si="148"/>
        <v>0.26851015286333985</v>
      </c>
      <c r="I312">
        <f t="shared" si="149"/>
        <v>227.03869211123492</v>
      </c>
      <c r="J312">
        <f t="shared" si="150"/>
        <v>10023.639595221541</v>
      </c>
      <c r="K312">
        <f t="shared" si="151"/>
        <v>1.6697337503925217E-2</v>
      </c>
      <c r="L312">
        <f t="shared" si="152"/>
        <v>-1.6113736604174602</v>
      </c>
      <c r="M312">
        <f t="shared" si="153"/>
        <v>225.42731845081747</v>
      </c>
      <c r="N312">
        <f t="shared" si="154"/>
        <v>10022.028221561124</v>
      </c>
      <c r="O312">
        <f t="shared" si="155"/>
        <v>0.99094716697381602</v>
      </c>
      <c r="P312">
        <f t="shared" si="156"/>
        <v>225.42432177127415</v>
      </c>
      <c r="Q312">
        <f t="shared" si="157"/>
        <v>23.435799358264962</v>
      </c>
      <c r="R312">
        <f t="shared" si="158"/>
        <v>23.437914291931442</v>
      </c>
      <c r="S312">
        <f t="shared" si="159"/>
        <v>-137.04085655540885</v>
      </c>
      <c r="T312" s="19">
        <f t="shared" si="160"/>
        <v>-16.459081958738764</v>
      </c>
      <c r="U312">
        <f t="shared" si="161"/>
        <v>4.3029329944260251E-2</v>
      </c>
      <c r="V312">
        <f t="shared" si="162"/>
        <v>16.351224248675404</v>
      </c>
      <c r="W312">
        <f t="shared" si="163"/>
        <v>77.972361999010843</v>
      </c>
      <c r="X312" s="6">
        <f t="shared" si="164"/>
        <v>0.49406684427175313</v>
      </c>
      <c r="Y312" s="6">
        <f t="shared" si="165"/>
        <v>0.27747694983005639</v>
      </c>
      <c r="Z312" s="6">
        <f t="shared" si="166"/>
        <v>0.71065673871344992</v>
      </c>
      <c r="AA312" s="19">
        <f t="shared" si="167"/>
        <v>623.77889599208675</v>
      </c>
      <c r="AB312">
        <f t="shared" si="168"/>
        <v>728.54374424867547</v>
      </c>
      <c r="AC312">
        <f t="shared" si="169"/>
        <v>2.1359360621688666</v>
      </c>
      <c r="AD312">
        <f t="shared" si="144"/>
        <v>54.096432854555999</v>
      </c>
      <c r="AE312">
        <f t="shared" si="170"/>
        <v>35.903567145444001</v>
      </c>
      <c r="AF312">
        <f t="shared" si="171"/>
        <v>2.2240956605066302E-2</v>
      </c>
      <c r="AG312">
        <f t="shared" si="172"/>
        <v>35.925808102049068</v>
      </c>
      <c r="AH312">
        <f t="shared" si="145"/>
        <v>182.52912119094194</v>
      </c>
      <c r="AK312">
        <f t="shared" si="173"/>
        <v>-0.28333052686581478</v>
      </c>
      <c r="AL312">
        <f t="shared" si="174"/>
        <v>0.95902232119275499</v>
      </c>
      <c r="AM312">
        <f t="shared" si="175"/>
        <v>624</v>
      </c>
      <c r="AN312">
        <f t="shared" si="176"/>
        <v>-312</v>
      </c>
      <c r="AO312">
        <f t="shared" si="177"/>
        <v>312</v>
      </c>
      <c r="AP312" s="16" cm="1">
        <f t="array" ref="AP312">SUMPRODUCT(1362*POWER(0.7,POWER(1/($AI$2*AK312+$AJ$2*AL312*COS(RADIANS(0.25*(_xlfn.SEQUENCE(AO312-AN312,1,AN312+1))))+0.50572*POWER(96.07995-DEGREES(ACOS($AI$2*AK312+$AJ$2*AL312*COS(RADIANS(0.25*(_xlfn.SEQUENCE(AO312-AN312,1,AN312+1)))))),-1.6364)),0.678))*IF(AL312*COS(RADIANS(0.25*(_xlfn.SEQUENCE(AO312-AN312,1,AN312+1))))&gt;0,AL312*COS(RADIANS(0.25*(_xlfn.SEQUENCE(AO312-AN312,1,AN312+1)))),0)/60)</f>
        <v>4967.1156266224925</v>
      </c>
      <c r="AQ312" s="17" cm="1">
        <f t="array" ref="AQ312">SUMPRODUCT(1362*POWER(0.7,POWER(1/($AI$2*AK312+$AJ$2*AL312*COS(RADIANS(0.25*(_xlfn.SEQUENCE(AO312-AN312,1,AN312+1))))+0.50572*POWER(96.07995-DEGREES(ACOS($AI$2*AK312+$AJ$2*AL312*COS(RADIANS(0.25*(_xlfn.SEQUENCE(AO312-AN312,1,AN312+1)))))),-1.6364)),0.678))/60)</f>
        <v>6447.0840621020279</v>
      </c>
      <c r="AR312" s="15">
        <f t="shared" si="178"/>
        <v>1.297953288533747</v>
      </c>
      <c r="AT312">
        <v>0.48818782976448161</v>
      </c>
      <c r="AU312">
        <v>60.778457678552449</v>
      </c>
      <c r="AV312">
        <v>2.0421887833779029</v>
      </c>
      <c r="AW312">
        <v>763.50832346580899</v>
      </c>
    </row>
    <row r="313" spans="4:49" ht="17" x14ac:dyDescent="0.2">
      <c r="D313" s="1">
        <f t="shared" si="179"/>
        <v>46334</v>
      </c>
      <c r="E313" s="6">
        <f t="shared" si="146"/>
        <v>0.5</v>
      </c>
      <c r="F313" s="2">
        <f t="shared" si="147"/>
        <v>2461353.3333333335</v>
      </c>
      <c r="G313" s="3">
        <f t="shared" si="148"/>
        <v>0.26853753137121117</v>
      </c>
      <c r="I313">
        <f t="shared" si="149"/>
        <v>228.02433947585814</v>
      </c>
      <c r="J313">
        <f t="shared" si="150"/>
        <v>10024.625195501007</v>
      </c>
      <c r="K313">
        <f t="shared" si="151"/>
        <v>1.6697336351151938E-2</v>
      </c>
      <c r="L313">
        <f t="shared" si="152"/>
        <v>-1.5931751752875598</v>
      </c>
      <c r="M313">
        <f t="shared" si="153"/>
        <v>226.43116430057057</v>
      </c>
      <c r="N313">
        <f t="shared" si="154"/>
        <v>10023.03202032572</v>
      </c>
      <c r="O313">
        <f t="shared" si="155"/>
        <v>0.99070497280817982</v>
      </c>
      <c r="P313">
        <f t="shared" si="156"/>
        <v>226.42817126959045</v>
      </c>
      <c r="Q313">
        <f t="shared" si="157"/>
        <v>23.435799002230855</v>
      </c>
      <c r="R313">
        <f t="shared" si="158"/>
        <v>23.437912601858894</v>
      </c>
      <c r="S313">
        <f t="shared" si="159"/>
        <v>-136.03793155382675</v>
      </c>
      <c r="T313" s="19">
        <f t="shared" si="160"/>
        <v>-16.748899225856402</v>
      </c>
      <c r="U313">
        <f t="shared" si="161"/>
        <v>4.3029323562191024E-2</v>
      </c>
      <c r="V313">
        <f t="shared" si="162"/>
        <v>16.280917591738746</v>
      </c>
      <c r="W313">
        <f t="shared" si="163"/>
        <v>77.725449512867542</v>
      </c>
      <c r="X313" s="6">
        <f t="shared" si="164"/>
        <v>0.49411566833907034</v>
      </c>
      <c r="Y313" s="6">
        <f t="shared" si="165"/>
        <v>0.27821164191443826</v>
      </c>
      <c r="Z313" s="6">
        <f t="shared" si="166"/>
        <v>0.71001969476370241</v>
      </c>
      <c r="AA313" s="19">
        <f t="shared" si="167"/>
        <v>621.80359610294033</v>
      </c>
      <c r="AB313">
        <f t="shared" si="168"/>
        <v>728.47343759173873</v>
      </c>
      <c r="AC313">
        <f t="shared" si="169"/>
        <v>2.1183593979346824</v>
      </c>
      <c r="AD313">
        <f t="shared" si="144"/>
        <v>54.385449337461083</v>
      </c>
      <c r="AE313">
        <f t="shared" si="170"/>
        <v>35.614550662538917</v>
      </c>
      <c r="AF313">
        <f t="shared" si="171"/>
        <v>2.2477693847629928E-2</v>
      </c>
      <c r="AG313">
        <f t="shared" si="172"/>
        <v>35.637028356386544</v>
      </c>
      <c r="AH313">
        <f t="shared" si="145"/>
        <v>182.49543511703914</v>
      </c>
      <c r="AK313">
        <f t="shared" si="173"/>
        <v>-0.28817787109244097</v>
      </c>
      <c r="AL313">
        <f t="shared" si="174"/>
        <v>0.95757689749316133</v>
      </c>
      <c r="AM313">
        <f t="shared" si="175"/>
        <v>622</v>
      </c>
      <c r="AN313">
        <f t="shared" si="176"/>
        <v>-311</v>
      </c>
      <c r="AO313">
        <f t="shared" si="177"/>
        <v>311</v>
      </c>
      <c r="AP313" s="16" cm="1">
        <f t="array" ref="AP313">SUMPRODUCT(1362*POWER(0.7,POWER(1/($AI$2*AK313+$AJ$2*AL313*COS(RADIANS(0.25*(_xlfn.SEQUENCE(AO313-AN313,1,AN313+1))))+0.50572*POWER(96.07995-DEGREES(ACOS($AI$2*AK313+$AJ$2*AL313*COS(RADIANS(0.25*(_xlfn.SEQUENCE(AO313-AN313,1,AN313+1)))))),-1.6364)),0.678))*IF(AL313*COS(RADIANS(0.25*(_xlfn.SEQUENCE(AO313-AN313,1,AN313+1))))&gt;0,AL313*COS(RADIANS(0.25*(_xlfn.SEQUENCE(AO313-AN313,1,AN313+1)))),0)/60)</f>
        <v>4936.7896574554334</v>
      </c>
      <c r="AQ313" s="17" cm="1">
        <f t="array" ref="AQ313">SUMPRODUCT(1362*POWER(0.7,POWER(1/($AI$2*AK313+$AJ$2*AL313*COS(RADIANS(0.25*(_xlfn.SEQUENCE(AO313-AN313,1,AN313+1))))+0.50572*POWER(96.07995-DEGREES(ACOS($AI$2*AK313+$AJ$2*AL313*COS(RADIANS(0.25*(_xlfn.SEQUENCE(AO313-AN313,1,AN313+1)))))),-1.6364)),0.678))/60)</f>
        <v>6406.8271812563025</v>
      </c>
      <c r="AR313" s="15">
        <f t="shared" si="178"/>
        <v>1.2977719582564855</v>
      </c>
      <c r="AT313">
        <v>0.48786888785296811</v>
      </c>
      <c r="AU313">
        <v>60.799394255281257</v>
      </c>
      <c r="AV313">
        <v>2.0435137942385375</v>
      </c>
      <c r="AW313">
        <v>763.31397371059938</v>
      </c>
    </row>
    <row r="314" spans="4:49" ht="17" x14ac:dyDescent="0.2">
      <c r="D314" s="1">
        <f t="shared" si="179"/>
        <v>46335</v>
      </c>
      <c r="E314" s="6">
        <f t="shared" si="146"/>
        <v>0.5</v>
      </c>
      <c r="F314" s="2">
        <f t="shared" si="147"/>
        <v>2461354.3333333335</v>
      </c>
      <c r="G314" s="3">
        <f t="shared" si="148"/>
        <v>0.26856490987908249</v>
      </c>
      <c r="I314">
        <f t="shared" si="149"/>
        <v>229.00998684048136</v>
      </c>
      <c r="J314">
        <f t="shared" si="150"/>
        <v>10025.610795780471</v>
      </c>
      <c r="K314">
        <f t="shared" si="151"/>
        <v>1.6697335198378474E-2</v>
      </c>
      <c r="L314">
        <f t="shared" si="152"/>
        <v>-1.5744885348562068</v>
      </c>
      <c r="M314">
        <f t="shared" si="153"/>
        <v>227.43549830562515</v>
      </c>
      <c r="N314">
        <f t="shared" si="154"/>
        <v>10024.036307245615</v>
      </c>
      <c r="O314">
        <f t="shared" si="155"/>
        <v>0.99046552270236932</v>
      </c>
      <c r="P314">
        <f t="shared" si="156"/>
        <v>227.43250892090452</v>
      </c>
      <c r="Q314">
        <f t="shared" si="157"/>
        <v>23.435798646196748</v>
      </c>
      <c r="R314">
        <f t="shared" si="158"/>
        <v>23.437910909980957</v>
      </c>
      <c r="S314">
        <f t="shared" si="159"/>
        <v>-135.03148434847941</v>
      </c>
      <c r="T314" s="19">
        <f t="shared" si="160"/>
        <v>-17.033994743935928</v>
      </c>
      <c r="U314">
        <f t="shared" si="161"/>
        <v>4.3029317173304792E-2</v>
      </c>
      <c r="V314">
        <f t="shared" si="162"/>
        <v>16.196316137978744</v>
      </c>
      <c r="W314">
        <f t="shared" si="163"/>
        <v>77.481626291452329</v>
      </c>
      <c r="X314" s="6">
        <f t="shared" si="164"/>
        <v>0.49417441934862583</v>
      </c>
      <c r="Y314" s="6">
        <f t="shared" si="165"/>
        <v>0.27894767965014711</v>
      </c>
      <c r="Z314" s="6">
        <f t="shared" si="166"/>
        <v>0.70940115904710455</v>
      </c>
      <c r="AA314" s="19">
        <f t="shared" si="167"/>
        <v>619.85301033161863</v>
      </c>
      <c r="AB314">
        <f t="shared" si="168"/>
        <v>728.38883613797884</v>
      </c>
      <c r="AC314">
        <f t="shared" si="169"/>
        <v>2.0972090344947105</v>
      </c>
      <c r="AD314">
        <f t="shared" si="144"/>
        <v>54.669638150485106</v>
      </c>
      <c r="AE314">
        <f t="shared" si="170"/>
        <v>35.330361849514894</v>
      </c>
      <c r="AF314">
        <f t="shared" si="171"/>
        <v>2.2713715346862753E-2</v>
      </c>
      <c r="AG314">
        <f t="shared" si="172"/>
        <v>35.353075564861754</v>
      </c>
      <c r="AH314">
        <f t="shared" si="145"/>
        <v>182.45807471347797</v>
      </c>
      <c r="AK314">
        <f t="shared" si="173"/>
        <v>-0.29293904816649163</v>
      </c>
      <c r="AL314">
        <f t="shared" si="174"/>
        <v>0.95613111760851599</v>
      </c>
      <c r="AM314">
        <f t="shared" si="175"/>
        <v>620</v>
      </c>
      <c r="AN314">
        <f t="shared" si="176"/>
        <v>-310</v>
      </c>
      <c r="AO314">
        <f t="shared" si="177"/>
        <v>310</v>
      </c>
      <c r="AP314" s="16" cm="1">
        <f t="array" ref="AP314">SUMPRODUCT(1362*POWER(0.7,POWER(1/($AI$2*AK314+$AJ$2*AL314*COS(RADIANS(0.25*(_xlfn.SEQUENCE(AO314-AN314,1,AN314+1))))+0.50572*POWER(96.07995-DEGREES(ACOS($AI$2*AK314+$AJ$2*AL314*COS(RADIANS(0.25*(_xlfn.SEQUENCE(AO314-AN314,1,AN314+1)))))),-1.6364)),0.678))*IF(AL314*COS(RADIANS(0.25*(_xlfn.SEQUENCE(AO314-AN314,1,AN314+1))))&gt;0,AL314*COS(RADIANS(0.25*(_xlfn.SEQUENCE(AO314-AN314,1,AN314+1)))),0)/60)</f>
        <v>4906.6700898961217</v>
      </c>
      <c r="AQ314" s="17" cm="1">
        <f t="array" ref="AQ314">SUMPRODUCT(1362*POWER(0.7,POWER(1/($AI$2*AK314+$AJ$2*AL314*COS(RADIANS(0.25*(_xlfn.SEQUENCE(AO314-AN314,1,AN314+1))))+0.50572*POWER(96.07995-DEGREES(ACOS($AI$2*AK314+$AJ$2*AL314*COS(RADIANS(0.25*(_xlfn.SEQUENCE(AO314-AN314,1,AN314+1)))))),-1.6364)),0.678))/60)</f>
        <v>6367.0340177576263</v>
      </c>
      <c r="AR314" s="15">
        <f t="shared" si="178"/>
        <v>1.2976283102604973</v>
      </c>
      <c r="AT314">
        <v>0.48753612856662476</v>
      </c>
      <c r="AU314">
        <v>60.821233301092832</v>
      </c>
      <c r="AV314">
        <v>2.0448980331734123</v>
      </c>
      <c r="AW314">
        <v>763.11103266229986</v>
      </c>
    </row>
    <row r="315" spans="4:49" ht="17" x14ac:dyDescent="0.2">
      <c r="D315" s="1">
        <f t="shared" si="179"/>
        <v>46336</v>
      </c>
      <c r="E315" s="6">
        <f t="shared" si="146"/>
        <v>0.5</v>
      </c>
      <c r="F315" s="2">
        <f t="shared" si="147"/>
        <v>2461355.3333333335</v>
      </c>
      <c r="G315" s="3">
        <f t="shared" si="148"/>
        <v>0.26859228838695381</v>
      </c>
      <c r="I315">
        <f t="shared" si="149"/>
        <v>229.99563420510458</v>
      </c>
      <c r="J315">
        <f t="shared" si="150"/>
        <v>10026.596396059935</v>
      </c>
      <c r="K315">
        <f t="shared" si="151"/>
        <v>1.6697334045604816E-2</v>
      </c>
      <c r="L315">
        <f t="shared" si="152"/>
        <v>-1.5553190283881764</v>
      </c>
      <c r="M315">
        <f t="shared" si="153"/>
        <v>228.44031517671641</v>
      </c>
      <c r="N315">
        <f t="shared" si="154"/>
        <v>10025.041077031547</v>
      </c>
      <c r="O315">
        <f t="shared" si="155"/>
        <v>0.99022889156623228</v>
      </c>
      <c r="P315">
        <f t="shared" si="156"/>
        <v>228.4373294359485</v>
      </c>
      <c r="Q315">
        <f t="shared" si="157"/>
        <v>23.435798290162644</v>
      </c>
      <c r="R315">
        <f t="shared" si="158"/>
        <v>23.43790921629877</v>
      </c>
      <c r="S315">
        <f t="shared" si="159"/>
        <v>-134.02150465420391</v>
      </c>
      <c r="T315" s="19">
        <f t="shared" si="160"/>
        <v>-17.314257068386798</v>
      </c>
      <c r="U315">
        <f t="shared" si="161"/>
        <v>4.3029310777605842E-2</v>
      </c>
      <c r="V315">
        <f t="shared" si="162"/>
        <v>16.097388341214852</v>
      </c>
      <c r="W315">
        <f t="shared" si="163"/>
        <v>77.241012419191676</v>
      </c>
      <c r="X315" s="6">
        <f t="shared" si="164"/>
        <v>0.4942431192074897</v>
      </c>
      <c r="Y315" s="6">
        <f t="shared" si="165"/>
        <v>0.2796847513764017</v>
      </c>
      <c r="Z315" s="6">
        <f t="shared" si="166"/>
        <v>0.7088014870385777</v>
      </c>
      <c r="AA315" s="19">
        <f t="shared" si="167"/>
        <v>617.92809935353341</v>
      </c>
      <c r="AB315">
        <f t="shared" si="168"/>
        <v>728.28990834121487</v>
      </c>
      <c r="AC315">
        <f t="shared" si="169"/>
        <v>2.0724770853037171</v>
      </c>
      <c r="AD315">
        <f t="shared" si="144"/>
        <v>54.948892730391272</v>
      </c>
      <c r="AE315">
        <f t="shared" si="170"/>
        <v>35.051107269608728</v>
      </c>
      <c r="AF315">
        <f t="shared" si="171"/>
        <v>2.2948843498297521E-2</v>
      </c>
      <c r="AG315">
        <f t="shared" si="172"/>
        <v>35.074056113107027</v>
      </c>
      <c r="AH315">
        <f t="shared" si="145"/>
        <v>182.41708402650229</v>
      </c>
      <c r="AK315">
        <f t="shared" si="173"/>
        <v>-0.2976124406577213</v>
      </c>
      <c r="AL315">
        <f t="shared" si="174"/>
        <v>0.95468677332712337</v>
      </c>
      <c r="AM315">
        <f t="shared" si="175"/>
        <v>618</v>
      </c>
      <c r="AN315">
        <f t="shared" si="176"/>
        <v>-309</v>
      </c>
      <c r="AO315">
        <f t="shared" si="177"/>
        <v>309</v>
      </c>
      <c r="AP315" s="16" cm="1">
        <f t="array" ref="AP315">SUMPRODUCT(1362*POWER(0.7,POWER(1/($AI$2*AK315+$AJ$2*AL315*COS(RADIANS(0.25*(_xlfn.SEQUENCE(AO315-AN315,1,AN315+1))))+0.50572*POWER(96.07995-DEGREES(ACOS($AI$2*AK315+$AJ$2*AL315*COS(RADIANS(0.25*(_xlfn.SEQUENCE(AO315-AN315,1,AN315+1)))))),-1.6364)),0.678))*IF(AL315*COS(RADIANS(0.25*(_xlfn.SEQUENCE(AO315-AN315,1,AN315+1))))&gt;0,AL315*COS(RADIANS(0.25*(_xlfn.SEQUENCE(AO315-AN315,1,AN315+1)))),0)/60)</f>
        <v>4876.7835605178025</v>
      </c>
      <c r="AQ315" s="17" cm="1">
        <f t="array" ref="AQ315">SUMPRODUCT(1362*POWER(0.7,POWER(1/($AI$2*AK315+$AJ$2*AL315*COS(RADIANS(0.25*(_xlfn.SEQUENCE(AO315-AN315,1,AN315+1))))+0.50572*POWER(96.07995-DEGREES(ACOS($AI$2*AK315+$AJ$2*AL315*COS(RADIANS(0.25*(_xlfn.SEQUENCE(AO315-AN315,1,AN315+1)))))),-1.6364)),0.678))/60)</f>
        <v>6327.7273376453577</v>
      </c>
      <c r="AR315" s="15">
        <f t="shared" si="178"/>
        <v>1.2975206422680563</v>
      </c>
      <c r="AT315">
        <v>0.48718955824070886</v>
      </c>
      <c r="AU315">
        <v>60.843973827207115</v>
      </c>
      <c r="AV315">
        <v>2.0463417099565029</v>
      </c>
      <c r="AW315">
        <v>762.89948210654688</v>
      </c>
    </row>
    <row r="316" spans="4:49" ht="17" x14ac:dyDescent="0.2">
      <c r="D316" s="1">
        <f t="shared" si="179"/>
        <v>46337</v>
      </c>
      <c r="E316" s="6">
        <f t="shared" si="146"/>
        <v>0.5</v>
      </c>
      <c r="F316" s="2">
        <f t="shared" si="147"/>
        <v>2461356.3333333335</v>
      </c>
      <c r="G316" s="3">
        <f t="shared" si="148"/>
        <v>0.26861966689482514</v>
      </c>
      <c r="I316">
        <f t="shared" si="149"/>
        <v>230.9812815697278</v>
      </c>
      <c r="J316">
        <f t="shared" si="150"/>
        <v>10027.581996339401</v>
      </c>
      <c r="K316">
        <f t="shared" si="151"/>
        <v>1.6697332892830968E-2</v>
      </c>
      <c r="L316">
        <f t="shared" si="152"/>
        <v>-1.5356721084130027</v>
      </c>
      <c r="M316">
        <f t="shared" si="153"/>
        <v>229.4456094613148</v>
      </c>
      <c r="N316">
        <f t="shared" si="154"/>
        <v>10026.046324230987</v>
      </c>
      <c r="O316">
        <f t="shared" si="155"/>
        <v>0.98999515353356604</v>
      </c>
      <c r="P316">
        <f t="shared" si="156"/>
        <v>229.44262736218965</v>
      </c>
      <c r="Q316">
        <f t="shared" si="157"/>
        <v>23.435797934128537</v>
      </c>
      <c r="R316">
        <f t="shared" si="158"/>
        <v>23.437907520813479</v>
      </c>
      <c r="S316">
        <f t="shared" si="159"/>
        <v>-133.00798613140972</v>
      </c>
      <c r="T316" s="19">
        <f t="shared" si="160"/>
        <v>-17.589575214993996</v>
      </c>
      <c r="U316">
        <f t="shared" si="161"/>
        <v>4.3029304375098505E-2</v>
      </c>
      <c r="V316">
        <f t="shared" si="162"/>
        <v>15.98411989788683</v>
      </c>
      <c r="W316">
        <f t="shared" si="163"/>
        <v>77.003730138509184</v>
      </c>
      <c r="X316" s="6">
        <f t="shared" si="164"/>
        <v>0.49432177784868969</v>
      </c>
      <c r="Y316" s="6">
        <f t="shared" si="165"/>
        <v>0.28042252746394197</v>
      </c>
      <c r="Z316" s="6">
        <f t="shared" si="166"/>
        <v>0.70822102823343747</v>
      </c>
      <c r="AA316" s="19">
        <f t="shared" si="167"/>
        <v>616.02984110807347</v>
      </c>
      <c r="AB316">
        <f t="shared" si="168"/>
        <v>728.17663989788684</v>
      </c>
      <c r="AC316">
        <f t="shared" si="169"/>
        <v>2.0441599744717109</v>
      </c>
      <c r="AD316">
        <f t="shared" si="144"/>
        <v>55.223107597233813</v>
      </c>
      <c r="AE316">
        <f t="shared" si="170"/>
        <v>34.776892402766187</v>
      </c>
      <c r="AF316">
        <f t="shared" si="171"/>
        <v>2.3182893984304564E-2</v>
      </c>
      <c r="AG316">
        <f t="shared" si="172"/>
        <v>34.800075296750492</v>
      </c>
      <c r="AH316">
        <f t="shared" si="145"/>
        <v>182.37250938126974</v>
      </c>
      <c r="AK316">
        <f t="shared" si="173"/>
        <v>-0.30219645573355286</v>
      </c>
      <c r="AL316">
        <f t="shared" si="174"/>
        <v>0.95324566725586479</v>
      </c>
      <c r="AM316">
        <f t="shared" si="175"/>
        <v>616</v>
      </c>
      <c r="AN316">
        <f t="shared" si="176"/>
        <v>-308</v>
      </c>
      <c r="AO316">
        <f t="shared" si="177"/>
        <v>308</v>
      </c>
      <c r="AP316" s="16" cm="1">
        <f t="array" ref="AP316">SUMPRODUCT(1362*POWER(0.7,POWER(1/($AI$2*AK316+$AJ$2*AL316*COS(RADIANS(0.25*(_xlfn.SEQUENCE(AO316-AN316,1,AN316+1))))+0.50572*POWER(96.07995-DEGREES(ACOS($AI$2*AK316+$AJ$2*AL316*COS(RADIANS(0.25*(_xlfn.SEQUENCE(AO316-AN316,1,AN316+1)))))),-1.6364)),0.678))*IF(AL316*COS(RADIANS(0.25*(_xlfn.SEQUENCE(AO316-AN316,1,AN316+1))))&gt;0,AL316*COS(RADIANS(0.25*(_xlfn.SEQUENCE(AO316-AN316,1,AN316+1)))),0)/60)</f>
        <v>4847.1567910940066</v>
      </c>
      <c r="AQ316" s="17" cm="1">
        <f t="array" ref="AQ316">SUMPRODUCT(1362*POWER(0.7,POWER(1/($AI$2*AK316+$AJ$2*AL316*COS(RADIANS(0.25*(_xlfn.SEQUENCE(AO316-AN316,1,AN316+1))))+0.50572*POWER(96.07995-DEGREES(ACOS($AI$2*AK316+$AJ$2*AL316*COS(RADIANS(0.25*(_xlfn.SEQUENCE(AO316-AN316,1,AN316+1)))))),-1.6364)),0.678))/60)</f>
        <v>6288.9301313945352</v>
      </c>
      <c r="AR316" s="15">
        <f t="shared" si="178"/>
        <v>1.2974472257529592</v>
      </c>
      <c r="AT316">
        <v>0.48682918347341964</v>
      </c>
      <c r="AU316">
        <v>60.867614805525378</v>
      </c>
      <c r="AV316">
        <v>2.0478450437576243</v>
      </c>
      <c r="AW316">
        <v>762.6793030331504</v>
      </c>
    </row>
    <row r="317" spans="4:49" ht="17" x14ac:dyDescent="0.2">
      <c r="D317" s="1">
        <f t="shared" si="179"/>
        <v>46338</v>
      </c>
      <c r="E317" s="6">
        <f t="shared" si="146"/>
        <v>0.5</v>
      </c>
      <c r="F317" s="2">
        <f t="shared" si="147"/>
        <v>2461357.3333333335</v>
      </c>
      <c r="G317" s="3">
        <f t="shared" si="148"/>
        <v>0.26864704540269646</v>
      </c>
      <c r="I317">
        <f t="shared" si="149"/>
        <v>231.96692893435284</v>
      </c>
      <c r="J317">
        <f t="shared" si="150"/>
        <v>10028.567596618863</v>
      </c>
      <c r="K317">
        <f t="shared" si="151"/>
        <v>1.6697331740056932E-2</v>
      </c>
      <c r="L317">
        <f t="shared" si="152"/>
        <v>-1.5155533894213786</v>
      </c>
      <c r="M317">
        <f t="shared" si="153"/>
        <v>230.45137554493147</v>
      </c>
      <c r="N317">
        <f t="shared" si="154"/>
        <v>10027.052043229442</v>
      </c>
      <c r="O317">
        <f t="shared" si="155"/>
        <v>0.98976438193522698</v>
      </c>
      <c r="P317">
        <f t="shared" si="156"/>
        <v>230.44839708513609</v>
      </c>
      <c r="Q317">
        <f t="shared" si="157"/>
        <v>23.435797578094434</v>
      </c>
      <c r="R317">
        <f t="shared" si="158"/>
        <v>23.437905823526226</v>
      </c>
      <c r="S317">
        <f t="shared" si="159"/>
        <v>-131.99092648390535</v>
      </c>
      <c r="T317" s="19">
        <f t="shared" si="160"/>
        <v>-17.859838742429385</v>
      </c>
      <c r="U317">
        <f t="shared" si="161"/>
        <v>4.3029297965787111E-2</v>
      </c>
      <c r="V317">
        <f t="shared" si="162"/>
        <v>15.856514063476258</v>
      </c>
      <c r="W317">
        <f t="shared" si="163"/>
        <v>76.769903742194543</v>
      </c>
      <c r="X317" s="6">
        <f t="shared" si="164"/>
        <v>0.49441039301147482</v>
      </c>
      <c r="Y317" s="6">
        <f t="shared" si="165"/>
        <v>0.28116066039426774</v>
      </c>
      <c r="Z317" s="6">
        <f t="shared" si="166"/>
        <v>0.70766012562868186</v>
      </c>
      <c r="AA317" s="19">
        <f t="shared" si="167"/>
        <v>614.15922993755635</v>
      </c>
      <c r="AB317">
        <f t="shared" si="168"/>
        <v>728.04903406347626</v>
      </c>
      <c r="AC317">
        <f t="shared" si="169"/>
        <v>2.012258515869064</v>
      </c>
      <c r="AD317">
        <f t="shared" si="144"/>
        <v>55.492178419126148</v>
      </c>
      <c r="AE317">
        <f t="shared" si="170"/>
        <v>34.507821580873852</v>
      </c>
      <c r="AF317">
        <f t="shared" si="171"/>
        <v>2.3415675854479415E-2</v>
      </c>
      <c r="AG317">
        <f t="shared" si="172"/>
        <v>34.531237256728332</v>
      </c>
      <c r="AH317">
        <f t="shared" si="145"/>
        <v>182.32439935543476</v>
      </c>
      <c r="AK317">
        <f t="shared" si="173"/>
        <v>-0.30668952588951798</v>
      </c>
      <c r="AL317">
        <f t="shared" si="174"/>
        <v>0.95180961053650992</v>
      </c>
      <c r="AM317">
        <f t="shared" si="175"/>
        <v>614</v>
      </c>
      <c r="AN317">
        <f t="shared" si="176"/>
        <v>-307</v>
      </c>
      <c r="AO317">
        <f t="shared" si="177"/>
        <v>307</v>
      </c>
      <c r="AP317" s="16" cm="1">
        <f t="array" ref="AP317">SUMPRODUCT(1362*POWER(0.7,POWER(1/($AI$2*AK317+$AJ$2*AL317*COS(RADIANS(0.25*(_xlfn.SEQUENCE(AO317-AN317,1,AN317+1))))+0.50572*POWER(96.07995-DEGREES(ACOS($AI$2*AK317+$AJ$2*AL317*COS(RADIANS(0.25*(_xlfn.SEQUENCE(AO317-AN317,1,AN317+1)))))),-1.6364)),0.678))*IF(AL317*COS(RADIANS(0.25*(_xlfn.SEQUENCE(AO317-AN317,1,AN317+1))))&gt;0,AL317*COS(RADIANS(0.25*(_xlfn.SEQUENCE(AO317-AN317,1,AN317+1)))),0)/60)</f>
        <v>4817.8165552709152</v>
      </c>
      <c r="AQ317" s="17" cm="1">
        <f t="array" ref="AQ317">SUMPRODUCT(1362*POWER(0.7,POWER(1/($AI$2*AK317+$AJ$2*AL317*COS(RADIANS(0.25*(_xlfn.SEQUENCE(AO317-AN317,1,AN317+1))))+0.50572*POWER(96.07995-DEGREES(ACOS($AI$2*AK317+$AJ$2*AL317*COS(RADIANS(0.25*(_xlfn.SEQUENCE(AO317-AN317,1,AN317+1)))))),-1.6364)),0.678))/60)</f>
        <v>6250.665584796554</v>
      </c>
      <c r="AR317" s="15">
        <f t="shared" si="178"/>
        <v>1.297406307003955</v>
      </c>
      <c r="AT317">
        <v>0.48645501112577338</v>
      </c>
      <c r="AU317">
        <v>60.89215516885519</v>
      </c>
      <c r="AV317">
        <v>2.0494082632250774</v>
      </c>
      <c r="AW317">
        <v>762.45047563148637</v>
      </c>
    </row>
    <row r="318" spans="4:49" ht="17" x14ac:dyDescent="0.2">
      <c r="D318" s="1">
        <f t="shared" si="179"/>
        <v>46339</v>
      </c>
      <c r="E318" s="6">
        <f t="shared" si="146"/>
        <v>0.5</v>
      </c>
      <c r="F318" s="2">
        <f t="shared" si="147"/>
        <v>2461358.3333333335</v>
      </c>
      <c r="G318" s="3">
        <f t="shared" si="148"/>
        <v>0.26867442391056778</v>
      </c>
      <c r="I318">
        <f t="shared" si="149"/>
        <v>232.95257629897787</v>
      </c>
      <c r="J318">
        <f t="shared" si="150"/>
        <v>10029.553196898329</v>
      </c>
      <c r="K318">
        <f t="shared" si="151"/>
        <v>1.6697330587282705E-2</v>
      </c>
      <c r="L318">
        <f t="shared" si="152"/>
        <v>-1.4949686464877261</v>
      </c>
      <c r="M318">
        <f t="shared" si="153"/>
        <v>231.45760765249014</v>
      </c>
      <c r="N318">
        <f t="shared" si="154"/>
        <v>10028.058228251841</v>
      </c>
      <c r="O318">
        <f t="shared" si="155"/>
        <v>0.98953664927239549</v>
      </c>
      <c r="P318">
        <f t="shared" si="156"/>
        <v>231.45463282970837</v>
      </c>
      <c r="Q318">
        <f t="shared" si="157"/>
        <v>23.435797222060327</v>
      </c>
      <c r="R318">
        <f t="shared" si="158"/>
        <v>23.437904124438155</v>
      </c>
      <c r="S318">
        <f t="shared" si="159"/>
        <v>-130.97032755280415</v>
      </c>
      <c r="T318" s="19">
        <f t="shared" si="160"/>
        <v>-18.124937838066089</v>
      </c>
      <c r="U318">
        <f t="shared" si="161"/>
        <v>4.3029291549675969E-2</v>
      </c>
      <c r="V318">
        <f t="shared" si="162"/>
        <v>15.714591940334373</v>
      </c>
      <c r="W318">
        <f t="shared" si="163"/>
        <v>76.539659452814391</v>
      </c>
      <c r="X318" s="6">
        <f t="shared" si="164"/>
        <v>0.49450895004143436</v>
      </c>
      <c r="Y318" s="6">
        <f t="shared" si="165"/>
        <v>0.28189878489472775</v>
      </c>
      <c r="Z318" s="6">
        <f t="shared" si="166"/>
        <v>0.70711911518814097</v>
      </c>
      <c r="AA318" s="19">
        <f t="shared" si="167"/>
        <v>612.31727562251513</v>
      </c>
      <c r="AB318">
        <f t="shared" si="168"/>
        <v>727.90711194033429</v>
      </c>
      <c r="AC318">
        <f t="shared" si="169"/>
        <v>1.9767779850835723</v>
      </c>
      <c r="AD318">
        <f t="shared" si="144"/>
        <v>55.756002077559081</v>
      </c>
      <c r="AE318">
        <f t="shared" si="170"/>
        <v>34.243997922440919</v>
      </c>
      <c r="AF318">
        <f t="shared" si="171"/>
        <v>2.3646991637837188E-2</v>
      </c>
      <c r="AG318">
        <f t="shared" si="172"/>
        <v>34.267644914078758</v>
      </c>
      <c r="AH318">
        <f t="shared" si="145"/>
        <v>182.27280474890708</v>
      </c>
      <c r="AK318">
        <f t="shared" si="173"/>
        <v>-0.3110901096746489</v>
      </c>
      <c r="AL318">
        <f t="shared" si="174"/>
        <v>0.95038042049624261</v>
      </c>
      <c r="AM318">
        <f t="shared" si="175"/>
        <v>612</v>
      </c>
      <c r="AN318">
        <f t="shared" si="176"/>
        <v>-306</v>
      </c>
      <c r="AO318">
        <f t="shared" si="177"/>
        <v>306</v>
      </c>
      <c r="AP318" s="16" cm="1">
        <f t="array" ref="AP318">SUMPRODUCT(1362*POWER(0.7,POWER(1/($AI$2*AK318+$AJ$2*AL318*COS(RADIANS(0.25*(_xlfn.SEQUENCE(AO318-AN318,1,AN318+1))))+0.50572*POWER(96.07995-DEGREES(ACOS($AI$2*AK318+$AJ$2*AL318*COS(RADIANS(0.25*(_xlfn.SEQUENCE(AO318-AN318,1,AN318+1)))))),-1.6364)),0.678))*IF(AL318*COS(RADIANS(0.25*(_xlfn.SEQUENCE(AO318-AN318,1,AN318+1))))&gt;0,AL318*COS(RADIANS(0.25*(_xlfn.SEQUENCE(AO318-AN318,1,AN318+1)))),0)/60)</f>
        <v>4788.7896440478971</v>
      </c>
      <c r="AQ318" s="17" cm="1">
        <f t="array" ref="AQ318">SUMPRODUCT(1362*POWER(0.7,POWER(1/($AI$2*AK318+$AJ$2*AL318*COS(RADIANS(0.25*(_xlfn.SEQUENCE(AO318-AN318,1,AN318+1))))+0.50572*POWER(96.07995-DEGREES(ACOS($AI$2*AK318+$AJ$2*AL318*COS(RADIANS(0.25*(_xlfn.SEQUENCE(AO318-AN318,1,AN318+1)))))),-1.6364)),0.678))/60)</f>
        <v>6212.9570470963417</v>
      </c>
      <c r="AR318" s="15">
        <f t="shared" si="178"/>
        <v>1.297396108183323</v>
      </c>
      <c r="AT318">
        <v>0.48606704832147207</v>
      </c>
      <c r="AU318">
        <v>60.917593811143234</v>
      </c>
      <c r="AV318">
        <v>2.0510316065721121</v>
      </c>
      <c r="AW318">
        <v>762.21297928568504</v>
      </c>
    </row>
    <row r="319" spans="4:49" ht="17" x14ac:dyDescent="0.2">
      <c r="D319" s="1">
        <f t="shared" si="179"/>
        <v>46340</v>
      </c>
      <c r="E319" s="6">
        <f t="shared" si="146"/>
        <v>0.5</v>
      </c>
      <c r="F319" s="2">
        <f t="shared" si="147"/>
        <v>2461359.3333333335</v>
      </c>
      <c r="G319" s="3">
        <f t="shared" si="148"/>
        <v>0.26870180241843911</v>
      </c>
      <c r="I319">
        <f t="shared" si="149"/>
        <v>233.93822366360291</v>
      </c>
      <c r="J319">
        <f t="shared" si="150"/>
        <v>10030.538797177791</v>
      </c>
      <c r="K319">
        <f t="shared" si="151"/>
        <v>1.6697329434508287E-2</v>
      </c>
      <c r="L319">
        <f t="shared" si="152"/>
        <v>-1.4739238138202433</v>
      </c>
      <c r="M319">
        <f t="shared" si="153"/>
        <v>232.46429984978266</v>
      </c>
      <c r="N319">
        <f t="shared" si="154"/>
        <v>10029.06487336397</v>
      </c>
      <c r="O319">
        <f t="shared" si="155"/>
        <v>0.98931202719002198</v>
      </c>
      <c r="P319">
        <f t="shared" si="156"/>
        <v>232.46132866169526</v>
      </c>
      <c r="Q319">
        <f t="shared" si="157"/>
        <v>23.435796866026223</v>
      </c>
      <c r="R319">
        <f t="shared" si="158"/>
        <v>23.437902423550415</v>
      </c>
      <c r="S319">
        <f t="shared" si="159"/>
        <v>-129.9461954059683</v>
      </c>
      <c r="T319" s="19">
        <f t="shared" si="160"/>
        <v>-18.384763407026444</v>
      </c>
      <c r="U319">
        <f t="shared" si="161"/>
        <v>4.3029285126769422E-2</v>
      </c>
      <c r="V319">
        <f t="shared" si="162"/>
        <v>15.558392735378929</v>
      </c>
      <c r="W319">
        <f t="shared" si="163"/>
        <v>76.313125288868619</v>
      </c>
      <c r="X319" s="6">
        <f t="shared" si="164"/>
        <v>0.49461742171154238</v>
      </c>
      <c r="Y319" s="6">
        <f t="shared" si="165"/>
        <v>0.28263651813135177</v>
      </c>
      <c r="Z319" s="6">
        <f t="shared" si="166"/>
        <v>0.70659832529173294</v>
      </c>
      <c r="AA319" s="19">
        <f t="shared" si="167"/>
        <v>610.50500231094895</v>
      </c>
      <c r="AB319">
        <f t="shared" si="168"/>
        <v>727.75091273537896</v>
      </c>
      <c r="AC319">
        <f t="shared" si="169"/>
        <v>1.9377281838447402</v>
      </c>
      <c r="AD319">
        <f t="shared" si="144"/>
        <v>56.014476733246049</v>
      </c>
      <c r="AE319">
        <f t="shared" si="170"/>
        <v>33.985523266753951</v>
      </c>
      <c r="AF319">
        <f t="shared" si="171"/>
        <v>2.3876637488700853E-2</v>
      </c>
      <c r="AG319">
        <f t="shared" si="172"/>
        <v>34.009399904242649</v>
      </c>
      <c r="AH319">
        <f t="shared" si="145"/>
        <v>182.2177785498302</v>
      </c>
      <c r="AK319">
        <f t="shared" si="173"/>
        <v>-0.31539669241134161</v>
      </c>
      <c r="AL319">
        <f t="shared" si="174"/>
        <v>0.94895991823468795</v>
      </c>
      <c r="AM319">
        <f t="shared" si="175"/>
        <v>611</v>
      </c>
      <c r="AN319">
        <f t="shared" si="176"/>
        <v>-305.5</v>
      </c>
      <c r="AO319">
        <f t="shared" si="177"/>
        <v>305.5</v>
      </c>
      <c r="AP319" s="16" cm="1">
        <f t="array" ref="AP319">SUMPRODUCT(1362*POWER(0.7,POWER(1/($AI$2*AK319+$AJ$2*AL319*COS(RADIANS(0.25*(_xlfn.SEQUENCE(AO319-AN319,1,AN319+1))))+0.50572*POWER(96.07995-DEGREES(ACOS($AI$2*AK319+$AJ$2*AL319*COS(RADIANS(0.25*(_xlfn.SEQUENCE(AO319-AN319,1,AN319+1)))))),-1.6364)),0.678))*IF(AL319*COS(RADIANS(0.25*(_xlfn.SEQUENCE(AO319-AN319,1,AN319+1))))&gt;0,AL319*COS(RADIANS(0.25*(_xlfn.SEQUENCE(AO319-AN319,1,AN319+1)))),0)/60)</f>
        <v>4760.1301845790449</v>
      </c>
      <c r="AQ319" s="17" cm="1">
        <f t="array" ref="AQ319">SUMPRODUCT(1362*POWER(0.7,POWER(1/($AI$2*AK319+$AJ$2*AL319*COS(RADIANS(0.25*(_xlfn.SEQUENCE(AO319-AN319,1,AN319+1))))+0.50572*POWER(96.07995-DEGREES(ACOS($AI$2*AK319+$AJ$2*AL319*COS(RADIANS(0.25*(_xlfn.SEQUENCE(AO319-AN319,1,AN319+1)))))),-1.6364)),0.678))/60)</f>
        <v>6175.9497197306864</v>
      </c>
      <c r="AR319" s="15">
        <f t="shared" si="178"/>
        <v>1.2974329441111383</v>
      </c>
      <c r="AT319">
        <v>0.48566530244676831</v>
      </c>
      <c r="AU319">
        <v>60.943929587716063</v>
      </c>
      <c r="AV319">
        <v>2.0527153216672378</v>
      </c>
      <c r="AW319">
        <v>761.96679256961647</v>
      </c>
    </row>
    <row r="320" spans="4:49" ht="17" x14ac:dyDescent="0.2">
      <c r="D320" s="1">
        <f t="shared" si="179"/>
        <v>46341</v>
      </c>
      <c r="E320" s="6">
        <f t="shared" si="146"/>
        <v>0.5</v>
      </c>
      <c r="F320" s="2">
        <f t="shared" si="147"/>
        <v>2461360.3333333335</v>
      </c>
      <c r="G320" s="3">
        <f t="shared" si="148"/>
        <v>0.26872918092631043</v>
      </c>
      <c r="I320">
        <f t="shared" si="149"/>
        <v>234.92387102822795</v>
      </c>
      <c r="J320">
        <f t="shared" si="150"/>
        <v>10031.524397457255</v>
      </c>
      <c r="K320">
        <f t="shared" si="151"/>
        <v>1.6697328281733682E-2</v>
      </c>
      <c r="L320">
        <f t="shared" si="152"/>
        <v>-1.4524249832365546</v>
      </c>
      <c r="M320">
        <f t="shared" si="153"/>
        <v>233.47144604499138</v>
      </c>
      <c r="N320">
        <f t="shared" si="154"/>
        <v>10030.071972474019</v>
      </c>
      <c r="O320">
        <f t="shared" si="155"/>
        <v>0.98909058645044468</v>
      </c>
      <c r="P320">
        <f t="shared" si="156"/>
        <v>233.46847848927598</v>
      </c>
      <c r="Q320">
        <f t="shared" si="157"/>
        <v>23.435796509992119</v>
      </c>
      <c r="R320">
        <f t="shared" si="158"/>
        <v>23.43790072086416</v>
      </c>
      <c r="S320">
        <f t="shared" si="159"/>
        <v>-128.91854042247013</v>
      </c>
      <c r="T320" s="19">
        <f t="shared" si="160"/>
        <v>-18.639207164368912</v>
      </c>
      <c r="U320">
        <f t="shared" si="161"/>
        <v>4.3029278697071793E-2</v>
      </c>
      <c r="V320">
        <f t="shared" si="162"/>
        <v>15.387973986186012</v>
      </c>
      <c r="W320">
        <f t="shared" si="163"/>
        <v>76.09043091745697</v>
      </c>
      <c r="X320" s="6">
        <f t="shared" si="164"/>
        <v>0.49473576806514863</v>
      </c>
      <c r="Y320" s="6">
        <f t="shared" si="165"/>
        <v>0.28337345996110153</v>
      </c>
      <c r="Z320" s="6">
        <f t="shared" si="166"/>
        <v>0.70609807616919573</v>
      </c>
      <c r="AA320" s="19">
        <f t="shared" si="167"/>
        <v>608.72344733965576</v>
      </c>
      <c r="AB320">
        <f t="shared" si="168"/>
        <v>727.58049398618596</v>
      </c>
      <c r="AC320">
        <f t="shared" si="169"/>
        <v>1.8951234965464892</v>
      </c>
      <c r="AD320">
        <f t="shared" si="144"/>
        <v>56.267501892463741</v>
      </c>
      <c r="AE320">
        <f t="shared" si="170"/>
        <v>33.732498107536259</v>
      </c>
      <c r="AF320">
        <f t="shared" si="171"/>
        <v>2.4104403368081409E-2</v>
      </c>
      <c r="AG320">
        <f t="shared" si="172"/>
        <v>33.756602510904337</v>
      </c>
      <c r="AH320">
        <f t="shared" si="145"/>
        <v>182.15937589692891</v>
      </c>
      <c r="AK320">
        <f t="shared" si="173"/>
        <v>-0.31960778690906005</v>
      </c>
      <c r="AL320">
        <f t="shared" si="174"/>
        <v>0.94754992615011735</v>
      </c>
      <c r="AM320">
        <f t="shared" si="175"/>
        <v>609</v>
      </c>
      <c r="AN320">
        <f t="shared" si="176"/>
        <v>-304.5</v>
      </c>
      <c r="AO320">
        <f t="shared" si="177"/>
        <v>304.5</v>
      </c>
      <c r="AP320" s="16" cm="1">
        <f t="array" ref="AP320">SUMPRODUCT(1362*POWER(0.7,POWER(1/($AI$2*AK320+$AJ$2*AL320*COS(RADIANS(0.25*(_xlfn.SEQUENCE(AO320-AN320,1,AN320+1))))+0.50572*POWER(96.07995-DEGREES(ACOS($AI$2*AK320+$AJ$2*AL320*COS(RADIANS(0.25*(_xlfn.SEQUENCE(AO320-AN320,1,AN320+1)))))),-1.6364)),0.678))*IF(AL320*COS(RADIANS(0.25*(_xlfn.SEQUENCE(AO320-AN320,1,AN320+1))))&gt;0,AL320*COS(RADIANS(0.25*(_xlfn.SEQUENCE(AO320-AN320,1,AN320+1)))),0)/60)</f>
        <v>4731.811361279174</v>
      </c>
      <c r="AQ320" s="17" cm="1">
        <f t="array" ref="AQ320">SUMPRODUCT(1362*POWER(0.7,POWER(1/($AI$2*AK320+$AJ$2*AL320*COS(RADIANS(0.25*(_xlfn.SEQUENCE(AO320-AN320,1,AN320+1))))+0.50572*POWER(96.07995-DEGREES(ACOS($AI$2*AK320+$AJ$2*AL320*COS(RADIANS(0.25*(_xlfn.SEQUENCE(AO320-AN320,1,AN320+1)))))),-1.6364)),0.678))/60)</f>
        <v>6139.4269124396742</v>
      </c>
      <c r="AR320" s="15">
        <f t="shared" si="178"/>
        <v>1.2974792196238298</v>
      </c>
      <c r="AT320">
        <v>0.48524978115032458</v>
      </c>
      <c r="AU320">
        <v>60.971161315528462</v>
      </c>
      <c r="AV320">
        <v>2.0544596661284684</v>
      </c>
      <c r="AW320">
        <v>761.71189324166721</v>
      </c>
    </row>
    <row r="321" spans="4:49" ht="17" x14ac:dyDescent="0.2">
      <c r="D321" s="1">
        <f t="shared" si="179"/>
        <v>46342</v>
      </c>
      <c r="E321" s="6">
        <f t="shared" si="146"/>
        <v>0.5</v>
      </c>
      <c r="F321" s="2">
        <f t="shared" si="147"/>
        <v>2461361.3333333335</v>
      </c>
      <c r="G321" s="3">
        <f t="shared" si="148"/>
        <v>0.26875655943418175</v>
      </c>
      <c r="I321">
        <f t="shared" si="149"/>
        <v>235.90951839285299</v>
      </c>
      <c r="J321">
        <f t="shared" si="150"/>
        <v>10032.509997736717</v>
      </c>
      <c r="K321">
        <f t="shared" si="151"/>
        <v>1.6697327128958887E-2</v>
      </c>
      <c r="L321">
        <f t="shared" si="152"/>
        <v>-1.4304784025669386</v>
      </c>
      <c r="M321">
        <f t="shared" si="153"/>
        <v>234.47903999028605</v>
      </c>
      <c r="N321">
        <f t="shared" si="154"/>
        <v>10031.079519334151</v>
      </c>
      <c r="O321">
        <f t="shared" si="155"/>
        <v>0.98887239690722339</v>
      </c>
      <c r="P321">
        <f t="shared" si="156"/>
        <v>234.47607606461725</v>
      </c>
      <c r="Q321">
        <f t="shared" si="157"/>
        <v>23.435796153958016</v>
      </c>
      <c r="R321">
        <f t="shared" si="158"/>
        <v>23.437899016380531</v>
      </c>
      <c r="S321">
        <f t="shared" si="159"/>
        <v>-127.88737737151519</v>
      </c>
      <c r="T321" s="19">
        <f t="shared" si="160"/>
        <v>-18.888161730308727</v>
      </c>
      <c r="U321">
        <f t="shared" si="161"/>
        <v>4.3029272260587469E-2</v>
      </c>
      <c r="V321">
        <f t="shared" si="162"/>
        <v>15.203411754099141</v>
      </c>
      <c r="W321">
        <f t="shared" si="163"/>
        <v>75.8717074932771</v>
      </c>
      <c r="X321" s="6">
        <f t="shared" si="164"/>
        <v>0.49486393628187558</v>
      </c>
      <c r="Y321" s="6">
        <f t="shared" si="165"/>
        <v>0.28410919324499478</v>
      </c>
      <c r="Z321" s="6">
        <f t="shared" si="166"/>
        <v>0.70561867931875644</v>
      </c>
      <c r="AA321" s="19">
        <f t="shared" si="167"/>
        <v>606.9736599462168</v>
      </c>
      <c r="AB321">
        <f t="shared" si="168"/>
        <v>727.39593175409914</v>
      </c>
      <c r="AC321">
        <f t="shared" si="169"/>
        <v>1.8489829385247845</v>
      </c>
      <c r="AD321">
        <f t="shared" si="144"/>
        <v>56.514978473860083</v>
      </c>
      <c r="AE321">
        <f t="shared" si="170"/>
        <v>33.485021526139917</v>
      </c>
      <c r="AF321">
        <f t="shared" si="171"/>
        <v>2.4330073262242263E-2</v>
      </c>
      <c r="AG321">
        <f t="shared" si="172"/>
        <v>33.509351599402159</v>
      </c>
      <c r="AH321">
        <f t="shared" si="145"/>
        <v>182.09765403833796</v>
      </c>
      <c r="AK321">
        <f t="shared" si="173"/>
        <v>-0.32372193417135259</v>
      </c>
      <c r="AL321">
        <f t="shared" si="174"/>
        <v>0.9461522654078246</v>
      </c>
      <c r="AM321">
        <f t="shared" si="175"/>
        <v>607</v>
      </c>
      <c r="AN321">
        <f t="shared" si="176"/>
        <v>-303.5</v>
      </c>
      <c r="AO321">
        <f t="shared" si="177"/>
        <v>303.5</v>
      </c>
      <c r="AP321" s="16" cm="1">
        <f t="array" ref="AP321">SUMPRODUCT(1362*POWER(0.7,POWER(1/($AI$2*AK321+$AJ$2*AL321*COS(RADIANS(0.25*(_xlfn.SEQUENCE(AO321-AN321,1,AN321+1))))+0.50572*POWER(96.07995-DEGREES(ACOS($AI$2*AK321+$AJ$2*AL321*COS(RADIANS(0.25*(_xlfn.SEQUENCE(AO321-AN321,1,AN321+1)))))),-1.6364)),0.678))*IF(AL321*COS(RADIANS(0.25*(_xlfn.SEQUENCE(AO321-AN321,1,AN321+1))))&gt;0,AL321*COS(RADIANS(0.25*(_xlfn.SEQUENCE(AO321-AN321,1,AN321+1)))),0)/60)</f>
        <v>4703.8861274193523</v>
      </c>
      <c r="AQ321" s="17" cm="1">
        <f t="array" ref="AQ321">SUMPRODUCT(1362*POWER(0.7,POWER(1/($AI$2*AK321+$AJ$2*AL321*COS(RADIANS(0.25*(_xlfn.SEQUENCE(AO321-AN321,1,AN321+1))))+0.50572*POWER(96.07995-DEGREES(ACOS($AI$2*AK321+$AJ$2*AL321*COS(RADIANS(0.25*(_xlfn.SEQUENCE(AO321-AN321,1,AN321+1)))))),-1.6364)),0.678))/60)</f>
        <v>6103.5313371020911</v>
      </c>
      <c r="AR321" s="15">
        <f t="shared" si="178"/>
        <v>1.2975508275007102</v>
      </c>
      <c r="AT321">
        <v>0.48482049234306723</v>
      </c>
      <c r="AU321">
        <v>60.999287773419503</v>
      </c>
      <c r="AV321">
        <v>2.0562649074215607</v>
      </c>
      <c r="AW321">
        <v>761.44825823930796</v>
      </c>
    </row>
    <row r="322" spans="4:49" ht="17" x14ac:dyDescent="0.2">
      <c r="D322" s="1">
        <f t="shared" si="179"/>
        <v>46343</v>
      </c>
      <c r="E322" s="6">
        <f t="shared" si="146"/>
        <v>0.5</v>
      </c>
      <c r="F322" s="2">
        <f t="shared" si="147"/>
        <v>2461362.3333333335</v>
      </c>
      <c r="G322" s="3">
        <f t="shared" si="148"/>
        <v>0.26878393794205307</v>
      </c>
      <c r="I322">
        <f t="shared" si="149"/>
        <v>236.89516575747984</v>
      </c>
      <c r="J322">
        <f t="shared" si="150"/>
        <v>10033.495598016179</v>
      </c>
      <c r="K322">
        <f t="shared" si="151"/>
        <v>1.66973259761839E-2</v>
      </c>
      <c r="L322">
        <f t="shared" si="152"/>
        <v>-1.4080904739836424</v>
      </c>
      <c r="M322">
        <f t="shared" si="153"/>
        <v>235.48707528349621</v>
      </c>
      <c r="N322">
        <f t="shared" si="154"/>
        <v>10032.087507542195</v>
      </c>
      <c r="O322">
        <f t="shared" si="155"/>
        <v>0.98865752747917401</v>
      </c>
      <c r="P322">
        <f t="shared" si="156"/>
        <v>235.4841149855454</v>
      </c>
      <c r="Q322">
        <f t="shared" si="157"/>
        <v>23.435795797923912</v>
      </c>
      <c r="R322">
        <f t="shared" si="158"/>
        <v>23.437897310100684</v>
      </c>
      <c r="S322">
        <f t="shared" si="159"/>
        <v>-126.85272548526846</v>
      </c>
      <c r="T322" s="19">
        <f t="shared" si="160"/>
        <v>-19.131520728348104</v>
      </c>
      <c r="U322">
        <f t="shared" si="161"/>
        <v>4.3029265817320757E-2</v>
      </c>
      <c r="V322">
        <f t="shared" si="162"/>
        <v>15.004800783052222</v>
      </c>
      <c r="W322">
        <f t="shared" si="163"/>
        <v>75.657087483842631</v>
      </c>
      <c r="X322" s="6">
        <f t="shared" si="164"/>
        <v>0.49500186056732487</v>
      </c>
      <c r="Y322" s="6">
        <f t="shared" si="165"/>
        <v>0.28484328422331756</v>
      </c>
      <c r="Z322" s="6">
        <f t="shared" si="166"/>
        <v>0.70516043691133223</v>
      </c>
      <c r="AA322" s="19">
        <f t="shared" si="167"/>
        <v>605.25669987074104</v>
      </c>
      <c r="AB322">
        <f t="shared" si="168"/>
        <v>727.19732078305219</v>
      </c>
      <c r="AC322">
        <f t="shared" si="169"/>
        <v>1.7993301957630479</v>
      </c>
      <c r="AD322">
        <f t="shared" ref="AD322:AD366" si="180">DEGREES(ACOS(SIN(RADIANS($B$2))*SIN(RADIANS(T322))+COS(RADIANS($B$2))*COS(RADIANS(T322))*COS(RADIANS(AC322))))</f>
        <v>56.756808875697864</v>
      </c>
      <c r="AE322">
        <f t="shared" si="170"/>
        <v>33.243191124302136</v>
      </c>
      <c r="AF322">
        <f t="shared" si="171"/>
        <v>2.4553425440001955E-2</v>
      </c>
      <c r="AG322">
        <f t="shared" si="172"/>
        <v>33.26774454974214</v>
      </c>
      <c r="AH322">
        <f t="shared" ref="AH322:AH366" si="181">IF(AC322&gt;0,MOD(DEGREES(ACOS(((SIN(RADIANS($B$2))*COS(RADIANS(AD322)))-SIN(RADIANS(T322)))/(COS(RADIANS($B$2))*SIN(RADIANS(AD322)))))+180,360),MOD(540-DEGREES(ACOS(((SIN(RADIANS($B$2))*COS(RADIANS(AD322)))-SIN(RADIANS(T322)))/(COS(RADIANS($B$2))*SIN(RADIANS(AD322))))),360))</f>
        <v>182.03267228706741</v>
      </c>
      <c r="AK322">
        <f t="shared" si="173"/>
        <v>-0.32773770409562136</v>
      </c>
      <c r="AL322">
        <f t="shared" si="174"/>
        <v>0.94476875335403154</v>
      </c>
      <c r="AM322">
        <f t="shared" si="175"/>
        <v>605</v>
      </c>
      <c r="AN322">
        <f t="shared" si="176"/>
        <v>-302.5</v>
      </c>
      <c r="AO322">
        <f t="shared" si="177"/>
        <v>302.5</v>
      </c>
      <c r="AP322" s="16" cm="1">
        <f t="array" ref="AP322">SUMPRODUCT(1362*POWER(0.7,POWER(1/($AI$2*AK322+$AJ$2*AL322*COS(RADIANS(0.25*(_xlfn.SEQUENCE(AO322-AN322,1,AN322+1))))+0.50572*POWER(96.07995-DEGREES(ACOS($AI$2*AK322+$AJ$2*AL322*COS(RADIANS(0.25*(_xlfn.SEQUENCE(AO322-AN322,1,AN322+1)))))),-1.6364)),0.678))*IF(AL322*COS(RADIANS(0.25*(_xlfn.SEQUENCE(AO322-AN322,1,AN322+1))))&gt;0,AL322*COS(RADIANS(0.25*(_xlfn.SEQUENCE(AO322-AN322,1,AN322+1)))),0)/60)</f>
        <v>4676.3809934341689</v>
      </c>
      <c r="AQ322" s="17" cm="1">
        <f t="array" ref="AQ322">SUMPRODUCT(1362*POWER(0.7,POWER(1/($AI$2*AK322+$AJ$2*AL322*COS(RADIANS(0.25*(_xlfn.SEQUENCE(AO322-AN322,1,AN322+1))))+0.50572*POWER(96.07995-DEGREES(ACOS($AI$2*AK322+$AJ$2*AL322*COS(RADIANS(0.25*(_xlfn.SEQUENCE(AO322-AN322,1,AN322+1)))))),-1.6364)),0.678))/60)</f>
        <v>6068.2866757262946</v>
      </c>
      <c r="AR322" s="15">
        <f t="shared" si="178"/>
        <v>1.2976459112819119</v>
      </c>
      <c r="AT322">
        <v>0.48437744419803641</v>
      </c>
      <c r="AU322">
        <v>61.028307702376004</v>
      </c>
      <c r="AV322">
        <v>2.0581313229623106</v>
      </c>
      <c r="AW322">
        <v>761.17586367344927</v>
      </c>
    </row>
    <row r="323" spans="4:49" ht="17" x14ac:dyDescent="0.2">
      <c r="D323" s="1">
        <f t="shared" si="179"/>
        <v>46344</v>
      </c>
      <c r="E323" s="6">
        <f t="shared" ref="E323:E367" si="182">$B$5</f>
        <v>0.5</v>
      </c>
      <c r="F323" s="2">
        <f t="shared" ref="F323:F367" si="183">D323+2415018.5+E323-$B$4/24</f>
        <v>2461363.3333333335</v>
      </c>
      <c r="G323" s="3">
        <f t="shared" ref="G323:G366" si="184">(F323-2451545)/36525</f>
        <v>0.2688113164499244</v>
      </c>
      <c r="I323">
        <f t="shared" ref="I323:I366" si="185">MOD(280.46646+G323*(36000.76983 + G323*0.0003032),360)</f>
        <v>237.8808131221067</v>
      </c>
      <c r="J323">
        <f t="shared" ref="J323:J366" si="186">357.52911+G323*(35999.05029 - 0.0001537*G323)</f>
        <v>10034.481198295643</v>
      </c>
      <c r="K323">
        <f t="shared" ref="K323:K367" si="187">0.016708634-G323*(0.000042037+0.0000001267*G323)</f>
        <v>1.6697324823408723E-2</v>
      </c>
      <c r="L323">
        <f t="shared" ref="L323:L366" si="188">SIN(RADIANS(J323))*(1.914602-G323*(0.004817+0.000014*G323))+SIN(RADIANS(2*J323))*(0.019993-0.000101*G323)+SIN(RADIANS(3*J323))*0.000289</f>
        <v>-1.3852677522575054</v>
      </c>
      <c r="M323">
        <f t="shared" ref="M323:M366" si="189">I323+L323</f>
        <v>236.4955453698492</v>
      </c>
      <c r="N323">
        <f t="shared" ref="N323:N366" si="190">J323+L323</f>
        <v>10033.095930543386</v>
      </c>
      <c r="O323">
        <f t="shared" ref="O323:O366" si="191">(1.000001018*(1-K323*K323))/(1+K323*COS(RADIANS(N323)))</f>
        <v>0.98844604612464182</v>
      </c>
      <c r="P323">
        <f t="shared" ref="P323:P366" si="192">M323-0.00569-0.00478*SIN(RADIANS(125.04-1934.136*G323))</f>
        <v>236.49258869728476</v>
      </c>
      <c r="Q323">
        <f t="shared" ref="Q323:Q366" si="193">23+(26+((21.448-G323*(46.815+G323*(0.00059-G323*0.001813))))/60)/60</f>
        <v>23.435795441889809</v>
      </c>
      <c r="R323">
        <f t="shared" ref="R323:R366" si="194">Q323+0.00256*COS(RADIANS(125.04-1934.136*G323))</f>
        <v>23.437895602025772</v>
      </c>
      <c r="S323">
        <f t="shared" ref="S323:S367" si="195">DEGREES(ATAN2(COS(RADIANS(P323)),COS(RADIANS(R323))*SIN(RADIANS(P323))))</f>
        <v>-125.81460852503092</v>
      </c>
      <c r="T323" s="19">
        <f t="shared" ref="T323:T366" si="196">DEGREES(ASIN(SIN(RADIANS(R323))*SIN(RADIANS(P323))))</f>
        <v>-19.369178886171241</v>
      </c>
      <c r="U323">
        <f t="shared" ref="U323:U366" si="197">TAN(RADIANS(R323/2))*TAN(RADIANS(R323/2))</f>
        <v>4.3029259367276022E-2</v>
      </c>
      <c r="V323">
        <f t="shared" ref="V323:V366" si="198">4*DEGREES(U323*SIN(2*RADIANS(I323))-2*K323*SIN(RADIANS(J323))+4*K323*U323*SIN(RADIANS(J323))*COS(2*RADIANS(I323))-0.5*U323*U323*SIN(4*RADIANS(I323))-1.25*K323*K323*SIN(2*RADIANS(J323)))</f>
        <v>14.792254622910066</v>
      </c>
      <c r="W323">
        <f t="shared" ref="W323:W367" si="199">DEGREES(ACOS(COS(RADIANS(90.833))/(COS(RADIANS($B$2))*COS(RADIANS(T323)))-TAN(RADIANS($B$2))*TAN(RADIANS(T323))))</f>
        <v>75.446704480888073</v>
      </c>
      <c r="X323" s="6">
        <f t="shared" ref="X323:X367" si="200">(720-4*$B$3-V323+$B$4*60)/1440</f>
        <v>0.49514946206742344</v>
      </c>
      <c r="Y323" s="6">
        <f t="shared" ref="Y323:Y367" si="201">(X323*1440-W323*4)/1440</f>
        <v>0.28557528295384549</v>
      </c>
      <c r="Z323" s="6">
        <f t="shared" ref="Z323:Z367" si="202">(X323*1440+W323*4)/1440</f>
        <v>0.70472364118100139</v>
      </c>
      <c r="AA323" s="19">
        <f t="shared" ref="AA323:AA366" si="203">8*W323</f>
        <v>603.57363584710458</v>
      </c>
      <c r="AB323">
        <f t="shared" ref="AB323:AB367" si="204">MOD(E323*1440+V323+4*$B$3-60*$B$4,1440)</f>
        <v>726.98477462290998</v>
      </c>
      <c r="AC323">
        <f t="shared" ref="AC323:AC366" si="205">IF(AB323/4&lt;0,AB323/4+180,AB323/4-180)</f>
        <v>1.7461936557274953</v>
      </c>
      <c r="AD323">
        <f t="shared" si="180"/>
        <v>56.992897043496178</v>
      </c>
      <c r="AE323">
        <f t="shared" ref="AE323:AE366" si="206">90-AD323</f>
        <v>33.007102956503822</v>
      </c>
      <c r="AF323">
        <f t="shared" ref="AF323:AF366" si="207">IF(AE323&gt;85,0,IF(AE323&gt;5,58.1/TAN(RADIANS(AE323))-0.07/POWER(TAN(RADIANS(AE323)),3)+0.000086/POWER(TAN(RADIANS(AE323)),5),IF(AE323&gt;-0.575,1735+AE323*(-518.2+AE323*(103.4+AE323*(-12.79+AE323*0.711))),-20.772/TAN(RADIANS(AE323)))))/3600</f>
        <v>2.4774232750159102E-2</v>
      </c>
      <c r="AG323">
        <f t="shared" ref="AG323:AG366" si="208">AE323+AF323</f>
        <v>33.031877189253983</v>
      </c>
      <c r="AH323">
        <f t="shared" si="181"/>
        <v>181.96449197328926</v>
      </c>
      <c r="AK323">
        <f t="shared" ref="AK323:AK367" si="209">SIN(RADIANS(T323))</f>
        <v>-0.33165369616504053</v>
      </c>
      <c r="AL323">
        <f t="shared" ref="AL323:AL367" si="210">COS(RADIANS(T323))</f>
        <v>0.94340120087906765</v>
      </c>
      <c r="AM323">
        <f t="shared" ref="AM323:AM367" si="211">ROUND(AA323,0)</f>
        <v>604</v>
      </c>
      <c r="AN323">
        <f t="shared" ref="AN323:AN367" si="212">-AM323/2</f>
        <v>-302</v>
      </c>
      <c r="AO323">
        <f t="shared" ref="AO323:AO367" si="213">AM323/2</f>
        <v>302</v>
      </c>
      <c r="AP323" s="16" cm="1">
        <f t="array" ref="AP323">SUMPRODUCT(1362*POWER(0.7,POWER(1/($AI$2*AK323+$AJ$2*AL323*COS(RADIANS(0.25*(_xlfn.SEQUENCE(AO323-AN323,1,AN323+1))))+0.50572*POWER(96.07995-DEGREES(ACOS($AI$2*AK323+$AJ$2*AL323*COS(RADIANS(0.25*(_xlfn.SEQUENCE(AO323-AN323,1,AN323+1)))))),-1.6364)),0.678))*IF(AL323*COS(RADIANS(0.25*(_xlfn.SEQUENCE(AO323-AN323,1,AN323+1))))&gt;0,AL323*COS(RADIANS(0.25*(_xlfn.SEQUENCE(AO323-AN323,1,AN323+1)))),0)/60)</f>
        <v>4649.3514239569149</v>
      </c>
      <c r="AQ323" s="17" cm="1">
        <f t="array" ref="AQ323">SUMPRODUCT(1362*POWER(0.7,POWER(1/($AI$2*AK323+$AJ$2*AL323*COS(RADIANS(0.25*(_xlfn.SEQUENCE(AO323-AN323,1,AN323+1))))+0.50572*POWER(96.07995-DEGREES(ACOS($AI$2*AK323+$AJ$2*AL323*COS(RADIANS(0.25*(_xlfn.SEQUENCE(AO323-AN323,1,AN323+1)))))),-1.6364)),0.678))/60)</f>
        <v>6033.8392706599761</v>
      </c>
      <c r="AR323" s="15">
        <f t="shared" ref="AR323:AR367" si="214">AQ323/AP323</f>
        <v>1.2977808559639417</v>
      </c>
      <c r="AT323">
        <v>0.48392064515023014</v>
      </c>
      <c r="AU323">
        <v>61.058219805803212</v>
      </c>
      <c r="AV323">
        <v>2.0600592002229927</v>
      </c>
      <c r="AW323">
        <v>760.89468482258189</v>
      </c>
    </row>
    <row r="324" spans="4:49" ht="17" x14ac:dyDescent="0.2">
      <c r="D324" s="1">
        <f t="shared" ref="D324:D367" si="215">D323+1</f>
        <v>46345</v>
      </c>
      <c r="E324" s="6">
        <f t="shared" si="182"/>
        <v>0.5</v>
      </c>
      <c r="F324" s="2">
        <f t="shared" si="183"/>
        <v>2461364.3333333335</v>
      </c>
      <c r="G324" s="3">
        <f t="shared" si="184"/>
        <v>0.26883869495779572</v>
      </c>
      <c r="I324">
        <f t="shared" si="185"/>
        <v>238.86646048673538</v>
      </c>
      <c r="J324">
        <f t="shared" si="186"/>
        <v>10035.466798575106</v>
      </c>
      <c r="K324">
        <f t="shared" si="187"/>
        <v>1.6697323670633354E-2</v>
      </c>
      <c r="L324">
        <f t="shared" si="188"/>
        <v>-1.3620169429417723</v>
      </c>
      <c r="M324">
        <f t="shared" si="189"/>
        <v>237.5044435437936</v>
      </c>
      <c r="N324">
        <f t="shared" si="190"/>
        <v>10034.104781632164</v>
      </c>
      <c r="O324">
        <f t="shared" si="191"/>
        <v>0.988238019816015</v>
      </c>
      <c r="P324">
        <f t="shared" si="192"/>
        <v>237.50149049428077</v>
      </c>
      <c r="Q324">
        <f t="shared" si="193"/>
        <v>23.435795085855705</v>
      </c>
      <c r="R324">
        <f t="shared" si="194"/>
        <v>23.43789389215695</v>
      </c>
      <c r="S324">
        <f t="shared" si="195"/>
        <v>-124.77305484018218</v>
      </c>
      <c r="T324" s="19">
        <f t="shared" si="196"/>
        <v>-19.601032139148217</v>
      </c>
      <c r="U324">
        <f t="shared" si="197"/>
        <v>4.3029252910457651E-2</v>
      </c>
      <c r="V324">
        <f t="shared" si="198"/>
        <v>14.565905716222071</v>
      </c>
      <c r="W324">
        <f t="shared" si="199"/>
        <v>75.240692998001506</v>
      </c>
      <c r="X324" s="6">
        <f t="shared" si="200"/>
        <v>0.4953066488081791</v>
      </c>
      <c r="Y324" s="6">
        <f t="shared" si="201"/>
        <v>0.28630472381373051</v>
      </c>
      <c r="Z324" s="6">
        <f t="shared" si="202"/>
        <v>0.70430857380262779</v>
      </c>
      <c r="AA324" s="19">
        <f t="shared" si="203"/>
        <v>601.92554398401205</v>
      </c>
      <c r="AB324">
        <f t="shared" si="204"/>
        <v>726.75842571622206</v>
      </c>
      <c r="AC324">
        <f t="shared" si="205"/>
        <v>1.6896064290555159</v>
      </c>
      <c r="AD324">
        <f t="shared" si="180"/>
        <v>57.223148538034771</v>
      </c>
      <c r="AE324">
        <f t="shared" si="206"/>
        <v>32.776851461965229</v>
      </c>
      <c r="AF324">
        <f t="shared" si="207"/>
        <v>2.4992262960232207E-2</v>
      </c>
      <c r="AG324">
        <f t="shared" si="208"/>
        <v>32.801843724925462</v>
      </c>
      <c r="AH324">
        <f t="shared" si="181"/>
        <v>181.89317639362301</v>
      </c>
      <c r="AK324">
        <f t="shared" si="209"/>
        <v>-0.33546854013213206</v>
      </c>
      <c r="AL324">
        <f t="shared" si="210"/>
        <v>0.94205140973389345</v>
      </c>
      <c r="AM324">
        <f t="shared" si="211"/>
        <v>602</v>
      </c>
      <c r="AN324">
        <f t="shared" si="212"/>
        <v>-301</v>
      </c>
      <c r="AO324">
        <f t="shared" si="213"/>
        <v>301</v>
      </c>
      <c r="AP324" s="16" cm="1">
        <f t="array" ref="AP324">SUMPRODUCT(1362*POWER(0.7,POWER(1/($AI$2*AK324+$AJ$2*AL324*COS(RADIANS(0.25*(_xlfn.SEQUENCE(AO324-AN324,1,AN324+1))))+0.50572*POWER(96.07995-DEGREES(ACOS($AI$2*AK324+$AJ$2*AL324*COS(RADIANS(0.25*(_xlfn.SEQUENCE(AO324-AN324,1,AN324+1)))))),-1.6364)),0.678))*IF(AL324*COS(RADIANS(0.25*(_xlfn.SEQUENCE(AO324-AN324,1,AN324+1))))&gt;0,AL324*COS(RADIANS(0.25*(_xlfn.SEQUENCE(AO324-AN324,1,AN324+1)))),0)/60)</f>
        <v>4622.7669880168278</v>
      </c>
      <c r="AQ324" s="17" cm="1">
        <f t="array" ref="AQ324">SUMPRODUCT(1362*POWER(0.7,POWER(1/($AI$2*AK324+$AJ$2*AL324*COS(RADIANS(0.25*(_xlfn.SEQUENCE(AO324-AN324,1,AN324+1))))+0.50572*POWER(96.07995-DEGREES(ACOS($AI$2*AK324+$AJ$2*AL324*COS(RADIANS(0.25*(_xlfn.SEQUENCE(AO324-AN324,1,AN324+1)))))),-1.6364)),0.678))/60)</f>
        <v>5999.9724676499754</v>
      </c>
      <c r="AR324" s="15">
        <f t="shared" si="214"/>
        <v>1.297917996559885</v>
      </c>
      <c r="AT324">
        <v>0.48345010389644394</v>
      </c>
      <c r="AU324">
        <v>61.089022749802908</v>
      </c>
      <c r="AV324">
        <v>2.0620488368430081</v>
      </c>
      <c r="AW324">
        <v>760.60469612670022</v>
      </c>
    </row>
    <row r="325" spans="4:49" ht="17" x14ac:dyDescent="0.2">
      <c r="D325" s="1">
        <f t="shared" si="215"/>
        <v>46346</v>
      </c>
      <c r="E325" s="6">
        <f t="shared" si="182"/>
        <v>0.5</v>
      </c>
      <c r="F325" s="2">
        <f t="shared" si="183"/>
        <v>2461365.3333333335</v>
      </c>
      <c r="G325" s="3">
        <f t="shared" si="184"/>
        <v>0.26886607346566704</v>
      </c>
      <c r="I325">
        <f t="shared" si="185"/>
        <v>239.85210785136223</v>
      </c>
      <c r="J325">
        <f t="shared" si="186"/>
        <v>10036.452398854568</v>
      </c>
      <c r="K325">
        <f t="shared" si="187"/>
        <v>1.6697322517857799E-2</v>
      </c>
      <c r="L325">
        <f t="shared" si="188"/>
        <v>-1.3383449004829977</v>
      </c>
      <c r="M325">
        <f t="shared" si="189"/>
        <v>238.51376295087923</v>
      </c>
      <c r="N325">
        <f t="shared" si="190"/>
        <v>10035.114053954085</v>
      </c>
      <c r="O325">
        <f t="shared" si="191"/>
        <v>0.98803351451449373</v>
      </c>
      <c r="P325">
        <f t="shared" si="192"/>
        <v>238.51081352208018</v>
      </c>
      <c r="Q325">
        <f t="shared" si="193"/>
        <v>23.435794729821605</v>
      </c>
      <c r="R325">
        <f t="shared" si="194"/>
        <v>23.437892180495378</v>
      </c>
      <c r="S325">
        <f t="shared" si="195"/>
        <v>-123.72809741935453</v>
      </c>
      <c r="T325" s="19">
        <f t="shared" si="196"/>
        <v>-19.826977736261984</v>
      </c>
      <c r="U325">
        <f t="shared" si="197"/>
        <v>4.3029246446869999E-2</v>
      </c>
      <c r="V325">
        <f t="shared" si="198"/>
        <v>14.325905447396591</v>
      </c>
      <c r="W325">
        <f t="shared" si="199"/>
        <v>75.039188254622871</v>
      </c>
      <c r="X325" s="6">
        <f t="shared" si="200"/>
        <v>0.49547331566153019</v>
      </c>
      <c r="Y325" s="6">
        <f t="shared" si="201"/>
        <v>0.28703112606535552</v>
      </c>
      <c r="Z325" s="6">
        <f t="shared" si="202"/>
        <v>0.70391550525770485</v>
      </c>
      <c r="AA325" s="19">
        <f t="shared" si="203"/>
        <v>600.31350603698297</v>
      </c>
      <c r="AB325">
        <f t="shared" si="204"/>
        <v>726.51842544739657</v>
      </c>
      <c r="AC325">
        <f t="shared" si="205"/>
        <v>1.6296063618491416</v>
      </c>
      <c r="AD325">
        <f t="shared" si="180"/>
        <v>57.447470603669849</v>
      </c>
      <c r="AE325">
        <f t="shared" si="206"/>
        <v>32.552529396330151</v>
      </c>
      <c r="AF325">
        <f t="shared" si="207"/>
        <v>2.5207279137466811E-2</v>
      </c>
      <c r="AG325">
        <f t="shared" si="208"/>
        <v>32.577736675467619</v>
      </c>
      <c r="AH325">
        <f t="shared" si="181"/>
        <v>181.81879075763518</v>
      </c>
      <c r="AK325">
        <f t="shared" si="209"/>
        <v>-0.33918089669332185</v>
      </c>
      <c r="AL325">
        <f t="shared" si="210"/>
        <v>0.94072116980448262</v>
      </c>
      <c r="AM325">
        <f t="shared" si="211"/>
        <v>600</v>
      </c>
      <c r="AN325">
        <f t="shared" si="212"/>
        <v>-300</v>
      </c>
      <c r="AO325">
        <f t="shared" si="213"/>
        <v>300</v>
      </c>
      <c r="AP325" s="16" cm="1">
        <f t="array" ref="AP325">SUMPRODUCT(1362*POWER(0.7,POWER(1/($AI$2*AK325+$AJ$2*AL325*COS(RADIANS(0.25*(_xlfn.SEQUENCE(AO325-AN325,1,AN325+1))))+0.50572*POWER(96.07995-DEGREES(ACOS($AI$2*AK325+$AJ$2*AL325*COS(RADIANS(0.25*(_xlfn.SEQUENCE(AO325-AN325,1,AN325+1)))))),-1.6364)),0.678))*IF(AL325*COS(RADIANS(0.25*(_xlfn.SEQUENCE(AO325-AN325,1,AN325+1))))&gt;0,AL325*COS(RADIANS(0.25*(_xlfn.SEQUENCE(AO325-AN325,1,AN325+1)))),0)/60)</f>
        <v>4596.6812129461096</v>
      </c>
      <c r="AQ325" s="17" cm="1">
        <f t="array" ref="AQ325">SUMPRODUCT(1362*POWER(0.7,POWER(1/($AI$2*AK325+$AJ$2*AL325*COS(RADIANS(0.25*(_xlfn.SEQUENCE(AO325-AN325,1,AN325+1))))+0.50572*POWER(96.07995-DEGREES(ACOS($AI$2*AK325+$AJ$2*AL325*COS(RADIANS(0.25*(_xlfn.SEQUENCE(AO325-AN325,1,AN325+1)))))),-1.6364)),0.678))/60)</f>
        <v>5966.8279801666085</v>
      </c>
      <c r="AR325" s="15">
        <f t="shared" si="214"/>
        <v>1.2980730452574376</v>
      </c>
      <c r="AT325">
        <v>0.48296582939510491</v>
      </c>
      <c r="AU325">
        <v>61.120715163458378</v>
      </c>
      <c r="AV325">
        <v>2.0641005407438326</v>
      </c>
      <c r="AW325">
        <v>760.30587118100436</v>
      </c>
    </row>
    <row r="326" spans="4:49" ht="17" x14ac:dyDescent="0.2">
      <c r="D326" s="1">
        <f t="shared" si="215"/>
        <v>46347</v>
      </c>
      <c r="E326" s="6">
        <f t="shared" si="182"/>
        <v>0.5</v>
      </c>
      <c r="F326" s="2">
        <f t="shared" si="183"/>
        <v>2461366.3333333335</v>
      </c>
      <c r="G326" s="3">
        <f t="shared" si="184"/>
        <v>0.26889345197353837</v>
      </c>
      <c r="I326">
        <f t="shared" si="185"/>
        <v>240.83775521599091</v>
      </c>
      <c r="J326">
        <f t="shared" si="186"/>
        <v>10037.43799913403</v>
      </c>
      <c r="K326">
        <f t="shared" si="187"/>
        <v>1.6697321365082052E-2</v>
      </c>
      <c r="L326">
        <f t="shared" si="188"/>
        <v>-1.3142586262601261</v>
      </c>
      <c r="M326">
        <f t="shared" si="189"/>
        <v>239.5234965897308</v>
      </c>
      <c r="N326">
        <f t="shared" si="190"/>
        <v>10036.12374050777</v>
      </c>
      <c r="O326">
        <f t="shared" si="191"/>
        <v>0.98783259514513433</v>
      </c>
      <c r="P326">
        <f t="shared" si="192"/>
        <v>239.52055077930459</v>
      </c>
      <c r="Q326">
        <f t="shared" si="193"/>
        <v>23.435794373787502</v>
      </c>
      <c r="R326">
        <f t="shared" si="194"/>
        <v>23.437890467042209</v>
      </c>
      <c r="S326">
        <f t="shared" si="195"/>
        <v>-122.67977393324283</v>
      </c>
      <c r="T326" s="19">
        <f t="shared" si="196"/>
        <v>-20.046914348269265</v>
      </c>
      <c r="U326">
        <f t="shared" si="197"/>
        <v>4.302923997651744E-2</v>
      </c>
      <c r="V326">
        <f t="shared" si="198"/>
        <v>14.072424153411813</v>
      </c>
      <c r="W326">
        <f t="shared" si="199"/>
        <v>74.842325946626616</v>
      </c>
      <c r="X326" s="6">
        <f t="shared" si="200"/>
        <v>0.49564934433790853</v>
      </c>
      <c r="Y326" s="6">
        <f t="shared" si="201"/>
        <v>0.2877539944861679</v>
      </c>
      <c r="Z326" s="6">
        <f t="shared" si="202"/>
        <v>0.70354469418964904</v>
      </c>
      <c r="AA326" s="19">
        <f t="shared" si="203"/>
        <v>598.73860757301293</v>
      </c>
      <c r="AB326">
        <f t="shared" si="204"/>
        <v>726.26494415341176</v>
      </c>
      <c r="AC326">
        <f t="shared" si="205"/>
        <v>1.5662360383529403</v>
      </c>
      <c r="AD326">
        <f t="shared" si="180"/>
        <v>57.665772236919672</v>
      </c>
      <c r="AE326">
        <f t="shared" si="206"/>
        <v>32.334227763080328</v>
      </c>
      <c r="AF326">
        <f t="shared" si="207"/>
        <v>2.5419040072816056E-2</v>
      </c>
      <c r="AG326">
        <f t="shared" si="208"/>
        <v>32.359646803153147</v>
      </c>
      <c r="AH326">
        <f t="shared" si="181"/>
        <v>181.74140213177839</v>
      </c>
      <c r="AK326">
        <f t="shared" si="209"/>
        <v>-0.34278945815404671</v>
      </c>
      <c r="AL326">
        <f t="shared" si="210"/>
        <v>0.93941225634885939</v>
      </c>
      <c r="AM326">
        <f t="shared" si="211"/>
        <v>599</v>
      </c>
      <c r="AN326">
        <f t="shared" si="212"/>
        <v>-299.5</v>
      </c>
      <c r="AO326">
        <f t="shared" si="213"/>
        <v>299.5</v>
      </c>
      <c r="AP326" s="16" cm="1">
        <f t="array" ref="AP326">SUMPRODUCT(1362*POWER(0.7,POWER(1/($AI$2*AK326+$AJ$2*AL326*COS(RADIANS(0.25*(_xlfn.SEQUENCE(AO326-AN326,1,AN326+1))))+0.50572*POWER(96.07995-DEGREES(ACOS($AI$2*AK326+$AJ$2*AL326*COS(RADIANS(0.25*(_xlfn.SEQUENCE(AO326-AN326,1,AN326+1)))))),-1.6364)),0.678))*IF(AL326*COS(RADIANS(0.25*(_xlfn.SEQUENCE(AO326-AN326,1,AN326+1))))&gt;0,AL326*COS(RADIANS(0.25*(_xlfn.SEQUENCE(AO326-AN326,1,AN326+1)))),0)/60)</f>
        <v>4571.1505005571407</v>
      </c>
      <c r="AQ326" s="17" cm="1">
        <f t="array" ref="AQ326">SUMPRODUCT(1362*POWER(0.7,POWER(1/($AI$2*AK326+$AJ$2*AL326*COS(RADIANS(0.25*(_xlfn.SEQUENCE(AO326-AN326,1,AN326+1))))+0.50572*POWER(96.07995-DEGREES(ACOS($AI$2*AK326+$AJ$2*AL326*COS(RADIANS(0.25*(_xlfn.SEQUENCE(AO326-AN326,1,AN326+1)))))),-1.6364)),0.678))/60)</f>
        <v>5934.5541871925179</v>
      </c>
      <c r="AR326" s="15">
        <f t="shared" si="214"/>
        <v>1.2982626991758865</v>
      </c>
      <c r="AT326">
        <v>0.48246783086610145</v>
      </c>
      <c r="AU326">
        <v>61.153295639126355</v>
      </c>
      <c r="AV326">
        <v>2.0662146302483362</v>
      </c>
      <c r="AW326">
        <v>759.99818272938035</v>
      </c>
    </row>
    <row r="327" spans="4:49" ht="17" x14ac:dyDescent="0.2">
      <c r="D327" s="1">
        <f t="shared" si="215"/>
        <v>46348</v>
      </c>
      <c r="E327" s="6">
        <f t="shared" si="182"/>
        <v>0.5</v>
      </c>
      <c r="F327" s="2">
        <f t="shared" si="183"/>
        <v>2461367.3333333335</v>
      </c>
      <c r="G327" s="3">
        <f t="shared" si="184"/>
        <v>0.26892083048140969</v>
      </c>
      <c r="I327">
        <f t="shared" si="185"/>
        <v>241.82340258061959</v>
      </c>
      <c r="J327">
        <f t="shared" si="186"/>
        <v>10038.423599413492</v>
      </c>
      <c r="K327">
        <f t="shared" si="187"/>
        <v>1.6697320212306119E-2</v>
      </c>
      <c r="L327">
        <f t="shared" si="188"/>
        <v>-1.2897652665515684</v>
      </c>
      <c r="M327">
        <f t="shared" si="189"/>
        <v>240.53363731406802</v>
      </c>
      <c r="N327">
        <f t="shared" si="190"/>
        <v>10037.13383414694</v>
      </c>
      <c r="O327">
        <f t="shared" si="191"/>
        <v>0.98763532557218092</v>
      </c>
      <c r="P327">
        <f t="shared" si="192"/>
        <v>240.53069511967061</v>
      </c>
      <c r="Q327">
        <f t="shared" si="193"/>
        <v>23.435794017753402</v>
      </c>
      <c r="R327">
        <f t="shared" si="194"/>
        <v>23.437888751798603</v>
      </c>
      <c r="S327">
        <f t="shared" si="195"/>
        <v>-121.62812676854986</v>
      </c>
      <c r="T327" s="19">
        <f t="shared" si="196"/>
        <v>-20.260742177868369</v>
      </c>
      <c r="U327">
        <f t="shared" si="197"/>
        <v>4.3029233499404358E-2</v>
      </c>
      <c r="V327">
        <f t="shared" si="198"/>
        <v>13.805651095301412</v>
      </c>
      <c r="W327">
        <f t="shared" si="199"/>
        <v>74.650242003822669</v>
      </c>
      <c r="X327" s="6">
        <f t="shared" si="200"/>
        <v>0.49583460340604074</v>
      </c>
      <c r="Y327" s="6">
        <f t="shared" si="201"/>
        <v>0.28847282006208885</v>
      </c>
      <c r="Z327" s="6">
        <f t="shared" si="202"/>
        <v>0.70319638674999252</v>
      </c>
      <c r="AA327" s="19">
        <f t="shared" si="203"/>
        <v>597.20193603058135</v>
      </c>
      <c r="AB327">
        <f t="shared" si="204"/>
        <v>725.99817109530136</v>
      </c>
      <c r="AC327">
        <f t="shared" si="205"/>
        <v>1.4995427738253397</v>
      </c>
      <c r="AD327">
        <f t="shared" si="180"/>
        <v>57.87796425525169</v>
      </c>
      <c r="AE327">
        <f t="shared" si="206"/>
        <v>32.12203574474831</v>
      </c>
      <c r="AF327">
        <f t="shared" si="207"/>
        <v>2.562730074828876E-2</v>
      </c>
      <c r="AG327">
        <f t="shared" si="208"/>
        <v>32.1476630454966</v>
      </c>
      <c r="AH327">
        <f t="shared" si="181"/>
        <v>181.66107938099302</v>
      </c>
      <c r="AK327">
        <f t="shared" si="209"/>
        <v>-0.34629294908367036</v>
      </c>
      <c r="AL327">
        <f t="shared" si="210"/>
        <v>0.93812642720207728</v>
      </c>
      <c r="AM327">
        <f t="shared" si="211"/>
        <v>597</v>
      </c>
      <c r="AN327">
        <f t="shared" si="212"/>
        <v>-298.5</v>
      </c>
      <c r="AO327">
        <f t="shared" si="213"/>
        <v>298.5</v>
      </c>
      <c r="AP327" s="16" cm="1">
        <f t="array" ref="AP327">SUMPRODUCT(1362*POWER(0.7,POWER(1/($AI$2*AK327+$AJ$2*AL327*COS(RADIANS(0.25*(_xlfn.SEQUENCE(AO327-AN327,1,AN327+1))))+0.50572*POWER(96.07995-DEGREES(ACOS($AI$2*AK327+$AJ$2*AL327*COS(RADIANS(0.25*(_xlfn.SEQUENCE(AO327-AN327,1,AN327+1)))))),-1.6364)),0.678))*IF(AL327*COS(RADIANS(0.25*(_xlfn.SEQUENCE(AO327-AN327,1,AN327+1))))&gt;0,AL327*COS(RADIANS(0.25*(_xlfn.SEQUENCE(AO327-AN327,1,AN327+1)))),0)/60)</f>
        <v>4546.1406946375027</v>
      </c>
      <c r="AQ327" s="17" cm="1">
        <f t="array" ref="AQ327">SUMPRODUCT(1362*POWER(0.7,POWER(1/($AI$2*AK327+$AJ$2*AL327*COS(RADIANS(0.25*(_xlfn.SEQUENCE(AO327-AN327,1,AN327+1))))+0.50572*POWER(96.07995-DEGREES(ACOS($AI$2*AK327+$AJ$2*AL327*COS(RADIANS(0.25*(_xlfn.SEQUENCE(AO327-AN327,1,AN327+1)))))),-1.6364)),0.678))/60)</f>
        <v>5902.9309652932507</v>
      </c>
      <c r="AR327" s="15">
        <f t="shared" si="214"/>
        <v>1.2984488078550185</v>
      </c>
      <c r="AT327">
        <v>0.48195611779060776</v>
      </c>
      <c r="AU327">
        <v>61.186762732735758</v>
      </c>
      <c r="AV327">
        <v>2.0683914342045719</v>
      </c>
      <c r="AW327">
        <v>759.68160265765198</v>
      </c>
    </row>
    <row r="328" spans="4:49" ht="17" x14ac:dyDescent="0.2">
      <c r="D328" s="1">
        <f t="shared" si="215"/>
        <v>46349</v>
      </c>
      <c r="E328" s="6">
        <f t="shared" si="182"/>
        <v>0.5</v>
      </c>
      <c r="F328" s="2">
        <f t="shared" si="183"/>
        <v>2461368.3333333335</v>
      </c>
      <c r="G328" s="3">
        <f t="shared" si="184"/>
        <v>0.26894820898928101</v>
      </c>
      <c r="I328">
        <f t="shared" si="185"/>
        <v>242.80904994525008</v>
      </c>
      <c r="J328">
        <f t="shared" si="186"/>
        <v>10039.409199692953</v>
      </c>
      <c r="K328">
        <f t="shared" si="187"/>
        <v>1.6697319059529991E-2</v>
      </c>
      <c r="L328">
        <f t="shared" si="188"/>
        <v>-1.2648721104310583</v>
      </c>
      <c r="M328">
        <f t="shared" si="189"/>
        <v>241.54417783481901</v>
      </c>
      <c r="N328">
        <f t="shared" si="190"/>
        <v>10038.144327582522</v>
      </c>
      <c r="O328">
        <f t="shared" si="191"/>
        <v>0.98744176857469546</v>
      </c>
      <c r="P328">
        <f t="shared" si="192"/>
        <v>241.54123925410332</v>
      </c>
      <c r="Q328">
        <f t="shared" si="193"/>
        <v>23.435793661719298</v>
      </c>
      <c r="R328">
        <f t="shared" si="194"/>
        <v>23.437887034765723</v>
      </c>
      <c r="S328">
        <f t="shared" si="195"/>
        <v>-120.57320305248315</v>
      </c>
      <c r="T328" s="19">
        <f t="shared" si="196"/>
        <v>-20.468363071649801</v>
      </c>
      <c r="U328">
        <f t="shared" si="197"/>
        <v>4.3029227015535118E-2</v>
      </c>
      <c r="V328">
        <f t="shared" si="198"/>
        <v>13.525794389764606</v>
      </c>
      <c r="W328">
        <f t="shared" si="199"/>
        <v>74.463072334794987</v>
      </c>
      <c r="X328" s="6">
        <f t="shared" si="200"/>
        <v>0.49602894834044126</v>
      </c>
      <c r="Y328" s="6">
        <f t="shared" si="201"/>
        <v>0.28918708074378852</v>
      </c>
      <c r="Z328" s="6">
        <f t="shared" si="202"/>
        <v>0.702870815937094</v>
      </c>
      <c r="AA328" s="19">
        <f t="shared" si="203"/>
        <v>595.70457867835989</v>
      </c>
      <c r="AB328">
        <f t="shared" si="204"/>
        <v>725.7183143897646</v>
      </c>
      <c r="AC328">
        <f t="shared" si="205"/>
        <v>1.4295785974411501</v>
      </c>
      <c r="AD328">
        <f t="shared" si="180"/>
        <v>58.083959366017829</v>
      </c>
      <c r="AE328">
        <f t="shared" si="206"/>
        <v>31.916040633982171</v>
      </c>
      <c r="AF328">
        <f t="shared" si="207"/>
        <v>2.5831812847756739E-2</v>
      </c>
      <c r="AG328">
        <f t="shared" si="208"/>
        <v>31.941872446829926</v>
      </c>
      <c r="AH328">
        <f t="shared" si="181"/>
        <v>181.57789310821587</v>
      </c>
      <c r="AK328">
        <f t="shared" si="209"/>
        <v>-0.34969012695981866</v>
      </c>
      <c r="AL328">
        <f t="shared" si="210"/>
        <v>0.93686541995466233</v>
      </c>
      <c r="AM328">
        <f t="shared" si="211"/>
        <v>596</v>
      </c>
      <c r="AN328">
        <f t="shared" si="212"/>
        <v>-298</v>
      </c>
      <c r="AO328">
        <f t="shared" si="213"/>
        <v>298</v>
      </c>
      <c r="AP328" s="16" cm="1">
        <f t="array" ref="AP328">SUMPRODUCT(1362*POWER(0.7,POWER(1/($AI$2*AK328+$AJ$2*AL328*COS(RADIANS(0.25*(_xlfn.SEQUENCE(AO328-AN328,1,AN328+1))))+0.50572*POWER(96.07995-DEGREES(ACOS($AI$2*AK328+$AJ$2*AL328*COS(RADIANS(0.25*(_xlfn.SEQUENCE(AO328-AN328,1,AN328+1)))))),-1.6364)),0.678))*IF(AL328*COS(RADIANS(0.25*(_xlfn.SEQUENCE(AO328-AN328,1,AN328+1))))&gt;0,AL328*COS(RADIANS(0.25*(_xlfn.SEQUENCE(AO328-AN328,1,AN328+1)))),0)/60)</f>
        <v>4521.7369071174689</v>
      </c>
      <c r="AQ328" s="17" cm="1">
        <f t="array" ref="AQ328">SUMPRODUCT(1362*POWER(0.7,POWER(1/($AI$2*AK328+$AJ$2*AL328*COS(RADIANS(0.25*(_xlfn.SEQUENCE(AO328-AN328,1,AN328+1))))+0.50572*POWER(96.07995-DEGREES(ACOS($AI$2*AK328+$AJ$2*AL328*COS(RADIANS(0.25*(_xlfn.SEQUENCE(AO328-AN328,1,AN328+1)))))),-1.6364)),0.678))/60)</f>
        <v>5872.2247270779199</v>
      </c>
      <c r="AR328" s="15">
        <f t="shared" si="214"/>
        <v>1.2986657224206712</v>
      </c>
      <c r="AT328">
        <v>0.48143069991090326</v>
      </c>
      <c r="AU328">
        <v>61.22111496409304</v>
      </c>
      <c r="AV328">
        <v>2.0706312921141139</v>
      </c>
      <c r="AW328">
        <v>759.35610198660459</v>
      </c>
    </row>
    <row r="329" spans="4:49" ht="17" x14ac:dyDescent="0.2">
      <c r="D329" s="1">
        <f t="shared" si="215"/>
        <v>46350</v>
      </c>
      <c r="E329" s="6">
        <f t="shared" si="182"/>
        <v>0.5</v>
      </c>
      <c r="F329" s="2">
        <f t="shared" si="183"/>
        <v>2461369.3333333335</v>
      </c>
      <c r="G329" s="3">
        <f t="shared" si="184"/>
        <v>0.26897558749715234</v>
      </c>
      <c r="I329">
        <f t="shared" si="185"/>
        <v>243.79469730988058</v>
      </c>
      <c r="J329">
        <f t="shared" si="186"/>
        <v>10040.394799972415</v>
      </c>
      <c r="K329">
        <f t="shared" si="187"/>
        <v>1.6697317906753675E-2</v>
      </c>
      <c r="L329">
        <f t="shared" si="188"/>
        <v>-1.2395865875922676</v>
      </c>
      <c r="M329">
        <f t="shared" si="189"/>
        <v>242.5551107222883</v>
      </c>
      <c r="N329">
        <f t="shared" si="190"/>
        <v>10039.155213384824</v>
      </c>
      <c r="O329">
        <f t="shared" si="191"/>
        <v>0.98725198582250351</v>
      </c>
      <c r="P329">
        <f t="shared" si="192"/>
        <v>242.55217575290411</v>
      </c>
      <c r="Q329">
        <f t="shared" si="193"/>
        <v>23.435793305685198</v>
      </c>
      <c r="R329">
        <f t="shared" si="194"/>
        <v>23.43788531594473</v>
      </c>
      <c r="S329">
        <f t="shared" si="195"/>
        <v>-119.51505466732773</v>
      </c>
      <c r="T329" s="19">
        <f t="shared" si="196"/>
        <v>-20.669680633567751</v>
      </c>
      <c r="U329">
        <f t="shared" si="197"/>
        <v>4.3029220524914126E-2</v>
      </c>
      <c r="V329">
        <f t="shared" si="198"/>
        <v>13.23308090038387</v>
      </c>
      <c r="W329">
        <f t="shared" si="199"/>
        <v>74.280952559622293</v>
      </c>
      <c r="X329" s="6">
        <f t="shared" si="200"/>
        <v>0.49623222159695562</v>
      </c>
      <c r="Y329" s="6">
        <f t="shared" si="201"/>
        <v>0.28989624226467148</v>
      </c>
      <c r="Z329" s="6">
        <f t="shared" si="202"/>
        <v>0.70256820092923977</v>
      </c>
      <c r="AA329" s="19">
        <f t="shared" si="203"/>
        <v>594.24762047697834</v>
      </c>
      <c r="AB329">
        <f t="shared" si="204"/>
        <v>725.42560090038387</v>
      </c>
      <c r="AC329">
        <f t="shared" si="205"/>
        <v>1.3564002250959675</v>
      </c>
      <c r="AD329">
        <f t="shared" si="180"/>
        <v>58.283672235456265</v>
      </c>
      <c r="AE329">
        <f t="shared" si="206"/>
        <v>31.716327764543735</v>
      </c>
      <c r="AF329">
        <f t="shared" si="207"/>
        <v>2.6032325310940106E-2</v>
      </c>
      <c r="AG329">
        <f t="shared" si="208"/>
        <v>31.742360089854674</v>
      </c>
      <c r="AH329">
        <f t="shared" si="181"/>
        <v>181.49191559206503</v>
      </c>
      <c r="AK329">
        <f t="shared" si="209"/>
        <v>-0.35297978280142472</v>
      </c>
      <c r="AL329">
        <f t="shared" si="210"/>
        <v>0.93563094911052347</v>
      </c>
      <c r="AM329">
        <f t="shared" si="211"/>
        <v>594</v>
      </c>
      <c r="AN329">
        <f t="shared" si="212"/>
        <v>-297</v>
      </c>
      <c r="AO329">
        <f t="shared" si="213"/>
        <v>297</v>
      </c>
      <c r="AP329" s="16" cm="1">
        <f t="array" ref="AP329">SUMPRODUCT(1362*POWER(0.7,POWER(1/($AI$2*AK329+$AJ$2*AL329*COS(RADIANS(0.25*(_xlfn.SEQUENCE(AO329-AN329,1,AN329+1))))+0.50572*POWER(96.07995-DEGREES(ACOS($AI$2*AK329+$AJ$2*AL329*COS(RADIANS(0.25*(_xlfn.SEQUENCE(AO329-AN329,1,AN329+1)))))),-1.6364)),0.678))*IF(AL329*COS(RADIANS(0.25*(_xlfn.SEQUENCE(AO329-AN329,1,AN329+1))))&gt;0,AL329*COS(RADIANS(0.25*(_xlfn.SEQUENCE(AO329-AN329,1,AN329+1)))),0)/60)</f>
        <v>4497.9034747851965</v>
      </c>
      <c r="AQ329" s="17" cm="1">
        <f t="array" ref="AQ329">SUMPRODUCT(1362*POWER(0.7,POWER(1/($AI$2*AK329+$AJ$2*AL329*COS(RADIANS(0.25*(_xlfn.SEQUENCE(AO329-AN329,1,AN329+1))))+0.50572*POWER(96.07995-DEGREES(ACOS($AI$2*AK329+$AJ$2*AL329*COS(RADIANS(0.25*(_xlfn.SEQUENCE(AO329-AN329,1,AN329+1)))))),-1.6364)),0.678))/60)</f>
        <v>5842.216960437966</v>
      </c>
      <c r="AR329" s="15">
        <f t="shared" si="214"/>
        <v>1.2988755746291263</v>
      </c>
      <c r="AT329">
        <v>0.48089158723018688</v>
      </c>
      <c r="AU329">
        <v>61.256350817193983</v>
      </c>
      <c r="AV329">
        <v>2.0729345542650561</v>
      </c>
      <c r="AW329">
        <v>759.02165086477532</v>
      </c>
    </row>
    <row r="330" spans="4:49" ht="17" x14ac:dyDescent="0.2">
      <c r="D330" s="1">
        <f t="shared" si="215"/>
        <v>46351</v>
      </c>
      <c r="E330" s="6">
        <f t="shared" si="182"/>
        <v>0.5</v>
      </c>
      <c r="F330" s="2">
        <f t="shared" si="183"/>
        <v>2461370.3333333335</v>
      </c>
      <c r="G330" s="3">
        <f t="shared" si="184"/>
        <v>0.26900296600502366</v>
      </c>
      <c r="I330">
        <f t="shared" si="185"/>
        <v>244.78034467450925</v>
      </c>
      <c r="J330">
        <f t="shared" si="186"/>
        <v>10041.380400251875</v>
      </c>
      <c r="K330">
        <f t="shared" si="187"/>
        <v>1.6697316753977169E-2</v>
      </c>
      <c r="L330">
        <f t="shared" si="188"/>
        <v>-1.2139162661040499</v>
      </c>
      <c r="M330">
        <f t="shared" si="189"/>
        <v>243.56642840840522</v>
      </c>
      <c r="N330">
        <f t="shared" si="190"/>
        <v>10040.166483985771</v>
      </c>
      <c r="O330">
        <f t="shared" si="191"/>
        <v>0.98706603785247415</v>
      </c>
      <c r="P330">
        <f t="shared" si="192"/>
        <v>243.56349704799922</v>
      </c>
      <c r="Q330">
        <f t="shared" si="193"/>
        <v>23.435792949651098</v>
      </c>
      <c r="R330">
        <f t="shared" si="194"/>
        <v>23.437883595336789</v>
      </c>
      <c r="S330">
        <f t="shared" si="195"/>
        <v>-118.45373825457142</v>
      </c>
      <c r="T330" s="19">
        <f t="shared" si="196"/>
        <v>-20.864600339667721</v>
      </c>
      <c r="U330">
        <f t="shared" si="197"/>
        <v>4.3029214027545816E-2</v>
      </c>
      <c r="V330">
        <f t="shared" si="198"/>
        <v>12.927756088059336</v>
      </c>
      <c r="W330">
        <f t="shared" si="199"/>
        <v>74.104017731124344</v>
      </c>
      <c r="X330" s="6">
        <f t="shared" si="200"/>
        <v>0.4964442527166254</v>
      </c>
      <c r="Y330" s="6">
        <f t="shared" si="201"/>
        <v>0.29059975901905777</v>
      </c>
      <c r="Z330" s="6">
        <f t="shared" si="202"/>
        <v>0.70228874641419303</v>
      </c>
      <c r="AA330" s="19">
        <f t="shared" si="203"/>
        <v>592.83214184899475</v>
      </c>
      <c r="AB330">
        <f t="shared" si="204"/>
        <v>725.12027608805943</v>
      </c>
      <c r="AC330">
        <f t="shared" si="205"/>
        <v>1.2800690220148567</v>
      </c>
      <c r="AD330">
        <f t="shared" si="180"/>
        <v>58.477019557684443</v>
      </c>
      <c r="AE330">
        <f t="shared" si="206"/>
        <v>31.522980442315557</v>
      </c>
      <c r="AF330">
        <f t="shared" si="207"/>
        <v>2.6228584929922465E-2</v>
      </c>
      <c r="AG330">
        <f t="shared" si="208"/>
        <v>31.549209027245478</v>
      </c>
      <c r="AH330">
        <f t="shared" si="181"/>
        <v>181.40322072293156</v>
      </c>
      <c r="AK330">
        <f t="shared" si="209"/>
        <v>-0.35616074179002438</v>
      </c>
      <c r="AL330">
        <f t="shared" si="210"/>
        <v>0.93442470323059179</v>
      </c>
      <c r="AM330">
        <f t="shared" si="211"/>
        <v>593</v>
      </c>
      <c r="AN330">
        <f t="shared" si="212"/>
        <v>-296.5</v>
      </c>
      <c r="AO330">
        <f t="shared" si="213"/>
        <v>296.5</v>
      </c>
      <c r="AP330" s="16" cm="1">
        <f t="array" ref="AP330">SUMPRODUCT(1362*POWER(0.7,POWER(1/($AI$2*AK330+$AJ$2*AL330*COS(RADIANS(0.25*(_xlfn.SEQUENCE(AO330-AN330,1,AN330+1))))+0.50572*POWER(96.07995-DEGREES(ACOS($AI$2*AK330+$AJ$2*AL330*COS(RADIANS(0.25*(_xlfn.SEQUENCE(AO330-AN330,1,AN330+1)))))),-1.6364)),0.678))*IF(AL330*COS(RADIANS(0.25*(_xlfn.SEQUENCE(AO330-AN330,1,AN330+1))))&gt;0,AL330*COS(RADIANS(0.25*(_xlfn.SEQUENCE(AO330-AN330,1,AN330+1)))),0)/60)</f>
        <v>4474.7260087906498</v>
      </c>
      <c r="AQ330" s="17" cm="1">
        <f t="array" ref="AQ330">SUMPRODUCT(1362*POWER(0.7,POWER(1/($AI$2*AK330+$AJ$2*AL330*COS(RADIANS(0.25*(_xlfn.SEQUENCE(AO330-AN330,1,AN330+1))))+0.50572*POWER(96.07995-DEGREES(ACOS($AI$2*AK330+$AJ$2*AL330*COS(RADIANS(0.25*(_xlfn.SEQUENCE(AO330-AN330,1,AN330+1)))))),-1.6364)),0.678))/60)</f>
        <v>5813.1736893699099</v>
      </c>
      <c r="AR330" s="15">
        <f t="shared" si="214"/>
        <v>1.2991127675638385</v>
      </c>
      <c r="AT330">
        <v>0.48033879001238688</v>
      </c>
      <c r="AU330">
        <v>61.292468740541899</v>
      </c>
      <c r="AV330">
        <v>2.0753015818697467</v>
      </c>
      <c r="AW330">
        <v>758.67821856100659</v>
      </c>
    </row>
    <row r="331" spans="4:49" ht="17" x14ac:dyDescent="0.2">
      <c r="D331" s="1">
        <f t="shared" si="215"/>
        <v>46352</v>
      </c>
      <c r="E331" s="6">
        <f t="shared" si="182"/>
        <v>0.5</v>
      </c>
      <c r="F331" s="2">
        <f t="shared" si="183"/>
        <v>2461371.3333333335</v>
      </c>
      <c r="G331" s="3">
        <f t="shared" si="184"/>
        <v>0.26903034451289498</v>
      </c>
      <c r="I331">
        <f t="shared" si="185"/>
        <v>245.76599203913975</v>
      </c>
      <c r="J331">
        <f t="shared" si="186"/>
        <v>10042.366000531336</v>
      </c>
      <c r="K331">
        <f t="shared" si="187"/>
        <v>1.6697315601200472E-2</v>
      </c>
      <c r="L331">
        <f t="shared" si="188"/>
        <v>-1.1878688500950965</v>
      </c>
      <c r="M331">
        <f t="shared" si="189"/>
        <v>244.57812318904465</v>
      </c>
      <c r="N331">
        <f t="shared" si="190"/>
        <v>10041.178131681241</v>
      </c>
      <c r="O331">
        <f t="shared" si="191"/>
        <v>0.98688398404513733</v>
      </c>
      <c r="P331">
        <f t="shared" si="192"/>
        <v>244.5751954352605</v>
      </c>
      <c r="Q331">
        <f t="shared" si="193"/>
        <v>23.435792593616998</v>
      </c>
      <c r="R331">
        <f t="shared" si="194"/>
        <v>23.437881872943066</v>
      </c>
      <c r="S331">
        <f t="shared" si="195"/>
        <v>-117.38931520812595</v>
      </c>
      <c r="T331" s="19">
        <f t="shared" si="196"/>
        <v>-21.053029653779706</v>
      </c>
      <c r="U331">
        <f t="shared" si="197"/>
        <v>4.3029207523434525E-2</v>
      </c>
      <c r="V331">
        <f t="shared" si="198"/>
        <v>12.610083820391965</v>
      </c>
      <c r="W331">
        <f t="shared" si="199"/>
        <v>73.932402045398518</v>
      </c>
      <c r="X331" s="6">
        <f t="shared" si="200"/>
        <v>0.49666485845806108</v>
      </c>
      <c r="Y331" s="6">
        <f t="shared" si="201"/>
        <v>0.29129707499862073</v>
      </c>
      <c r="Z331" s="6">
        <f t="shared" si="202"/>
        <v>0.70203264191750148</v>
      </c>
      <c r="AA331" s="19">
        <f t="shared" si="203"/>
        <v>591.45921636318815</v>
      </c>
      <c r="AB331">
        <f t="shared" si="204"/>
        <v>724.80260382039205</v>
      </c>
      <c r="AC331">
        <f t="shared" si="205"/>
        <v>1.2006509550980127</v>
      </c>
      <c r="AD331">
        <f t="shared" si="180"/>
        <v>58.663920123590486</v>
      </c>
      <c r="AE331">
        <f t="shared" si="206"/>
        <v>31.336079876409514</v>
      </c>
      <c r="AF331">
        <f t="shared" si="207"/>
        <v>2.6420336987132923E-2</v>
      </c>
      <c r="AG331">
        <f t="shared" si="208"/>
        <v>31.362500213396647</v>
      </c>
      <c r="AH331">
        <f t="shared" si="181"/>
        <v>181.3118839377594</v>
      </c>
      <c r="AK331">
        <f t="shared" si="209"/>
        <v>-0.35923186387870626</v>
      </c>
      <c r="AL331">
        <f t="shared" si="210"/>
        <v>0.93324834206883578</v>
      </c>
      <c r="AM331">
        <f t="shared" si="211"/>
        <v>591</v>
      </c>
      <c r="AN331">
        <f t="shared" si="212"/>
        <v>-295.5</v>
      </c>
      <c r="AO331">
        <f t="shared" si="213"/>
        <v>295.5</v>
      </c>
      <c r="AP331" s="16" cm="1">
        <f t="array" ref="AP331">SUMPRODUCT(1362*POWER(0.7,POWER(1/($AI$2*AK331+$AJ$2*AL331*COS(RADIANS(0.25*(_xlfn.SEQUENCE(AO331-AN331,1,AN331+1))))+0.50572*POWER(96.07995-DEGREES(ACOS($AI$2*AK331+$AJ$2*AL331*COS(RADIANS(0.25*(_xlfn.SEQUENCE(AO331-AN331,1,AN331+1)))))),-1.6364)),0.678))*IF(AL331*COS(RADIANS(0.25*(_xlfn.SEQUENCE(AO331-AN331,1,AN331+1))))&gt;0,AL331*COS(RADIANS(0.25*(_xlfn.SEQUENCE(AO331-AN331,1,AN331+1)))),0)/60)</f>
        <v>4452.1660460368576</v>
      </c>
      <c r="AQ331" s="17" cm="1">
        <f t="array" ref="AQ331">SUMPRODUCT(1362*POWER(0.7,POWER(1/($AI$2*AK331+$AJ$2*AL331*COS(RADIANS(0.25*(_xlfn.SEQUENCE(AO331-AN331,1,AN331+1))))+0.50572*POWER(96.07995-DEGREES(ACOS($AI$2*AK331+$AJ$2*AL331*COS(RADIANS(0.25*(_xlfn.SEQUENCE(AO331-AN331,1,AN331+1)))))),-1.6364)),0.678))/60)</f>
        <v>5784.8732878816472</v>
      </c>
      <c r="AR331" s="15">
        <f t="shared" si="214"/>
        <v>1.2993390695818978</v>
      </c>
      <c r="AT331">
        <v>0.47977231878196569</v>
      </c>
      <c r="AU331">
        <v>61.329467147471945</v>
      </c>
      <c r="AV331">
        <v>2.0777327472073823</v>
      </c>
      <c r="AW331">
        <v>758.32577345675986</v>
      </c>
    </row>
    <row r="332" spans="4:49" ht="17" x14ac:dyDescent="0.2">
      <c r="D332" s="1">
        <f t="shared" si="215"/>
        <v>46353</v>
      </c>
      <c r="E332" s="6">
        <f t="shared" si="182"/>
        <v>0.5</v>
      </c>
      <c r="F332" s="2">
        <f t="shared" si="183"/>
        <v>2461372.3333333335</v>
      </c>
      <c r="G332" s="3">
        <f t="shared" si="184"/>
        <v>0.2690577230207663</v>
      </c>
      <c r="I332">
        <f t="shared" si="185"/>
        <v>246.75163940377024</v>
      </c>
      <c r="J332">
        <f t="shared" si="186"/>
        <v>10043.351600810796</v>
      </c>
      <c r="K332">
        <f t="shared" si="187"/>
        <v>1.6697314448423588E-2</v>
      </c>
      <c r="L332">
        <f t="shared" si="188"/>
        <v>-1.1614521773703608</v>
      </c>
      <c r="M332">
        <f t="shared" si="189"/>
        <v>245.59018722639988</v>
      </c>
      <c r="N332">
        <f t="shared" si="190"/>
        <v>10042.190148633426</v>
      </c>
      <c r="O332">
        <f t="shared" si="191"/>
        <v>0.98670588260166314</v>
      </c>
      <c r="P332">
        <f t="shared" si="192"/>
        <v>245.58726307687812</v>
      </c>
      <c r="Q332">
        <f t="shared" si="193"/>
        <v>23.435792237582898</v>
      </c>
      <c r="R332">
        <f t="shared" si="194"/>
        <v>23.437880148764727</v>
      </c>
      <c r="S332">
        <f t="shared" si="195"/>
        <v>-116.3218516562291</v>
      </c>
      <c r="T332" s="19">
        <f t="shared" si="196"/>
        <v>-21.234878143869082</v>
      </c>
      <c r="U332">
        <f t="shared" si="197"/>
        <v>4.3029201012584693E-2</v>
      </c>
      <c r="V332">
        <f t="shared" si="198"/>
        <v>12.280346139898562</v>
      </c>
      <c r="W332">
        <f t="shared" si="199"/>
        <v>73.766238542527944</v>
      </c>
      <c r="X332" s="6">
        <f t="shared" si="200"/>
        <v>0.49689384295840378</v>
      </c>
      <c r="Y332" s="6">
        <f t="shared" si="201"/>
        <v>0.29198762478471507</v>
      </c>
      <c r="Z332" s="6">
        <f t="shared" si="202"/>
        <v>0.70180006113209259</v>
      </c>
      <c r="AA332" s="19">
        <f t="shared" si="203"/>
        <v>590.12990834022355</v>
      </c>
      <c r="AB332">
        <f t="shared" si="204"/>
        <v>724.47286613989854</v>
      </c>
      <c r="AC332">
        <f t="shared" si="205"/>
        <v>1.1182165349746356</v>
      </c>
      <c r="AD332">
        <f t="shared" si="180"/>
        <v>58.844294889519162</v>
      </c>
      <c r="AE332">
        <f t="shared" si="206"/>
        <v>31.155705110480838</v>
      </c>
      <c r="AF332">
        <f t="shared" si="207"/>
        <v>2.6607325933302124E-2</v>
      </c>
      <c r="AG332">
        <f t="shared" si="208"/>
        <v>31.18231243641414</v>
      </c>
      <c r="AH332">
        <f t="shared" si="181"/>
        <v>181.21798215375668</v>
      </c>
      <c r="AK332">
        <f t="shared" si="209"/>
        <v>-0.36219204438810987</v>
      </c>
      <c r="AL332">
        <f t="shared" si="210"/>
        <v>0.93210349370762546</v>
      </c>
      <c r="AM332">
        <f t="shared" si="211"/>
        <v>590</v>
      </c>
      <c r="AN332">
        <f t="shared" si="212"/>
        <v>-295</v>
      </c>
      <c r="AO332">
        <f t="shared" si="213"/>
        <v>295</v>
      </c>
      <c r="AP332" s="16" cm="1">
        <f t="array" ref="AP332">SUMPRODUCT(1362*POWER(0.7,POWER(1/($AI$2*AK332+$AJ$2*AL332*COS(RADIANS(0.25*(_xlfn.SEQUENCE(AO332-AN332,1,AN332+1))))+0.50572*POWER(96.07995-DEGREES(ACOS($AI$2*AK332+$AJ$2*AL332*COS(RADIANS(0.25*(_xlfn.SEQUENCE(AO332-AN332,1,AN332+1)))))),-1.6364)),0.678))*IF(AL332*COS(RADIANS(0.25*(_xlfn.SEQUENCE(AO332-AN332,1,AN332+1))))&gt;0,AL332*COS(RADIANS(0.25*(_xlfn.SEQUENCE(AO332-AN332,1,AN332+1)))),0)/60)</f>
        <v>4430.310730225171</v>
      </c>
      <c r="AQ332" s="17" cm="1">
        <f t="array" ref="AQ332">SUMPRODUCT(1362*POWER(0.7,POWER(1/($AI$2*AK332+$AJ$2*AL332*COS(RADIANS(0.25*(_xlfn.SEQUENCE(AO332-AN332,1,AN332+1))))+0.50572*POWER(96.07995-DEGREES(ACOS($AI$2*AK332+$AJ$2*AL332*COS(RADIANS(0.25*(_xlfn.SEQUENCE(AO332-AN332,1,AN332+1)))))),-1.6364)),0.678))/60)</f>
        <v>5757.5858421750509</v>
      </c>
      <c r="AR332" s="15">
        <f t="shared" si="214"/>
        <v>1.299589620857682</v>
      </c>
      <c r="AT332">
        <v>0.4791921843237188</v>
      </c>
      <c r="AU332">
        <v>61.36734441648148</v>
      </c>
      <c r="AV332">
        <v>2.0802284337715569</v>
      </c>
      <c r="AW332">
        <v>757.96428303818607</v>
      </c>
    </row>
    <row r="333" spans="4:49" ht="17" x14ac:dyDescent="0.2">
      <c r="D333" s="1">
        <f t="shared" si="215"/>
        <v>46354</v>
      </c>
      <c r="E333" s="6">
        <f t="shared" si="182"/>
        <v>0.5</v>
      </c>
      <c r="F333" s="2">
        <f t="shared" si="183"/>
        <v>2461373.3333333335</v>
      </c>
      <c r="G333" s="3">
        <f t="shared" si="184"/>
        <v>0.26908510152863763</v>
      </c>
      <c r="I333">
        <f t="shared" si="185"/>
        <v>247.73728676840256</v>
      </c>
      <c r="J333">
        <f t="shared" si="186"/>
        <v>10044.337201090259</v>
      </c>
      <c r="K333">
        <f t="shared" si="187"/>
        <v>1.6697313295646513E-2</v>
      </c>
      <c r="L333">
        <f t="shared" si="188"/>
        <v>-1.1346742169590616</v>
      </c>
      <c r="M333">
        <f t="shared" si="189"/>
        <v>246.60261255144349</v>
      </c>
      <c r="N333">
        <f t="shared" si="190"/>
        <v>10043.2025268733</v>
      </c>
      <c r="O333">
        <f t="shared" si="191"/>
        <v>0.98653179052121542</v>
      </c>
      <c r="P333">
        <f t="shared" si="192"/>
        <v>246.59969200382159</v>
      </c>
      <c r="Q333">
        <f t="shared" si="193"/>
        <v>23.435791881548798</v>
      </c>
      <c r="R333">
        <f t="shared" si="194"/>
        <v>23.437878422802939</v>
      </c>
      <c r="S333">
        <f t="shared" si="195"/>
        <v>-115.25141843159264</v>
      </c>
      <c r="T333" s="19">
        <f t="shared" si="196"/>
        <v>-21.410057598731601</v>
      </c>
      <c r="U333">
        <f t="shared" si="197"/>
        <v>4.3029194495000728E-2</v>
      </c>
      <c r="V333">
        <f t="shared" si="198"/>
        <v>11.938842991054273</v>
      </c>
      <c r="W333">
        <f t="shared" si="199"/>
        <v>73.60565879844971</v>
      </c>
      <c r="X333" s="6">
        <f t="shared" si="200"/>
        <v>0.4971309979228789</v>
      </c>
      <c r="Y333" s="6">
        <f t="shared" si="201"/>
        <v>0.2926708345938519</v>
      </c>
      <c r="Z333" s="6">
        <f t="shared" si="202"/>
        <v>0.7015911612519059</v>
      </c>
      <c r="AA333" s="19">
        <f t="shared" si="203"/>
        <v>588.84527038759768</v>
      </c>
      <c r="AB333">
        <f t="shared" si="204"/>
        <v>724.13136299105417</v>
      </c>
      <c r="AC333">
        <f t="shared" si="205"/>
        <v>1.0328407477635437</v>
      </c>
      <c r="AD333">
        <f t="shared" si="180"/>
        <v>59.018067045649161</v>
      </c>
      <c r="AE333">
        <f t="shared" si="206"/>
        <v>30.981932954350839</v>
      </c>
      <c r="AF333">
        <f t="shared" si="207"/>
        <v>2.6789296103462559E-2</v>
      </c>
      <c r="AG333">
        <f t="shared" si="208"/>
        <v>31.008722250454301</v>
      </c>
      <c r="AH333">
        <f t="shared" si="181"/>
        <v>181.12159370129993</v>
      </c>
      <c r="AK333">
        <f t="shared" si="209"/>
        <v>-0.36504021458903552</v>
      </c>
      <c r="AL333">
        <f t="shared" si="210"/>
        <v>0.93099175169965431</v>
      </c>
      <c r="AM333">
        <f t="shared" si="211"/>
        <v>589</v>
      </c>
      <c r="AN333">
        <f t="shared" si="212"/>
        <v>-294.5</v>
      </c>
      <c r="AO333">
        <f t="shared" si="213"/>
        <v>294.5</v>
      </c>
      <c r="AP333" s="16" cm="1">
        <f t="array" ref="AP333">SUMPRODUCT(1362*POWER(0.7,POWER(1/($AI$2*AK333+$AJ$2*AL333*COS(RADIANS(0.25*(_xlfn.SEQUENCE(AO333-AN333,1,AN333+1))))+0.50572*POWER(96.07995-DEGREES(ACOS($AI$2*AK333+$AJ$2*AL333*COS(RADIANS(0.25*(_xlfn.SEQUENCE(AO333-AN333,1,AN333+1)))))),-1.6364)),0.678))*IF(AL333*COS(RADIANS(0.25*(_xlfn.SEQUENCE(AO333-AN333,1,AN333+1))))&gt;0,AL333*COS(RADIANS(0.25*(_xlfn.SEQUENCE(AO333-AN333,1,AN333+1)))),0)/60)</f>
        <v>4409.1506954362776</v>
      </c>
      <c r="AQ333" s="17" cm="1">
        <f t="array" ref="AQ333">SUMPRODUCT(1362*POWER(0.7,POWER(1/($AI$2*AK333+$AJ$2*AL333*COS(RADIANS(0.25*(_xlfn.SEQUENCE(AO333-AN333,1,AN333+1))))+0.50572*POWER(96.07995-DEGREES(ACOS($AI$2*AK333+$AJ$2*AL333*COS(RADIANS(0.25*(_xlfn.SEQUENCE(AO333-AN333,1,AN333+1)))))),-1.6364)),0.678))/60)</f>
        <v>5731.2080576464477</v>
      </c>
      <c r="AR333" s="15">
        <f t="shared" si="214"/>
        <v>1.2998439957106875</v>
      </c>
      <c r="AT333">
        <v>0.47859839768257006</v>
      </c>
      <c r="AU333">
        <v>61.406098891566309</v>
      </c>
      <c r="AV333">
        <v>2.0827890364228785</v>
      </c>
      <c r="AW333">
        <v>757.59371388794796</v>
      </c>
    </row>
    <row r="334" spans="4:49" ht="17" x14ac:dyDescent="0.2">
      <c r="D334" s="1">
        <f t="shared" si="215"/>
        <v>46355</v>
      </c>
      <c r="E334" s="6">
        <f t="shared" si="182"/>
        <v>0.5</v>
      </c>
      <c r="F334" s="2">
        <f t="shared" si="183"/>
        <v>2461374.3333333335</v>
      </c>
      <c r="G334" s="3">
        <f t="shared" si="184"/>
        <v>0.26911248003650895</v>
      </c>
      <c r="I334">
        <f t="shared" si="185"/>
        <v>248.72293413303487</v>
      </c>
      <c r="J334">
        <f t="shared" si="186"/>
        <v>10045.322801369717</v>
      </c>
      <c r="K334">
        <f t="shared" si="187"/>
        <v>1.6697312142869247E-2</v>
      </c>
      <c r="L334">
        <f t="shared" si="188"/>
        <v>-1.1075430665957373</v>
      </c>
      <c r="M334">
        <f t="shared" si="189"/>
        <v>247.61539106643914</v>
      </c>
      <c r="N334">
        <f t="shared" si="190"/>
        <v>10044.215258303122</v>
      </c>
      <c r="O334">
        <f t="shared" si="191"/>
        <v>0.98636176357868677</v>
      </c>
      <c r="P334">
        <f t="shared" si="192"/>
        <v>247.61247411835151</v>
      </c>
      <c r="Q334">
        <f t="shared" si="193"/>
        <v>23.435791525514698</v>
      </c>
      <c r="R334">
        <f t="shared" si="194"/>
        <v>23.437876695058875</v>
      </c>
      <c r="S334">
        <f t="shared" si="195"/>
        <v>-114.17809102947902</v>
      </c>
      <c r="T334" s="19">
        <f t="shared" si="196"/>
        <v>-21.578482144690948</v>
      </c>
      <c r="U334">
        <f t="shared" si="197"/>
        <v>4.3029187970687076E-2</v>
      </c>
      <c r="V334">
        <f t="shared" si="198"/>
        <v>11.585891906316057</v>
      </c>
      <c r="W334">
        <f t="shared" si="199"/>
        <v>73.450792609097817</v>
      </c>
      <c r="X334" s="6">
        <f t="shared" si="200"/>
        <v>0.49737610284283612</v>
      </c>
      <c r="Y334" s="6">
        <f t="shared" si="201"/>
        <v>0.29334612337311994</v>
      </c>
      <c r="Z334" s="6">
        <f t="shared" si="202"/>
        <v>0.7014060823125523</v>
      </c>
      <c r="AA334" s="19">
        <f t="shared" si="203"/>
        <v>587.60634087278254</v>
      </c>
      <c r="AB334">
        <f t="shared" si="204"/>
        <v>723.77841190631602</v>
      </c>
      <c r="AC334">
        <f t="shared" si="205"/>
        <v>0.94460297657900583</v>
      </c>
      <c r="AD334">
        <f t="shared" si="180"/>
        <v>59.185162083934543</v>
      </c>
      <c r="AE334">
        <f t="shared" si="206"/>
        <v>30.814837916065457</v>
      </c>
      <c r="AF334">
        <f t="shared" si="207"/>
        <v>2.696599246859005E-2</v>
      </c>
      <c r="AG334">
        <f t="shared" si="208"/>
        <v>30.841803908534047</v>
      </c>
      <c r="AH334">
        <f t="shared" si="181"/>
        <v>181.02279825630174</v>
      </c>
      <c r="AK334">
        <f t="shared" si="209"/>
        <v>-0.36777534227101227</v>
      </c>
      <c r="AL334">
        <f t="shared" si="210"/>
        <v>0.92991467222398405</v>
      </c>
      <c r="AM334">
        <f t="shared" si="211"/>
        <v>588</v>
      </c>
      <c r="AN334">
        <f t="shared" si="212"/>
        <v>-294</v>
      </c>
      <c r="AO334">
        <f t="shared" si="213"/>
        <v>294</v>
      </c>
      <c r="AP334" s="16" cm="1">
        <f t="array" ref="AP334">SUMPRODUCT(1362*POWER(0.7,POWER(1/($AI$2*AK334+$AJ$2*AL334*COS(RADIANS(0.25*(_xlfn.SEQUENCE(AO334-AN334,1,AN334+1))))+0.50572*POWER(96.07995-DEGREES(ACOS($AI$2*AK334+$AJ$2*AL334*COS(RADIANS(0.25*(_xlfn.SEQUENCE(AO334-AN334,1,AN334+1)))))),-1.6364)),0.678))*IF(AL334*COS(RADIANS(0.25*(_xlfn.SEQUENCE(AO334-AN334,1,AN334+1))))&gt;0,AL334*COS(RADIANS(0.25*(_xlfn.SEQUENCE(AO334-AN334,1,AN334+1)))),0)/60)</f>
        <v>4388.7084334519486</v>
      </c>
      <c r="AQ334" s="17" cm="1">
        <f t="array" ref="AQ334">SUMPRODUCT(1362*POWER(0.7,POWER(1/($AI$2*AK334+$AJ$2*AL334*COS(RADIANS(0.25*(_xlfn.SEQUENCE(AO334-AN334,1,AN334+1))))+0.50572*POWER(96.07995-DEGREES(ACOS($AI$2*AK334+$AJ$2*AL334*COS(RADIANS(0.25*(_xlfn.SEQUENCE(AO334-AN334,1,AN334+1)))))),-1.6364)),0.678))/60)</f>
        <v>5705.762488998781</v>
      </c>
      <c r="AR334" s="15">
        <f t="shared" si="214"/>
        <v>1.3001006048859118</v>
      </c>
      <c r="AT334">
        <v>0.47799097016336123</v>
      </c>
      <c r="AU334">
        <v>61.445728882562612</v>
      </c>
      <c r="AV334">
        <v>2.0854149615467676</v>
      </c>
      <c r="AW334">
        <v>757.21403167679193</v>
      </c>
    </row>
    <row r="335" spans="4:49" ht="17" x14ac:dyDescent="0.2">
      <c r="D335" s="1">
        <f t="shared" si="215"/>
        <v>46356</v>
      </c>
      <c r="E335" s="6">
        <f t="shared" si="182"/>
        <v>0.5</v>
      </c>
      <c r="F335" s="2">
        <f t="shared" si="183"/>
        <v>2461375.3333333335</v>
      </c>
      <c r="G335" s="3">
        <f t="shared" si="184"/>
        <v>0.26913985854438027</v>
      </c>
      <c r="I335">
        <f t="shared" si="185"/>
        <v>249.70858149766718</v>
      </c>
      <c r="J335">
        <f t="shared" si="186"/>
        <v>10046.308401649178</v>
      </c>
      <c r="K335">
        <f t="shared" si="187"/>
        <v>1.669731099009179E-2</v>
      </c>
      <c r="L335">
        <f t="shared" si="188"/>
        <v>-1.0800669501339919</v>
      </c>
      <c r="M335">
        <f t="shared" si="189"/>
        <v>248.6285145475332</v>
      </c>
      <c r="N335">
        <f t="shared" si="190"/>
        <v>10045.228334699044</v>
      </c>
      <c r="O335">
        <f t="shared" si="191"/>
        <v>0.98619585630283546</v>
      </c>
      <c r="P335">
        <f t="shared" si="192"/>
        <v>248.62560119661114</v>
      </c>
      <c r="Q335">
        <f t="shared" si="193"/>
        <v>23.435791169480602</v>
      </c>
      <c r="R335">
        <f t="shared" si="194"/>
        <v>23.437874965533709</v>
      </c>
      <c r="S335">
        <f t="shared" si="195"/>
        <v>-113.10194955336588</v>
      </c>
      <c r="T335" s="19">
        <f t="shared" si="196"/>
        <v>-21.740068361956169</v>
      </c>
      <c r="U335">
        <f t="shared" si="197"/>
        <v>4.3029181439648137E-2</v>
      </c>
      <c r="V335">
        <f t="shared" si="198"/>
        <v>11.221827651395945</v>
      </c>
      <c r="W335">
        <f t="shared" si="199"/>
        <v>73.30176766803784</v>
      </c>
      <c r="X335" s="6">
        <f t="shared" si="200"/>
        <v>0.49762892524208618</v>
      </c>
      <c r="Y335" s="6">
        <f t="shared" si="201"/>
        <v>0.29401290394198104</v>
      </c>
      <c r="Z335" s="6">
        <f t="shared" si="202"/>
        <v>0.70124494654219127</v>
      </c>
      <c r="AA335" s="19">
        <f t="shared" si="203"/>
        <v>586.41414134430272</v>
      </c>
      <c r="AB335">
        <f t="shared" si="204"/>
        <v>723.41434765139593</v>
      </c>
      <c r="AC335">
        <f t="shared" si="205"/>
        <v>0.85358691284898214</v>
      </c>
      <c r="AD335">
        <f t="shared" si="180"/>
        <v>59.345507865485118</v>
      </c>
      <c r="AE335">
        <f t="shared" si="206"/>
        <v>30.654492134514882</v>
      </c>
      <c r="AF335">
        <f t="shared" si="207"/>
        <v>2.7137161420026947E-2</v>
      </c>
      <c r="AG335">
        <f t="shared" si="208"/>
        <v>30.681629295934908</v>
      </c>
      <c r="AH335">
        <f t="shared" si="181"/>
        <v>180.92167677225939</v>
      </c>
      <c r="AK335">
        <f t="shared" si="209"/>
        <v>-0.37039643229637753</v>
      </c>
      <c r="AL335">
        <f t="shared" si="210"/>
        <v>0.9288737712639511</v>
      </c>
      <c r="AM335">
        <f t="shared" si="211"/>
        <v>586</v>
      </c>
      <c r="AN335">
        <f t="shared" si="212"/>
        <v>-293</v>
      </c>
      <c r="AO335">
        <f t="shared" si="213"/>
        <v>293</v>
      </c>
      <c r="AP335" s="16" cm="1">
        <f t="array" ref="AP335">SUMPRODUCT(1362*POWER(0.7,POWER(1/($AI$2*AK335+$AJ$2*AL335*COS(RADIANS(0.25*(_xlfn.SEQUENCE(AO335-AN335,1,AN335+1))))+0.50572*POWER(96.07995-DEGREES(ACOS($AI$2*AK335+$AJ$2*AL335*COS(RADIANS(0.25*(_xlfn.SEQUENCE(AO335-AN335,1,AN335+1)))))),-1.6364)),0.678))*IF(AL335*COS(RADIANS(0.25*(_xlfn.SEQUENCE(AO335-AN335,1,AN335+1))))&gt;0,AL335*COS(RADIANS(0.25*(_xlfn.SEQUENCE(AO335-AN335,1,AN335+1)))),0)/60)</f>
        <v>4368.9736701376032</v>
      </c>
      <c r="AQ335" s="17" cm="1">
        <f t="array" ref="AQ335">SUMPRODUCT(1362*POWER(0.7,POWER(1/($AI$2*AK335+$AJ$2*AL335*COS(RADIANS(0.25*(_xlfn.SEQUENCE(AO335-AN335,1,AN335+1))))+0.50572*POWER(96.07995-DEGREES(ACOS($AI$2*AK335+$AJ$2*AL335*COS(RADIANS(0.25*(_xlfn.SEQUENCE(AO335-AN335,1,AN335+1)))))),-1.6364)),0.678))/60)</f>
        <v>5681.1507039042172</v>
      </c>
      <c r="AR335" s="15">
        <f t="shared" si="214"/>
        <v>1.3003398813628662</v>
      </c>
      <c r="AT335">
        <v>0.47736991333063672</v>
      </c>
      <c r="AU335">
        <v>61.486232665494434</v>
      </c>
      <c r="AV335">
        <v>2.0881066272165629</v>
      </c>
      <c r="AW335">
        <v>756.82520115486307</v>
      </c>
    </row>
    <row r="336" spans="4:49" ht="17" x14ac:dyDescent="0.2">
      <c r="D336" s="1">
        <f t="shared" si="215"/>
        <v>46357</v>
      </c>
      <c r="E336" s="6">
        <f t="shared" si="182"/>
        <v>0.5</v>
      </c>
      <c r="F336" s="2">
        <f t="shared" si="183"/>
        <v>2461376.3333333335</v>
      </c>
      <c r="G336" s="3">
        <f t="shared" si="184"/>
        <v>0.2691672370522516</v>
      </c>
      <c r="I336">
        <f t="shared" si="185"/>
        <v>250.6942288622995</v>
      </c>
      <c r="J336">
        <f t="shared" si="186"/>
        <v>10047.294001928636</v>
      </c>
      <c r="K336">
        <f t="shared" si="187"/>
        <v>1.6697309837314146E-2</v>
      </c>
      <c r="L336">
        <f t="shared" si="188"/>
        <v>-1.0522542148961509</v>
      </c>
      <c r="M336">
        <f t="shared" si="189"/>
        <v>249.64197464740334</v>
      </c>
      <c r="N336">
        <f t="shared" si="190"/>
        <v>10046.241747713741</v>
      </c>
      <c r="O336">
        <f t="shared" si="191"/>
        <v>0.98603412195483953</v>
      </c>
      <c r="P336">
        <f t="shared" si="192"/>
        <v>249.63906489127513</v>
      </c>
      <c r="Q336">
        <f t="shared" si="193"/>
        <v>23.435790813446502</v>
      </c>
      <c r="R336">
        <f t="shared" si="194"/>
        <v>23.437873234228604</v>
      </c>
      <c r="S336">
        <f t="shared" si="195"/>
        <v>-112.02307864796398</v>
      </c>
      <c r="T336" s="19">
        <f t="shared" si="196"/>
        <v>-21.894735400275202</v>
      </c>
      <c r="U336">
        <f t="shared" si="197"/>
        <v>4.3029174901888345E-2</v>
      </c>
      <c r="V336">
        <f t="shared" si="198"/>
        <v>10.847001830215193</v>
      </c>
      <c r="W336">
        <f t="shared" si="199"/>
        <v>73.158709238926178</v>
      </c>
      <c r="X336" s="6">
        <f t="shared" si="200"/>
        <v>0.49788922095123933</v>
      </c>
      <c r="Y336" s="6">
        <f t="shared" si="201"/>
        <v>0.29467058417644443</v>
      </c>
      <c r="Z336" s="6">
        <f t="shared" si="202"/>
        <v>0.70110785772603434</v>
      </c>
      <c r="AA336" s="19">
        <f t="shared" si="203"/>
        <v>585.26967391140943</v>
      </c>
      <c r="AB336">
        <f t="shared" si="204"/>
        <v>723.03952183021511</v>
      </c>
      <c r="AC336">
        <f t="shared" si="205"/>
        <v>0.75988045755377698</v>
      </c>
      <c r="AD336">
        <f t="shared" si="180"/>
        <v>59.499034687241746</v>
      </c>
      <c r="AE336">
        <f t="shared" si="206"/>
        <v>30.500965312758254</v>
      </c>
      <c r="AF336">
        <f t="shared" si="207"/>
        <v>2.7302551583348232E-2</v>
      </c>
      <c r="AG336">
        <f t="shared" si="208"/>
        <v>30.528267864341601</v>
      </c>
      <c r="AH336">
        <f t="shared" si="181"/>
        <v>180.81831141223711</v>
      </c>
      <c r="AK336">
        <f t="shared" si="209"/>
        <v>-0.37290252713927741</v>
      </c>
      <c r="AL336">
        <f t="shared" si="210"/>
        <v>0.92787052181494611</v>
      </c>
      <c r="AM336">
        <f t="shared" si="211"/>
        <v>585</v>
      </c>
      <c r="AN336">
        <f t="shared" si="212"/>
        <v>-292.5</v>
      </c>
      <c r="AO336">
        <f t="shared" si="213"/>
        <v>292.5</v>
      </c>
      <c r="AP336" s="16" cm="1">
        <f t="array" ref="AP336">SUMPRODUCT(1362*POWER(0.7,POWER(1/($AI$2*AK336+$AJ$2*AL336*COS(RADIANS(0.25*(_xlfn.SEQUENCE(AO336-AN336,1,AN336+1))))+0.50572*POWER(96.07995-DEGREES(ACOS($AI$2*AK336+$AJ$2*AL336*COS(RADIANS(0.25*(_xlfn.SEQUENCE(AO336-AN336,1,AN336+1)))))),-1.6364)),0.678))*IF(AL336*COS(RADIANS(0.25*(_xlfn.SEQUENCE(AO336-AN336,1,AN336+1))))&gt;0,AL336*COS(RADIANS(0.25*(_xlfn.SEQUENCE(AO336-AN336,1,AN336+1)))),0)/60)</f>
        <v>4350.0322086042343</v>
      </c>
      <c r="AQ336" s="17" cm="1">
        <f t="array" ref="AQ336">SUMPRODUCT(1362*POWER(0.7,POWER(1/($AI$2*AK336+$AJ$2*AL336*COS(RADIANS(0.25*(_xlfn.SEQUENCE(AO336-AN336,1,AN336+1))))+0.50572*POWER(96.07995-DEGREES(ACOS($AI$2*AK336+$AJ$2*AL336*COS(RADIANS(0.25*(_xlfn.SEQUENCE(AO336-AN336,1,AN336+1)))))),-1.6364)),0.678))/60)</f>
        <v>5657.6368632639769</v>
      </c>
      <c r="AR336" s="15">
        <f t="shared" si="214"/>
        <v>1.3005965454861093</v>
      </c>
      <c r="AT336">
        <v>0.47673523900842329</v>
      </c>
      <c r="AU336">
        <v>61.527608482926567</v>
      </c>
      <c r="AV336">
        <v>2.0908644633620503</v>
      </c>
      <c r="AW336">
        <v>756.42718614276134</v>
      </c>
    </row>
    <row r="337" spans="4:49" ht="17" x14ac:dyDescent="0.2">
      <c r="D337" s="1">
        <f t="shared" si="215"/>
        <v>46358</v>
      </c>
      <c r="E337" s="6">
        <f t="shared" si="182"/>
        <v>0.5</v>
      </c>
      <c r="F337" s="2">
        <f t="shared" si="183"/>
        <v>2461377.3333333335</v>
      </c>
      <c r="G337" s="3">
        <f t="shared" si="184"/>
        <v>0.26919461556012286</v>
      </c>
      <c r="I337">
        <f t="shared" si="185"/>
        <v>251.67987622693181</v>
      </c>
      <c r="J337">
        <f t="shared" si="186"/>
        <v>10048.279602208095</v>
      </c>
      <c r="K337">
        <f t="shared" si="187"/>
        <v>1.6697308684536307E-2</v>
      </c>
      <c r="L337">
        <f t="shared" si="188"/>
        <v>-1.0241133289571542</v>
      </c>
      <c r="M337">
        <f t="shared" si="189"/>
        <v>250.65576289797465</v>
      </c>
      <c r="N337">
        <f t="shared" si="190"/>
        <v>10047.255488879138</v>
      </c>
      <c r="O337">
        <f t="shared" si="191"/>
        <v>0.98587661250727077</v>
      </c>
      <c r="P337">
        <f t="shared" si="192"/>
        <v>250.65285673426544</v>
      </c>
      <c r="Q337">
        <f t="shared" si="193"/>
        <v>23.435790457412406</v>
      </c>
      <c r="R337">
        <f t="shared" si="194"/>
        <v>23.437871501144748</v>
      </c>
      <c r="S337">
        <f t="shared" si="195"/>
        <v>-110.94156741937361</v>
      </c>
      <c r="T337" s="19">
        <f t="shared" si="196"/>
        <v>-22.042405093516287</v>
      </c>
      <c r="U337">
        <f t="shared" si="197"/>
        <v>4.3029168357412148E-2</v>
      </c>
      <c r="V337">
        <f t="shared" si="198"/>
        <v>10.461782450079811</v>
      </c>
      <c r="W337">
        <f t="shared" si="199"/>
        <v>73.021739824225051</v>
      </c>
      <c r="X337" s="6">
        <f t="shared" si="200"/>
        <v>0.49815673440966668</v>
      </c>
      <c r="Y337" s="6">
        <f t="shared" si="201"/>
        <v>0.29531856823126379</v>
      </c>
      <c r="Z337" s="6">
        <f t="shared" si="202"/>
        <v>0.70099490058806957</v>
      </c>
      <c r="AA337" s="19">
        <f t="shared" si="203"/>
        <v>584.17391859380041</v>
      </c>
      <c r="AB337">
        <f t="shared" si="204"/>
        <v>722.65430245007974</v>
      </c>
      <c r="AC337">
        <f t="shared" si="205"/>
        <v>0.66357561251993502</v>
      </c>
      <c r="AD337">
        <f t="shared" si="180"/>
        <v>59.645675347798694</v>
      </c>
      <c r="AE337">
        <f t="shared" si="206"/>
        <v>30.354324652201306</v>
      </c>
      <c r="AF337">
        <f t="shared" si="207"/>
        <v>2.7461914657872535E-2</v>
      </c>
      <c r="AG337">
        <f t="shared" si="208"/>
        <v>30.38178656685918</v>
      </c>
      <c r="AH337">
        <f t="shared" si="181"/>
        <v>180.7127854810112</v>
      </c>
      <c r="AK337">
        <f t="shared" si="209"/>
        <v>-0.37529270740910009</v>
      </c>
      <c r="AL337">
        <f t="shared" si="210"/>
        <v>0.92690635113022479</v>
      </c>
      <c r="AM337">
        <f t="shared" si="211"/>
        <v>584</v>
      </c>
      <c r="AN337">
        <f t="shared" si="212"/>
        <v>-292</v>
      </c>
      <c r="AO337">
        <f t="shared" si="213"/>
        <v>292</v>
      </c>
      <c r="AP337" s="16" cm="1">
        <f t="array" ref="AP337">SUMPRODUCT(1362*POWER(0.7,POWER(1/($AI$2*AK337+$AJ$2*AL337*COS(RADIANS(0.25*(_xlfn.SEQUENCE(AO337-AN337,1,AN337+1))))+0.50572*POWER(96.07995-DEGREES(ACOS($AI$2*AK337+$AJ$2*AL337*COS(RADIANS(0.25*(_xlfn.SEQUENCE(AO337-AN337,1,AN337+1)))))),-1.6364)),0.678))*IF(AL337*COS(RADIANS(0.25*(_xlfn.SEQUENCE(AO337-AN337,1,AN337+1))))&gt;0,AL337*COS(RADIANS(0.25*(_xlfn.SEQUENCE(AO337-AN337,1,AN337+1)))),0)/60)</f>
        <v>4331.8718984804218</v>
      </c>
      <c r="AQ337" s="17" cm="1">
        <f t="array" ref="AQ337">SUMPRODUCT(1362*POWER(0.7,POWER(1/($AI$2*AK337+$AJ$2*AL337*COS(RADIANS(0.25*(_xlfn.SEQUENCE(AO337-AN337,1,AN337+1))))+0.50572*POWER(96.07995-DEGREES(ACOS($AI$2*AK337+$AJ$2*AL337*COS(RADIANS(0.25*(_xlfn.SEQUENCE(AO337-AN337,1,AN337+1)))))),-1.6364)),0.678))/60)</f>
        <v>5635.1186078176934</v>
      </c>
      <c r="AR337" s="15">
        <f t="shared" si="214"/>
        <v>1.3008507037787609</v>
      </c>
      <c r="AT337">
        <v>0.47608695928000533</v>
      </c>
      <c r="AU337">
        <v>61.569854544322617</v>
      </c>
      <c r="AV337">
        <v>2.0936889119435516</v>
      </c>
      <c r="AW337">
        <v>756.01994952233383</v>
      </c>
    </row>
    <row r="338" spans="4:49" ht="17" x14ac:dyDescent="0.2">
      <c r="D338" s="1">
        <f t="shared" si="215"/>
        <v>46359</v>
      </c>
      <c r="E338" s="6">
        <f t="shared" si="182"/>
        <v>0.5</v>
      </c>
      <c r="F338" s="2">
        <f t="shared" si="183"/>
        <v>2461378.3333333335</v>
      </c>
      <c r="G338" s="3">
        <f t="shared" si="184"/>
        <v>0.26922199406799419</v>
      </c>
      <c r="I338">
        <f t="shared" si="185"/>
        <v>252.66552359156594</v>
      </c>
      <c r="J338">
        <f t="shared" si="186"/>
        <v>10049.265202487553</v>
      </c>
      <c r="K338">
        <f t="shared" si="187"/>
        <v>1.6697307531758281E-2</v>
      </c>
      <c r="L338">
        <f t="shared" si="188"/>
        <v>-0.9956528783658557</v>
      </c>
      <c r="M338">
        <f t="shared" si="189"/>
        <v>251.66987071320008</v>
      </c>
      <c r="N338">
        <f t="shared" si="190"/>
        <v>10048.269549609187</v>
      </c>
      <c r="O338">
        <f t="shared" si="191"/>
        <v>0.98572337862351833</v>
      </c>
      <c r="P338">
        <f t="shared" si="192"/>
        <v>251.666968139532</v>
      </c>
      <c r="Q338">
        <f t="shared" si="193"/>
        <v>23.435790101378309</v>
      </c>
      <c r="R338">
        <f t="shared" si="194"/>
        <v>23.437869766283313</v>
      </c>
      <c r="S338">
        <f t="shared" si="195"/>
        <v>-109.85750934223728</v>
      </c>
      <c r="T338" s="19">
        <f t="shared" si="196"/>
        <v>-22.183002072798434</v>
      </c>
      <c r="U338">
        <f t="shared" si="197"/>
        <v>4.3029161806223994E-2</v>
      </c>
      <c r="V338">
        <f t="shared" si="198"/>
        <v>10.066553447775417</v>
      </c>
      <c r="W338">
        <f t="shared" si="199"/>
        <v>72.890978831701602</v>
      </c>
      <c r="X338" s="6">
        <f t="shared" si="200"/>
        <v>0.49843119899460031</v>
      </c>
      <c r="Y338" s="6">
        <f t="shared" si="201"/>
        <v>0.29595625779542917</v>
      </c>
      <c r="Z338" s="6">
        <f t="shared" si="202"/>
        <v>0.7009061401937714</v>
      </c>
      <c r="AA338" s="19">
        <f t="shared" si="203"/>
        <v>583.12783065361282</v>
      </c>
      <c r="AB338">
        <f t="shared" si="204"/>
        <v>722.25907344777534</v>
      </c>
      <c r="AC338">
        <f t="shared" si="205"/>
        <v>0.56476836194383395</v>
      </c>
      <c r="AD338">
        <f t="shared" si="180"/>
        <v>59.785365212214025</v>
      </c>
      <c r="AE338">
        <f t="shared" si="206"/>
        <v>30.214634787785975</v>
      </c>
      <c r="AF338">
        <f t="shared" si="207"/>
        <v>2.7615006277563869E-2</v>
      </c>
      <c r="AG338">
        <f t="shared" si="208"/>
        <v>30.24224979406354</v>
      </c>
      <c r="AH338">
        <f t="shared" si="181"/>
        <v>180.60518335757754</v>
      </c>
      <c r="AK338">
        <f t="shared" si="209"/>
        <v>-0.37756609235782873</v>
      </c>
      <c r="AL338">
        <f t="shared" si="210"/>
        <v>0.92598263801306746</v>
      </c>
      <c r="AM338">
        <f t="shared" si="211"/>
        <v>583</v>
      </c>
      <c r="AN338">
        <f t="shared" si="212"/>
        <v>-291.5</v>
      </c>
      <c r="AO338">
        <f t="shared" si="213"/>
        <v>291.5</v>
      </c>
      <c r="AP338" s="16" cm="1">
        <f t="array" ref="AP338">SUMPRODUCT(1362*POWER(0.7,POWER(1/($AI$2*AK338+$AJ$2*AL338*COS(RADIANS(0.25*(_xlfn.SEQUENCE(AO338-AN338,1,AN338+1))))+0.50572*POWER(96.07995-DEGREES(ACOS($AI$2*AK338+$AJ$2*AL338*COS(RADIANS(0.25*(_xlfn.SEQUENCE(AO338-AN338,1,AN338+1)))))),-1.6364)),0.678))*IF(AL338*COS(RADIANS(0.25*(_xlfn.SEQUENCE(AO338-AN338,1,AN338+1))))&gt;0,AL338*COS(RADIANS(0.25*(_xlfn.SEQUENCE(AO338-AN338,1,AN338+1)))),0)/60)</f>
        <v>4314.5125007310953</v>
      </c>
      <c r="AQ338" s="17" cm="1">
        <f t="array" ref="AQ338">SUMPRODUCT(1362*POWER(0.7,POWER(1/($AI$2*AK338+$AJ$2*AL338*COS(RADIANS(0.25*(_xlfn.SEQUENCE(AO338-AN338,1,AN338+1))))+0.50572*POWER(96.07995-DEGREES(ACOS($AI$2*AK338+$AJ$2*AL338*COS(RADIANS(0.25*(_xlfn.SEQUENCE(AO338-AN338,1,AN338+1)))))),-1.6364)),0.678))/60)</f>
        <v>5613.615964020516</v>
      </c>
      <c r="AR338" s="15">
        <f t="shared" si="214"/>
        <v>1.3011008690018369</v>
      </c>
      <c r="AT338">
        <v>0.47542508648769433</v>
      </c>
      <c r="AU338">
        <v>61.612969026408251</v>
      </c>
      <c r="AV338">
        <v>2.096580427131701</v>
      </c>
      <c r="AW338">
        <v>755.60345322719752</v>
      </c>
    </row>
    <row r="339" spans="4:49" ht="17" x14ac:dyDescent="0.2">
      <c r="D339" s="1">
        <f t="shared" si="215"/>
        <v>46360</v>
      </c>
      <c r="E339" s="6">
        <f t="shared" si="182"/>
        <v>0.5</v>
      </c>
      <c r="F339" s="2">
        <f t="shared" si="183"/>
        <v>2461379.3333333335</v>
      </c>
      <c r="G339" s="3">
        <f t="shared" si="184"/>
        <v>0.26924937257586551</v>
      </c>
      <c r="I339">
        <f t="shared" si="185"/>
        <v>253.65117095620008</v>
      </c>
      <c r="J339">
        <f t="shared" si="186"/>
        <v>10050.250802767012</v>
      </c>
      <c r="K339">
        <f t="shared" si="187"/>
        <v>1.6697306378980068E-2</v>
      </c>
      <c r="L339">
        <f t="shared" si="188"/>
        <v>-0.96688156430353678</v>
      </c>
      <c r="M339">
        <f t="shared" si="189"/>
        <v>252.68428939189653</v>
      </c>
      <c r="N339">
        <f t="shared" si="190"/>
        <v>10049.283921202708</v>
      </c>
      <c r="O339">
        <f t="shared" si="191"/>
        <v>0.98557446963765638</v>
      </c>
      <c r="P339">
        <f t="shared" si="192"/>
        <v>252.68139040588858</v>
      </c>
      <c r="Q339">
        <f t="shared" si="193"/>
        <v>23.435789745344209</v>
      </c>
      <c r="R339">
        <f t="shared" si="194"/>
        <v>23.437868029645468</v>
      </c>
      <c r="S339">
        <f t="shared" si="195"/>
        <v>-108.77100215381759</v>
      </c>
      <c r="T339" s="19">
        <f t="shared" si="196"/>
        <v>-22.316453877784404</v>
      </c>
      <c r="U339">
        <f t="shared" si="197"/>
        <v>4.3029155248328295E-2</v>
      </c>
      <c r="V339">
        <f t="shared" si="198"/>
        <v>9.6617141774017608</v>
      </c>
      <c r="W339">
        <f t="shared" si="199"/>
        <v>72.766542240328633</v>
      </c>
      <c r="X339" s="6">
        <f t="shared" si="200"/>
        <v>0.49871233737680426</v>
      </c>
      <c r="Y339" s="6">
        <f t="shared" si="201"/>
        <v>0.29658305337589141</v>
      </c>
      <c r="Z339" s="6">
        <f t="shared" si="202"/>
        <v>0.70084162137771722</v>
      </c>
      <c r="AA339" s="19">
        <f t="shared" si="203"/>
        <v>582.13233792262906</v>
      </c>
      <c r="AB339">
        <f t="shared" si="204"/>
        <v>721.85423417740185</v>
      </c>
      <c r="AC339">
        <f t="shared" si="205"/>
        <v>0.4635585443504624</v>
      </c>
      <c r="AD339">
        <f t="shared" si="180"/>
        <v>59.918042275639422</v>
      </c>
      <c r="AE339">
        <f t="shared" si="206"/>
        <v>30.081957724360578</v>
      </c>
      <c r="AF339">
        <f t="shared" si="207"/>
        <v>2.7761586888633963E-2</v>
      </c>
      <c r="AG339">
        <f t="shared" si="208"/>
        <v>30.109719311249211</v>
      </c>
      <c r="AH339">
        <f t="shared" si="181"/>
        <v>180.49559042821167</v>
      </c>
      <c r="AK339">
        <f t="shared" si="209"/>
        <v>-0.37972184037079237</v>
      </c>
      <c r="AL339">
        <f t="shared" si="210"/>
        <v>0.92510071016371964</v>
      </c>
      <c r="AM339">
        <f t="shared" si="211"/>
        <v>582</v>
      </c>
      <c r="AN339">
        <f t="shared" si="212"/>
        <v>-291</v>
      </c>
      <c r="AO339">
        <f t="shared" si="213"/>
        <v>291</v>
      </c>
      <c r="AP339" s="16" cm="1">
        <f t="array" ref="AP339">SUMPRODUCT(1362*POWER(0.7,POWER(1/($AI$2*AK339+$AJ$2*AL339*COS(RADIANS(0.25*(_xlfn.SEQUENCE(AO339-AN339,1,AN339+1))))+0.50572*POWER(96.07995-DEGREES(ACOS($AI$2*AK339+$AJ$2*AL339*COS(RADIANS(0.25*(_xlfn.SEQUENCE(AO339-AN339,1,AN339+1)))))),-1.6364)),0.678))*IF(AL339*COS(RADIANS(0.25*(_xlfn.SEQUENCE(AO339-AN339,1,AN339+1))))&gt;0,AL339*COS(RADIANS(0.25*(_xlfn.SEQUENCE(AO339-AN339,1,AN339+1)))),0)/60)</f>
        <v>4297.9730000836798</v>
      </c>
      <c r="AQ339" s="17" cm="1">
        <f t="array" ref="AQ339">SUMPRODUCT(1362*POWER(0.7,POWER(1/($AI$2*AK339+$AJ$2*AL339*COS(RADIANS(0.25*(_xlfn.SEQUENCE(AO339-AN339,1,AN339+1))))+0.50572*POWER(96.07995-DEGREES(ACOS($AI$2*AK339+$AJ$2*AL339*COS(RADIANS(0.25*(_xlfn.SEQUENCE(AO339-AN339,1,AN339+1)))))),-1.6364)),0.678))/60)</f>
        <v>5593.148199828388</v>
      </c>
      <c r="AR339" s="15">
        <f t="shared" si="214"/>
        <v>1.3013455877269335</v>
      </c>
      <c r="AT339">
        <v>0.47474963323259411</v>
      </c>
      <c r="AU339">
        <v>61.656950073539214</v>
      </c>
      <c r="AV339">
        <v>2.0995394754930556</v>
      </c>
      <c r="AW339">
        <v>755.1776582329901</v>
      </c>
    </row>
    <row r="340" spans="4:49" ht="17" x14ac:dyDescent="0.2">
      <c r="D340" s="1">
        <f t="shared" si="215"/>
        <v>46361</v>
      </c>
      <c r="E340" s="6">
        <f t="shared" si="182"/>
        <v>0.5</v>
      </c>
      <c r="F340" s="2">
        <f t="shared" si="183"/>
        <v>2461380.3333333335</v>
      </c>
      <c r="G340" s="3">
        <f t="shared" si="184"/>
        <v>0.26927675108373683</v>
      </c>
      <c r="I340">
        <f t="shared" si="185"/>
        <v>254.63681832083421</v>
      </c>
      <c r="J340">
        <f t="shared" si="186"/>
        <v>10051.236403046471</v>
      </c>
      <c r="K340">
        <f t="shared" si="187"/>
        <v>1.6697305226201661E-2</v>
      </c>
      <c r="L340">
        <f t="shared" si="188"/>
        <v>-0.93780820018183531</v>
      </c>
      <c r="M340">
        <f t="shared" si="189"/>
        <v>253.69901012065236</v>
      </c>
      <c r="N340">
        <f t="shared" si="190"/>
        <v>10050.298594846288</v>
      </c>
      <c r="O340">
        <f t="shared" si="191"/>
        <v>0.98542993353478914</v>
      </c>
      <c r="P340">
        <f t="shared" si="192"/>
        <v>253.69611471992056</v>
      </c>
      <c r="Q340">
        <f t="shared" si="193"/>
        <v>23.435789389310113</v>
      </c>
      <c r="R340">
        <f t="shared" si="194"/>
        <v>23.437866291232403</v>
      </c>
      <c r="S340">
        <f t="shared" si="195"/>
        <v>-107.68214773496629</v>
      </c>
      <c r="T340" s="19">
        <f t="shared" si="196"/>
        <v>-22.442691065749187</v>
      </c>
      <c r="U340">
        <f t="shared" si="197"/>
        <v>4.3029148683729562E-2</v>
      </c>
      <c r="V340">
        <f t="shared" si="198"/>
        <v>9.2476788609008409</v>
      </c>
      <c r="W340">
        <f t="shared" si="199"/>
        <v>72.648542267276596</v>
      </c>
      <c r="X340" s="6">
        <f t="shared" si="200"/>
        <v>0.49899986190215218</v>
      </c>
      <c r="Y340" s="6">
        <f t="shared" si="201"/>
        <v>0.29719835560416163</v>
      </c>
      <c r="Z340" s="6">
        <f t="shared" si="202"/>
        <v>0.70080136820014272</v>
      </c>
      <c r="AA340" s="19">
        <f t="shared" si="203"/>
        <v>581.18833813821277</v>
      </c>
      <c r="AB340">
        <f t="shared" si="204"/>
        <v>721.44019886090086</v>
      </c>
      <c r="AC340">
        <f t="shared" si="205"/>
        <v>0.360049715225216</v>
      </c>
      <c r="AD340">
        <f t="shared" si="180"/>
        <v>60.043647225597987</v>
      </c>
      <c r="AE340">
        <f t="shared" si="206"/>
        <v>29.956352774402013</v>
      </c>
      <c r="AF340">
        <f t="shared" si="207"/>
        <v>2.790142263875282E-2</v>
      </c>
      <c r="AG340">
        <f t="shared" si="208"/>
        <v>29.984254197040766</v>
      </c>
      <c r="AH340">
        <f t="shared" si="181"/>
        <v>180.38409302028606</v>
      </c>
      <c r="AK340">
        <f t="shared" si="209"/>
        <v>-0.38175914944037037</v>
      </c>
      <c r="AL340">
        <f t="shared" si="210"/>
        <v>0.92426184158958169</v>
      </c>
      <c r="AM340">
        <f t="shared" si="211"/>
        <v>581</v>
      </c>
      <c r="AN340">
        <f t="shared" si="212"/>
        <v>-290.5</v>
      </c>
      <c r="AO340">
        <f t="shared" si="213"/>
        <v>290.5</v>
      </c>
      <c r="AP340" s="16" cm="1">
        <f t="array" ref="AP340">SUMPRODUCT(1362*POWER(0.7,POWER(1/($AI$2*AK340+$AJ$2*AL340*COS(RADIANS(0.25*(_xlfn.SEQUENCE(AO340-AN340,1,AN340+1))))+0.50572*POWER(96.07995-DEGREES(ACOS($AI$2*AK340+$AJ$2*AL340*COS(RADIANS(0.25*(_xlfn.SEQUENCE(AO340-AN340,1,AN340+1)))))),-1.6364)),0.678))*IF(AL340*COS(RADIANS(0.25*(_xlfn.SEQUENCE(AO340-AN340,1,AN340+1))))&gt;0,AL340*COS(RADIANS(0.25*(_xlfn.SEQUENCE(AO340-AN340,1,AN340+1)))),0)/60)</f>
        <v>4282.2715691849717</v>
      </c>
      <c r="AQ340" s="17" cm="1">
        <f t="array" ref="AQ340">SUMPRODUCT(1362*POWER(0.7,POWER(1/($AI$2*AK340+$AJ$2*AL340*COS(RADIANS(0.25*(_xlfn.SEQUENCE(AO340-AN340,1,AN340+1))))+0.50572*POWER(96.07995-DEGREES(ACOS($AI$2*AK340+$AJ$2*AL340*COS(RADIANS(0.25*(_xlfn.SEQUENCE(AO340-AN340,1,AN340+1)))))),-1.6364)),0.678))/60)</f>
        <v>5573.7337759781803</v>
      </c>
      <c r="AR340" s="15">
        <f t="shared" si="214"/>
        <v>1.3015834437233058</v>
      </c>
      <c r="AT340">
        <v>0.47406061237436103</v>
      </c>
      <c r="AU340">
        <v>61.701795798074095</v>
      </c>
      <c r="AV340">
        <v>2.1025665361816768</v>
      </c>
      <c r="AW340">
        <v>754.74252454734119</v>
      </c>
    </row>
    <row r="341" spans="4:49" ht="17" x14ac:dyDescent="0.2">
      <c r="D341" s="1">
        <f t="shared" si="215"/>
        <v>46362</v>
      </c>
      <c r="E341" s="6">
        <f t="shared" si="182"/>
        <v>0.5</v>
      </c>
      <c r="F341" s="2">
        <f t="shared" si="183"/>
        <v>2461381.3333333335</v>
      </c>
      <c r="G341" s="3">
        <f t="shared" si="184"/>
        <v>0.26930412959160815</v>
      </c>
      <c r="I341">
        <f t="shared" si="185"/>
        <v>255.62246568547016</v>
      </c>
      <c r="J341">
        <f t="shared" si="186"/>
        <v>10052.222003325931</v>
      </c>
      <c r="K341">
        <f t="shared" si="187"/>
        <v>1.6697304073423066E-2</v>
      </c>
      <c r="L341">
        <f t="shared" si="188"/>
        <v>-0.90844170868034257</v>
      </c>
      <c r="M341">
        <f t="shared" si="189"/>
        <v>254.71402397678983</v>
      </c>
      <c r="N341">
        <f t="shared" si="190"/>
        <v>10051.313561617251</v>
      </c>
      <c r="O341">
        <f t="shared" si="191"/>
        <v>0.98528981693186468</v>
      </c>
      <c r="P341">
        <f t="shared" si="192"/>
        <v>254.71113215894709</v>
      </c>
      <c r="Q341">
        <f t="shared" si="193"/>
        <v>23.435789033276016</v>
      </c>
      <c r="R341">
        <f t="shared" si="194"/>
        <v>23.437864551045294</v>
      </c>
      <c r="S341">
        <f t="shared" si="195"/>
        <v>-106.5910519780565</v>
      </c>
      <c r="T341" s="19">
        <f t="shared" si="196"/>
        <v>-22.561647318029316</v>
      </c>
      <c r="U341">
        <f t="shared" si="197"/>
        <v>4.3029142112432209E-2</v>
      </c>
      <c r="V341">
        <f t="shared" si="198"/>
        <v>8.8248760023632311</v>
      </c>
      <c r="W341">
        <f t="shared" si="199"/>
        <v>72.537087037758269</v>
      </c>
      <c r="X341" s="6">
        <f t="shared" si="200"/>
        <v>0.49929347499835885</v>
      </c>
      <c r="Y341" s="6">
        <f t="shared" si="201"/>
        <v>0.2978015665601414</v>
      </c>
      <c r="Z341" s="6">
        <f t="shared" si="202"/>
        <v>0.70078538343657626</v>
      </c>
      <c r="AA341" s="19">
        <f t="shared" si="203"/>
        <v>580.29669630206615</v>
      </c>
      <c r="AB341">
        <f t="shared" si="204"/>
        <v>721.01739600236328</v>
      </c>
      <c r="AC341">
        <f t="shared" si="205"/>
        <v>0.25434900059082111</v>
      </c>
      <c r="AD341">
        <f t="shared" si="180"/>
        <v>60.162123502726558</v>
      </c>
      <c r="AE341">
        <f t="shared" si="206"/>
        <v>29.837876497273442</v>
      </c>
      <c r="AF341">
        <f t="shared" si="207"/>
        <v>2.8034286272396115E-2</v>
      </c>
      <c r="AG341">
        <f t="shared" si="208"/>
        <v>29.865910783545839</v>
      </c>
      <c r="AH341">
        <f t="shared" si="181"/>
        <v>180.27077833697149</v>
      </c>
      <c r="AK341">
        <f t="shared" si="209"/>
        <v>-0.38367725762213079</v>
      </c>
      <c r="AL341">
        <f t="shared" si="210"/>
        <v>0.92346725008717068</v>
      </c>
      <c r="AM341">
        <f t="shared" si="211"/>
        <v>580</v>
      </c>
      <c r="AN341">
        <f t="shared" si="212"/>
        <v>-290</v>
      </c>
      <c r="AO341">
        <f t="shared" si="213"/>
        <v>290</v>
      </c>
      <c r="AP341" s="16" cm="1">
        <f t="array" ref="AP341">SUMPRODUCT(1362*POWER(0.7,POWER(1/($AI$2*AK341+$AJ$2*AL341*COS(RADIANS(0.25*(_xlfn.SEQUENCE(AO341-AN341,1,AN341+1))))+0.50572*POWER(96.07995-DEGREES(ACOS($AI$2*AK341+$AJ$2*AL341*COS(RADIANS(0.25*(_xlfn.SEQUENCE(AO341-AN341,1,AN341+1)))))),-1.6364)),0.678))*IF(AL341*COS(RADIANS(0.25*(_xlfn.SEQUENCE(AO341-AN341,1,AN341+1))))&gt;0,AL341*COS(RADIANS(0.25*(_xlfn.SEQUENCE(AO341-AN341,1,AN341+1)))),0)/60)</f>
        <v>4267.4255329247017</v>
      </c>
      <c r="AQ341" s="17" cm="1">
        <f t="array" ref="AQ341">SUMPRODUCT(1362*POWER(0.7,POWER(1/($AI$2*AK341+$AJ$2*AL341*COS(RADIANS(0.25*(_xlfn.SEQUENCE(AO341-AN341,1,AN341+1))))+0.50572*POWER(96.07995-DEGREES(ACOS($AI$2*AK341+$AJ$2*AL341*COS(RADIANS(0.25*(_xlfn.SEQUENCE(AO341-AN341,1,AN341+1)))))),-1.6364)),0.678))/60)</f>
        <v>5555.3902949397752</v>
      </c>
      <c r="AR341" s="15">
        <f t="shared" si="214"/>
        <v>1.3018130608438199</v>
      </c>
      <c r="AT341">
        <v>0.47335803703095913</v>
      </c>
      <c r="AU341">
        <v>61.747504280751741</v>
      </c>
      <c r="AV341">
        <v>2.105662101136839</v>
      </c>
      <c r="AW341">
        <v>754.29801119956176</v>
      </c>
    </row>
    <row r="342" spans="4:49" ht="17" x14ac:dyDescent="0.2">
      <c r="D342" s="1">
        <f t="shared" si="215"/>
        <v>46363</v>
      </c>
      <c r="E342" s="6">
        <f t="shared" si="182"/>
        <v>0.5</v>
      </c>
      <c r="F342" s="2">
        <f t="shared" si="183"/>
        <v>2461382.3333333335</v>
      </c>
      <c r="G342" s="3">
        <f t="shared" si="184"/>
        <v>0.26933150809947948</v>
      </c>
      <c r="I342">
        <f t="shared" si="185"/>
        <v>256.60811305010429</v>
      </c>
      <c r="J342">
        <f t="shared" si="186"/>
        <v>10053.207603605388</v>
      </c>
      <c r="K342">
        <f t="shared" si="187"/>
        <v>1.669730292064428E-2</v>
      </c>
      <c r="L342">
        <f t="shared" si="188"/>
        <v>-0.87879111872591475</v>
      </c>
      <c r="M342">
        <f t="shared" si="189"/>
        <v>255.72932193137837</v>
      </c>
      <c r="N342">
        <f t="shared" si="190"/>
        <v>10052.328812486661</v>
      </c>
      <c r="O342">
        <f t="shared" si="191"/>
        <v>0.98515416505899067</v>
      </c>
      <c r="P342">
        <f t="shared" si="192"/>
        <v>255.72643369403451</v>
      </c>
      <c r="Q342">
        <f t="shared" si="193"/>
        <v>23.43578867724192</v>
      </c>
      <c r="R342">
        <f t="shared" si="194"/>
        <v>23.437862809085324</v>
      </c>
      <c r="S342">
        <f t="shared" si="195"/>
        <v>-105.49782464200676</v>
      </c>
      <c r="T342" s="19">
        <f t="shared" si="196"/>
        <v>-22.673259543460972</v>
      </c>
      <c r="U342">
        <f t="shared" si="197"/>
        <v>4.3029135534440731E-2</v>
      </c>
      <c r="V342">
        <f t="shared" si="198"/>
        <v>8.393747767326218</v>
      </c>
      <c r="W342">
        <f t="shared" si="199"/>
        <v>72.432280259535759</v>
      </c>
      <c r="X342" s="6">
        <f t="shared" si="200"/>
        <v>0.49959286960602345</v>
      </c>
      <c r="Y342" s="6">
        <f t="shared" si="201"/>
        <v>0.29839209110731296</v>
      </c>
      <c r="Z342" s="6">
        <f t="shared" si="202"/>
        <v>0.70079364810473388</v>
      </c>
      <c r="AA342" s="19">
        <f t="shared" si="203"/>
        <v>579.45824207628607</v>
      </c>
      <c r="AB342">
        <f t="shared" si="204"/>
        <v>720.58626776732626</v>
      </c>
      <c r="AC342">
        <f t="shared" si="205"/>
        <v>0.1465669418315656</v>
      </c>
      <c r="AD342">
        <f t="shared" si="180"/>
        <v>60.273417359796589</v>
      </c>
      <c r="AE342">
        <f t="shared" si="206"/>
        <v>29.726582640203411</v>
      </c>
      <c r="AF342">
        <f t="shared" si="207"/>
        <v>2.8159958026531234E-2</v>
      </c>
      <c r="AG342">
        <f t="shared" si="208"/>
        <v>29.754742598229942</v>
      </c>
      <c r="AH342">
        <f t="shared" si="181"/>
        <v>180.15573439298805</v>
      </c>
      <c r="AK342">
        <f t="shared" si="209"/>
        <v>-0.38547544347294094</v>
      </c>
      <c r="AL342">
        <f t="shared" si="210"/>
        <v>0.92271809480433375</v>
      </c>
      <c r="AM342">
        <f t="shared" si="211"/>
        <v>579</v>
      </c>
      <c r="AN342">
        <f t="shared" si="212"/>
        <v>-289.5</v>
      </c>
      <c r="AO342">
        <f t="shared" si="213"/>
        <v>289.5</v>
      </c>
      <c r="AP342" s="16" cm="1">
        <f t="array" ref="AP342">SUMPRODUCT(1362*POWER(0.7,POWER(1/($AI$2*AK342+$AJ$2*AL342*COS(RADIANS(0.25*(_xlfn.SEQUENCE(AO342-AN342,1,AN342+1))))+0.50572*POWER(96.07995-DEGREES(ACOS($AI$2*AK342+$AJ$2*AL342*COS(RADIANS(0.25*(_xlfn.SEQUENCE(AO342-AN342,1,AN342+1)))))),-1.6364)),0.678))*IF(AL342*COS(RADIANS(0.25*(_xlfn.SEQUENCE(AO342-AN342,1,AN342+1))))&gt;0,AL342*COS(RADIANS(0.25*(_xlfn.SEQUENCE(AO342-AN342,1,AN342+1)))),0)/60)</f>
        <v>4253.451332903689</v>
      </c>
      <c r="AQ342" s="17" cm="1">
        <f t="array" ref="AQ342">SUMPRODUCT(1362*POWER(0.7,POWER(1/($AI$2*AK342+$AJ$2*AL342*COS(RADIANS(0.25*(_xlfn.SEQUENCE(AO342-AN342,1,AN342+1))))+0.50572*POWER(96.07995-DEGREES(ACOS($AI$2*AK342+$AJ$2*AL342*COS(RADIANS(0.25*(_xlfn.SEQUENCE(AO342-AN342,1,AN342+1)))))),-1.6364)),0.678))/60)</f>
        <v>5538.1344474209127</v>
      </c>
      <c r="AR342" s="15">
        <f t="shared" si="214"/>
        <v>1.3020331053465266</v>
      </c>
      <c r="AT342">
        <v>0.47264192057841004</v>
      </c>
      <c r="AU342">
        <v>61.794073571073021</v>
      </c>
      <c r="AV342">
        <v>2.1088266752870219</v>
      </c>
      <c r="AW342">
        <v>753.84407623004483</v>
      </c>
    </row>
    <row r="343" spans="4:49" ht="17" x14ac:dyDescent="0.2">
      <c r="D343" s="1">
        <f t="shared" si="215"/>
        <v>46364</v>
      </c>
      <c r="E343" s="6">
        <f t="shared" si="182"/>
        <v>0.5</v>
      </c>
      <c r="F343" s="2">
        <f t="shared" si="183"/>
        <v>2461383.3333333335</v>
      </c>
      <c r="G343" s="3">
        <f t="shared" si="184"/>
        <v>0.2693588866073508</v>
      </c>
      <c r="I343">
        <f t="shared" si="185"/>
        <v>257.59376041474025</v>
      </c>
      <c r="J343">
        <f t="shared" si="186"/>
        <v>10054.193203884846</v>
      </c>
      <c r="K343">
        <f t="shared" si="187"/>
        <v>1.6697301767865307E-2</v>
      </c>
      <c r="L343">
        <f t="shared" si="188"/>
        <v>-0.84886556241447497</v>
      </c>
      <c r="M343">
        <f t="shared" si="189"/>
        <v>256.74489485232579</v>
      </c>
      <c r="N343">
        <f t="shared" si="190"/>
        <v>10053.344338322431</v>
      </c>
      <c r="O343">
        <f t="shared" si="191"/>
        <v>0.98502302174124534</v>
      </c>
      <c r="P343">
        <f t="shared" si="192"/>
        <v>256.74201019308759</v>
      </c>
      <c r="Q343">
        <f t="shared" si="193"/>
        <v>23.435788321207827</v>
      </c>
      <c r="R343">
        <f t="shared" si="194"/>
        <v>23.43786106535368</v>
      </c>
      <c r="S343">
        <f t="shared" si="195"/>
        <v>-104.40257919456599</v>
      </c>
      <c r="T343" s="19">
        <f t="shared" si="196"/>
        <v>-22.777467978420077</v>
      </c>
      <c r="U343">
        <f t="shared" si="197"/>
        <v>4.302912894975959E-2</v>
      </c>
      <c r="V343">
        <f t="shared" si="198"/>
        <v>7.9547493283852049</v>
      </c>
      <c r="W343">
        <f t="shared" si="199"/>
        <v>72.334220903935645</v>
      </c>
      <c r="X343" s="6">
        <f t="shared" si="200"/>
        <v>0.49989772963306583</v>
      </c>
      <c r="Y343" s="6">
        <f t="shared" si="201"/>
        <v>0.29896933823324462</v>
      </c>
      <c r="Z343" s="6">
        <f t="shared" si="202"/>
        <v>0.70082612103288711</v>
      </c>
      <c r="AA343" s="19">
        <f t="shared" si="203"/>
        <v>578.67376723148516</v>
      </c>
      <c r="AB343">
        <f t="shared" si="204"/>
        <v>720.14726932838516</v>
      </c>
      <c r="AC343">
        <f t="shared" si="205"/>
        <v>3.6817332096291011E-2</v>
      </c>
      <c r="AD343">
        <f t="shared" si="180"/>
        <v>60.37747791882709</v>
      </c>
      <c r="AE343">
        <f t="shared" si="206"/>
        <v>29.62252208117291</v>
      </c>
      <c r="AF343">
        <f t="shared" si="207"/>
        <v>2.8278226520567627E-2</v>
      </c>
      <c r="AG343">
        <f t="shared" si="208"/>
        <v>29.650800307693476</v>
      </c>
      <c r="AH343">
        <f t="shared" si="181"/>
        <v>180.03904995146652</v>
      </c>
      <c r="AK343">
        <f t="shared" si="209"/>
        <v>-0.38715302647064737</v>
      </c>
      <c r="AL343">
        <f t="shared" si="210"/>
        <v>0.92201547389109373</v>
      </c>
      <c r="AM343">
        <f t="shared" si="211"/>
        <v>579</v>
      </c>
      <c r="AN343">
        <f t="shared" si="212"/>
        <v>-289.5</v>
      </c>
      <c r="AO343">
        <f t="shared" si="213"/>
        <v>289.5</v>
      </c>
      <c r="AP343" s="16" cm="1">
        <f t="array" ref="AP343">SUMPRODUCT(1362*POWER(0.7,POWER(1/($AI$2*AK343+$AJ$2*AL343*COS(RADIANS(0.25*(_xlfn.SEQUENCE(AO343-AN343,1,AN343+1))))+0.50572*POWER(96.07995-DEGREES(ACOS($AI$2*AK343+$AJ$2*AL343*COS(RADIANS(0.25*(_xlfn.SEQUENCE(AO343-AN343,1,AN343+1)))))),-1.6364)),0.678))*IF(AL343*COS(RADIANS(0.25*(_xlfn.SEQUENCE(AO343-AN343,1,AN343+1))))&gt;0,AL343*COS(RADIANS(0.25*(_xlfn.SEQUENCE(AO343-AN343,1,AN343+1)))),0)/60)</f>
        <v>4240.3992483426282</v>
      </c>
      <c r="AQ343" s="17" cm="1">
        <f t="array" ref="AQ343">SUMPRODUCT(1362*POWER(0.7,POWER(1/($AI$2*AK343+$AJ$2*AL343*COS(RADIANS(0.25*(_xlfn.SEQUENCE(AO343-AN343,1,AN343+1))))+0.50572*POWER(96.07995-DEGREES(ACOS($AI$2*AK343+$AJ$2*AL343*COS(RADIANS(0.25*(_xlfn.SEQUENCE(AO343-AN343,1,AN343+1)))))),-1.6364)),0.678))/60)</f>
        <v>5522.1059560938547</v>
      </c>
      <c r="AR343" s="15">
        <f t="shared" si="214"/>
        <v>1.302260856274839</v>
      </c>
      <c r="AT343">
        <v>0.47191227665053892</v>
      </c>
      <c r="AU343">
        <v>61.841501687686723</v>
      </c>
      <c r="AV343">
        <v>2.1120607767603383</v>
      </c>
      <c r="AW343">
        <v>753.38067667937298</v>
      </c>
    </row>
    <row r="344" spans="4:49" ht="17" x14ac:dyDescent="0.2">
      <c r="D344" s="1">
        <f t="shared" si="215"/>
        <v>46365</v>
      </c>
      <c r="E344" s="6">
        <f t="shared" si="182"/>
        <v>0.5</v>
      </c>
      <c r="F344" s="2">
        <f t="shared" si="183"/>
        <v>2461384.3333333335</v>
      </c>
      <c r="G344" s="3">
        <f t="shared" si="184"/>
        <v>0.26938626511522212</v>
      </c>
      <c r="I344">
        <f t="shared" si="185"/>
        <v>258.57940777937802</v>
      </c>
      <c r="J344">
        <f t="shared" si="186"/>
        <v>10055.178804164305</v>
      </c>
      <c r="K344">
        <f t="shared" si="187"/>
        <v>1.669730061508614E-2</v>
      </c>
      <c r="L344">
        <f t="shared" si="188"/>
        <v>-0.81867427187754049</v>
      </c>
      <c r="M344">
        <f t="shared" si="189"/>
        <v>257.7607335075005</v>
      </c>
      <c r="N344">
        <f t="shared" si="190"/>
        <v>10054.360129892428</v>
      </c>
      <c r="O344">
        <f t="shared" si="191"/>
        <v>0.98489642938101141</v>
      </c>
      <c r="P344">
        <f t="shared" si="192"/>
        <v>257.75785242397177</v>
      </c>
      <c r="Q344">
        <f t="shared" si="193"/>
        <v>23.435787965173731</v>
      </c>
      <c r="R344">
        <f t="shared" si="194"/>
        <v>23.43785931985154</v>
      </c>
      <c r="S344">
        <f t="shared" si="195"/>
        <v>-103.30543264218142</v>
      </c>
      <c r="T344" s="19">
        <f t="shared" si="196"/>
        <v>-22.874216283074045</v>
      </c>
      <c r="U344">
        <f t="shared" si="197"/>
        <v>4.3029122358393262E-2</v>
      </c>
      <c r="V344">
        <f t="shared" si="198"/>
        <v>7.5083481785849839</v>
      </c>
      <c r="W344">
        <f t="shared" si="199"/>
        <v>72.243002895247372</v>
      </c>
      <c r="X344" s="6">
        <f t="shared" si="200"/>
        <v>0.5002077304315381</v>
      </c>
      <c r="Y344" s="6">
        <f t="shared" si="201"/>
        <v>0.29953272238918432</v>
      </c>
      <c r="Z344" s="6">
        <f t="shared" si="202"/>
        <v>0.70088273847389193</v>
      </c>
      <c r="AA344" s="19">
        <f t="shared" si="203"/>
        <v>577.94402316197898</v>
      </c>
      <c r="AB344">
        <f t="shared" si="204"/>
        <v>719.7008681785851</v>
      </c>
      <c r="AC344">
        <f t="shared" si="205"/>
        <v>-7.4782955353725811E-2</v>
      </c>
      <c r="AD344">
        <f t="shared" si="180"/>
        <v>60.474257226092547</v>
      </c>
      <c r="AE344">
        <f t="shared" si="206"/>
        <v>29.525742773907453</v>
      </c>
      <c r="AF344">
        <f t="shared" si="207"/>
        <v>2.8388889634265807E-2</v>
      </c>
      <c r="AG344">
        <f t="shared" si="208"/>
        <v>29.554131663541718</v>
      </c>
      <c r="AH344">
        <f t="shared" si="181"/>
        <v>179.92081446206328</v>
      </c>
      <c r="AK344">
        <f t="shared" si="209"/>
        <v>-0.38870936741480394</v>
      </c>
      <c r="AL344">
        <f t="shared" si="210"/>
        <v>0.92136042224744108</v>
      </c>
      <c r="AM344">
        <f t="shared" si="211"/>
        <v>578</v>
      </c>
      <c r="AN344">
        <f t="shared" si="212"/>
        <v>-289</v>
      </c>
      <c r="AO344">
        <f t="shared" si="213"/>
        <v>289</v>
      </c>
      <c r="AP344" s="16" cm="1">
        <f t="array" ref="AP344">SUMPRODUCT(1362*POWER(0.7,POWER(1/($AI$2*AK344+$AJ$2*AL344*COS(RADIANS(0.25*(_xlfn.SEQUENCE(AO344-AN344,1,AN344+1))))+0.50572*POWER(96.07995-DEGREES(ACOS($AI$2*AK344+$AJ$2*AL344*COS(RADIANS(0.25*(_xlfn.SEQUENCE(AO344-AN344,1,AN344+1)))))),-1.6364)),0.678))*IF(AL344*COS(RADIANS(0.25*(_xlfn.SEQUENCE(AO344-AN344,1,AN344+1))))&gt;0,AL344*COS(RADIANS(0.25*(_xlfn.SEQUENCE(AO344-AN344,1,AN344+1)))),0)/60)</f>
        <v>4228.2156336029184</v>
      </c>
      <c r="AQ344" s="17" cm="1">
        <f t="array" ref="AQ344">SUMPRODUCT(1362*POWER(0.7,POWER(1/($AI$2*AK344+$AJ$2*AL344*COS(RADIANS(0.25*(_xlfn.SEQUENCE(AO344-AN344,1,AN344+1))))+0.50572*POWER(96.07995-DEGREES(ACOS($AI$2*AK344+$AJ$2*AL344*COS(RADIANS(0.25*(_xlfn.SEQUENCE(AO344-AN344,1,AN344+1)))))),-1.6364)),0.678))/60)</f>
        <v>5507.0753666714299</v>
      </c>
      <c r="AR344" s="15">
        <f t="shared" si="214"/>
        <v>1.3024584940524375</v>
      </c>
      <c r="AT344">
        <v>0.47116911913871429</v>
      </c>
      <c r="AU344">
        <v>61.889786618779738</v>
      </c>
      <c r="AV344">
        <v>2.1153649371015817</v>
      </c>
      <c r="AW344">
        <v>752.90776857712683</v>
      </c>
    </row>
    <row r="345" spans="4:49" ht="17" x14ac:dyDescent="0.2">
      <c r="D345" s="1">
        <f t="shared" si="215"/>
        <v>46366</v>
      </c>
      <c r="E345" s="6">
        <f t="shared" si="182"/>
        <v>0.5</v>
      </c>
      <c r="F345" s="2">
        <f t="shared" si="183"/>
        <v>2461385.3333333335</v>
      </c>
      <c r="G345" s="3">
        <f t="shared" si="184"/>
        <v>0.26941364362309345</v>
      </c>
      <c r="I345">
        <f t="shared" si="185"/>
        <v>259.56505514401397</v>
      </c>
      <c r="J345">
        <f t="shared" si="186"/>
        <v>10056.164404443762</v>
      </c>
      <c r="K345">
        <f t="shared" si="187"/>
        <v>1.6697299462306785E-2</v>
      </c>
      <c r="L345">
        <f t="shared" si="188"/>
        <v>-0.78822657609370261</v>
      </c>
      <c r="M345">
        <f t="shared" si="189"/>
        <v>258.77682856792029</v>
      </c>
      <c r="N345">
        <f t="shared" si="190"/>
        <v>10055.376177867667</v>
      </c>
      <c r="O345">
        <f t="shared" si="191"/>
        <v>0.98477442894083655</v>
      </c>
      <c r="P345">
        <f t="shared" si="192"/>
        <v>258.77395105770171</v>
      </c>
      <c r="Q345">
        <f t="shared" si="193"/>
        <v>23.435787609139634</v>
      </c>
      <c r="R345">
        <f t="shared" si="194"/>
        <v>23.437857572580096</v>
      </c>
      <c r="S345">
        <f t="shared" si="195"/>
        <v>-102.2065053477595</v>
      </c>
      <c r="T345" s="19">
        <f t="shared" si="196"/>
        <v>-22.963451633471436</v>
      </c>
      <c r="U345">
        <f t="shared" si="197"/>
        <v>4.3029115760346223E-2</v>
      </c>
      <c r="V345">
        <f t="shared" si="198"/>
        <v>7.0550234141379011</v>
      </c>
      <c r="W345">
        <f t="shared" si="199"/>
        <v>72.158714810376537</v>
      </c>
      <c r="X345" s="6">
        <f t="shared" si="200"/>
        <v>0.50052253929573753</v>
      </c>
      <c r="Y345" s="6">
        <f t="shared" si="201"/>
        <v>0.3000816648224694</v>
      </c>
      <c r="Z345" s="6">
        <f t="shared" si="202"/>
        <v>0.70096341376900573</v>
      </c>
      <c r="AA345" s="19">
        <f t="shared" si="203"/>
        <v>577.2697184830123</v>
      </c>
      <c r="AB345">
        <f t="shared" si="204"/>
        <v>719.24754341413791</v>
      </c>
      <c r="AC345">
        <f t="shared" si="205"/>
        <v>-0.18811414646552294</v>
      </c>
      <c r="AD345">
        <f t="shared" si="180"/>
        <v>60.563710304837159</v>
      </c>
      <c r="AE345">
        <f t="shared" si="206"/>
        <v>29.436289695162841</v>
      </c>
      <c r="AF345">
        <f t="shared" si="207"/>
        <v>2.849175536715182E-2</v>
      </c>
      <c r="AG345">
        <f t="shared" si="208"/>
        <v>29.464781450529994</v>
      </c>
      <c r="AH345">
        <f t="shared" si="181"/>
        <v>179.80111800049929</v>
      </c>
      <c r="AK345">
        <f t="shared" si="209"/>
        <v>-0.39014386880809337</v>
      </c>
      <c r="AL345">
        <f t="shared" si="210"/>
        <v>0.92075390937614443</v>
      </c>
      <c r="AM345">
        <f t="shared" si="211"/>
        <v>577</v>
      </c>
      <c r="AN345">
        <f t="shared" si="212"/>
        <v>-288.5</v>
      </c>
      <c r="AO345">
        <f t="shared" si="213"/>
        <v>288.5</v>
      </c>
      <c r="AP345" s="16" cm="1">
        <f t="array" ref="AP345">SUMPRODUCT(1362*POWER(0.7,POWER(1/($AI$2*AK345+$AJ$2*AL345*COS(RADIANS(0.25*(_xlfn.SEQUENCE(AO345-AN345,1,AN345+1))))+0.50572*POWER(96.07995-DEGREES(ACOS($AI$2*AK345+$AJ$2*AL345*COS(RADIANS(0.25*(_xlfn.SEQUENCE(AO345-AN345,1,AN345+1)))))),-1.6364)),0.678))*IF(AL345*COS(RADIANS(0.25*(_xlfn.SEQUENCE(AO345-AN345,1,AN345+1))))&gt;0,AL345*COS(RADIANS(0.25*(_xlfn.SEQUENCE(AO345-AN345,1,AN345+1)))),0)/60)</f>
        <v>4216.9478100181204</v>
      </c>
      <c r="AQ345" s="17" cm="1">
        <f t="array" ref="AQ345">SUMPRODUCT(1362*POWER(0.7,POWER(1/($AI$2*AK345+$AJ$2*AL345*COS(RADIANS(0.25*(_xlfn.SEQUENCE(AO345-AN345,1,AN345+1))))+0.50572*POWER(96.07995-DEGREES(ACOS($AI$2*AK345+$AJ$2*AL345*COS(RADIANS(0.25*(_xlfn.SEQUENCE(AO345-AN345,1,AN345+1)))))),-1.6364)),0.678))/60)</f>
        <v>5493.1773861478887</v>
      </c>
      <c r="AR345" s="15">
        <f t="shared" si="214"/>
        <v>1.302642962072676</v>
      </c>
      <c r="AT345">
        <v>0.47041246219158395</v>
      </c>
      <c r="AU345">
        <v>61.938926322470856</v>
      </c>
      <c r="AV345">
        <v>2.1187397014960534</v>
      </c>
      <c r="AW345">
        <v>752.4253069303893</v>
      </c>
    </row>
    <row r="346" spans="4:49" ht="17" x14ac:dyDescent="0.2">
      <c r="D346" s="1">
        <f t="shared" si="215"/>
        <v>46367</v>
      </c>
      <c r="E346" s="6">
        <f t="shared" si="182"/>
        <v>0.5</v>
      </c>
      <c r="F346" s="2">
        <f t="shared" si="183"/>
        <v>2461386.3333333335</v>
      </c>
      <c r="G346" s="3">
        <f t="shared" si="184"/>
        <v>0.26944102213096477</v>
      </c>
      <c r="I346">
        <f t="shared" si="185"/>
        <v>260.55070250865174</v>
      </c>
      <c r="J346">
        <f t="shared" si="186"/>
        <v>10057.150004723218</v>
      </c>
      <c r="K346">
        <f t="shared" si="187"/>
        <v>1.669729830952724E-2</v>
      </c>
      <c r="L346">
        <f t="shared" si="188"/>
        <v>-0.75753189764785778</v>
      </c>
      <c r="M346">
        <f t="shared" si="189"/>
        <v>259.79317061100386</v>
      </c>
      <c r="N346">
        <f t="shared" si="190"/>
        <v>10056.39247282557</v>
      </c>
      <c r="O346">
        <f t="shared" si="191"/>
        <v>0.98465705992683072</v>
      </c>
      <c r="P346">
        <f t="shared" si="192"/>
        <v>259.790296671693</v>
      </c>
      <c r="Q346">
        <f t="shared" si="193"/>
        <v>23.435787253105541</v>
      </c>
      <c r="R346">
        <f t="shared" si="194"/>
        <v>23.437855823540538</v>
      </c>
      <c r="S346">
        <f t="shared" si="195"/>
        <v>-101.10592083674413</v>
      </c>
      <c r="T346" s="19">
        <f t="shared" si="196"/>
        <v>-23.045124809100834</v>
      </c>
      <c r="U346">
        <f t="shared" si="197"/>
        <v>4.3029109155622983E-2</v>
      </c>
      <c r="V346">
        <f t="shared" si="198"/>
        <v>6.5952649881452716</v>
      </c>
      <c r="W346">
        <f t="shared" si="199"/>
        <v>72.081439590617279</v>
      </c>
      <c r="X346" s="6">
        <f t="shared" si="200"/>
        <v>0.50084181598045463</v>
      </c>
      <c r="Y346" s="6">
        <f t="shared" si="201"/>
        <v>0.30061559489540668</v>
      </c>
      <c r="Z346" s="6">
        <f t="shared" si="202"/>
        <v>0.70106803706550269</v>
      </c>
      <c r="AA346" s="19">
        <f t="shared" si="203"/>
        <v>576.65151672493823</v>
      </c>
      <c r="AB346">
        <f t="shared" si="204"/>
        <v>718.78778498814518</v>
      </c>
      <c r="AC346">
        <f t="shared" si="205"/>
        <v>-0.30305375296370585</v>
      </c>
      <c r="AD346">
        <f t="shared" si="180"/>
        <v>60.645795205503205</v>
      </c>
      <c r="AE346">
        <f t="shared" si="206"/>
        <v>29.354204794496795</v>
      </c>
      <c r="AF346">
        <f t="shared" si="207"/>
        <v>2.8586642672890475E-2</v>
      </c>
      <c r="AG346">
        <f t="shared" si="208"/>
        <v>29.382791437169686</v>
      </c>
      <c r="AH346">
        <f t="shared" si="181"/>
        <v>179.68005120921418</v>
      </c>
      <c r="AK346">
        <f t="shared" si="209"/>
        <v>-0.39145597521802294</v>
      </c>
      <c r="AL346">
        <f t="shared" si="210"/>
        <v>0.92019683734845914</v>
      </c>
      <c r="AM346">
        <f t="shared" si="211"/>
        <v>577</v>
      </c>
      <c r="AN346">
        <f t="shared" si="212"/>
        <v>-288.5</v>
      </c>
      <c r="AO346">
        <f t="shared" si="213"/>
        <v>288.5</v>
      </c>
      <c r="AP346" s="16" cm="1">
        <f t="array" ref="AP346">SUMPRODUCT(1362*POWER(0.7,POWER(1/($AI$2*AK346+$AJ$2*AL346*COS(RADIANS(0.25*(_xlfn.SEQUENCE(AO346-AN346,1,AN346+1))))+0.50572*POWER(96.07995-DEGREES(ACOS($AI$2*AK346+$AJ$2*AL346*COS(RADIANS(0.25*(_xlfn.SEQUENCE(AO346-AN346,1,AN346+1)))))),-1.6364)),0.678))*IF(AL346*COS(RADIANS(0.25*(_xlfn.SEQUENCE(AO346-AN346,1,AN346+1))))&gt;0,AL346*COS(RADIANS(0.25*(_xlfn.SEQUENCE(AO346-AN346,1,AN346+1)))),0)/60)</f>
        <v>4206.6434367051097</v>
      </c>
      <c r="AQ346" s="17" cm="1">
        <f t="array" ref="AQ346">SUMPRODUCT(1362*POWER(0.7,POWER(1/($AI$2*AK346+$AJ$2*AL346*COS(RADIANS(0.25*(_xlfn.SEQUENCE(AO346-AN346,1,AN346+1))))+0.50572*POWER(96.07995-DEGREES(ACOS($AI$2*AK346+$AJ$2*AL346*COS(RADIANS(0.25*(_xlfn.SEQUENCE(AO346-AN346,1,AN346+1)))))),-1.6364)),0.678))/60)</f>
        <v>5480.5482483023143</v>
      </c>
      <c r="AR346" s="15">
        <f t="shared" si="214"/>
        <v>1.3028316591992883</v>
      </c>
      <c r="AT346">
        <v>0.46964232021480556</v>
      </c>
      <c r="AU346">
        <v>61.988918727208521</v>
      </c>
      <c r="AV346">
        <v>2.1221856290003571</v>
      </c>
      <c r="AW346">
        <v>751.93324571193887</v>
      </c>
    </row>
    <row r="347" spans="4:49" ht="17" x14ac:dyDescent="0.2">
      <c r="D347" s="1">
        <f t="shared" si="215"/>
        <v>46368</v>
      </c>
      <c r="E347" s="6">
        <f t="shared" si="182"/>
        <v>0.5</v>
      </c>
      <c r="F347" s="2">
        <f t="shared" si="183"/>
        <v>2461387.3333333335</v>
      </c>
      <c r="G347" s="3">
        <f t="shared" si="184"/>
        <v>0.26946840063883609</v>
      </c>
      <c r="I347">
        <f t="shared" si="185"/>
        <v>261.53634987328951</v>
      </c>
      <c r="J347">
        <f t="shared" si="186"/>
        <v>10058.135605002677</v>
      </c>
      <c r="K347">
        <f t="shared" si="187"/>
        <v>1.6697297156747504E-2</v>
      </c>
      <c r="L347">
        <f t="shared" si="188"/>
        <v>-0.72659974943859706</v>
      </c>
      <c r="M347">
        <f t="shared" si="189"/>
        <v>260.8097501238509</v>
      </c>
      <c r="N347">
        <f t="shared" si="190"/>
        <v>10057.409005253239</v>
      </c>
      <c r="O347">
        <f t="shared" si="191"/>
        <v>0.98454436037261628</v>
      </c>
      <c r="P347">
        <f t="shared" si="192"/>
        <v>260.80687975304244</v>
      </c>
      <c r="Q347">
        <f t="shared" si="193"/>
        <v>23.435786897071445</v>
      </c>
      <c r="R347">
        <f t="shared" si="194"/>
        <v>23.437854072734051</v>
      </c>
      <c r="S347">
        <f t="shared" si="195"/>
        <v>-100.00380559204504</v>
      </c>
      <c r="T347" s="19">
        <f t="shared" si="196"/>
        <v>-23.11919027556003</v>
      </c>
      <c r="U347">
        <f t="shared" si="197"/>
        <v>4.302910254422801E-2</v>
      </c>
      <c r="V347">
        <f t="shared" si="198"/>
        <v>6.1295729371008001</v>
      </c>
      <c r="W347">
        <f t="shared" si="199"/>
        <v>72.011254267379883</v>
      </c>
      <c r="X347" s="6">
        <f t="shared" si="200"/>
        <v>0.50116521323812435</v>
      </c>
      <c r="Y347" s="6">
        <f t="shared" si="201"/>
        <v>0.30113395138429133</v>
      </c>
      <c r="Z347" s="6">
        <f t="shared" si="202"/>
        <v>0.70119647509195737</v>
      </c>
      <c r="AA347" s="19">
        <f t="shared" si="203"/>
        <v>576.09003413903906</v>
      </c>
      <c r="AB347">
        <f t="shared" si="204"/>
        <v>718.32209293710071</v>
      </c>
      <c r="AC347">
        <f t="shared" si="205"/>
        <v>-0.41947676572482351</v>
      </c>
      <c r="AD347">
        <f t="shared" si="180"/>
        <v>60.720473053281708</v>
      </c>
      <c r="AE347">
        <f t="shared" si="206"/>
        <v>29.279526946718292</v>
      </c>
      <c r="AF347">
        <f t="shared" si="207"/>
        <v>2.8673382262054924E-2</v>
      </c>
      <c r="AG347">
        <f t="shared" si="208"/>
        <v>29.308200328980348</v>
      </c>
      <c r="AH347">
        <f t="shared" si="181"/>
        <v>179.55770523960075</v>
      </c>
      <c r="AK347">
        <f t="shared" si="209"/>
        <v>-0.39264517361845647</v>
      </c>
      <c r="AL347">
        <f t="shared" si="210"/>
        <v>0.91969003889034928</v>
      </c>
      <c r="AM347">
        <f t="shared" si="211"/>
        <v>576</v>
      </c>
      <c r="AN347">
        <f t="shared" si="212"/>
        <v>-288</v>
      </c>
      <c r="AO347">
        <f t="shared" si="213"/>
        <v>288</v>
      </c>
      <c r="AP347" s="16" cm="1">
        <f t="array" ref="AP347">SUMPRODUCT(1362*POWER(0.7,POWER(1/($AI$2*AK347+$AJ$2*AL347*COS(RADIANS(0.25*(_xlfn.SEQUENCE(AO347-AN347,1,AN347+1))))+0.50572*POWER(96.07995-DEGREES(ACOS($AI$2*AK347+$AJ$2*AL347*COS(RADIANS(0.25*(_xlfn.SEQUENCE(AO347-AN347,1,AN347+1)))))),-1.6364)),0.678))*IF(AL347*COS(RADIANS(0.25*(_xlfn.SEQUENCE(AO347-AN347,1,AN347+1))))&gt;0,AL347*COS(RADIANS(0.25*(_xlfn.SEQUENCE(AO347-AN347,1,AN347+1)))),0)/60)</f>
        <v>4197.2459162348669</v>
      </c>
      <c r="AQ347" s="17" cm="1">
        <f t="array" ref="AQ347">SUMPRODUCT(1362*POWER(0.7,POWER(1/($AI$2*AK347+$AJ$2*AL347*COS(RADIANS(0.25*(_xlfn.SEQUENCE(AO347-AN347,1,AN347+1))))+0.50572*POWER(96.07995-DEGREES(ACOS($AI$2*AK347+$AJ$2*AL347*COS(RADIANS(0.25*(_xlfn.SEQUENCE(AO347-AN347,1,AN347+1)))))),-1.6364)),0.678))/60)</f>
        <v>5468.9582315071457</v>
      </c>
      <c r="AR347" s="15">
        <f t="shared" si="214"/>
        <v>1.3029873256540248</v>
      </c>
      <c r="AT347">
        <v>0.46885870787077211</v>
      </c>
      <c r="AU347">
        <v>62.039761732171989</v>
      </c>
      <c r="AV347">
        <v>2.1257032927803499</v>
      </c>
      <c r="AW347">
        <v>751.43153784812773</v>
      </c>
    </row>
    <row r="348" spans="4:49" ht="17" x14ac:dyDescent="0.2">
      <c r="D348" s="1">
        <f t="shared" si="215"/>
        <v>46369</v>
      </c>
      <c r="E348" s="6">
        <f t="shared" si="182"/>
        <v>0.5</v>
      </c>
      <c r="F348" s="2">
        <f t="shared" si="183"/>
        <v>2461388.3333333335</v>
      </c>
      <c r="G348" s="3">
        <f t="shared" si="184"/>
        <v>0.26949577914670741</v>
      </c>
      <c r="I348">
        <f t="shared" si="185"/>
        <v>262.5219972379291</v>
      </c>
      <c r="J348">
        <f t="shared" si="186"/>
        <v>10059.121205282132</v>
      </c>
      <c r="K348">
        <f t="shared" si="187"/>
        <v>1.669729600396758E-2</v>
      </c>
      <c r="L348">
        <f t="shared" si="188"/>
        <v>-0.69543973133679104</v>
      </c>
      <c r="M348">
        <f t="shared" si="189"/>
        <v>261.82655750659228</v>
      </c>
      <c r="N348">
        <f t="shared" si="190"/>
        <v>10058.425765550795</v>
      </c>
      <c r="O348">
        <f t="shared" si="191"/>
        <v>0.98443636682384128</v>
      </c>
      <c r="P348">
        <f t="shared" si="192"/>
        <v>261.82369070187769</v>
      </c>
      <c r="Q348">
        <f t="shared" si="193"/>
        <v>23.435786541037352</v>
      </c>
      <c r="R348">
        <f t="shared" si="194"/>
        <v>23.437852320161831</v>
      </c>
      <c r="S348">
        <f t="shared" si="195"/>
        <v>-98.900288838340657</v>
      </c>
      <c r="T348" s="19">
        <f t="shared" si="196"/>
        <v>-23.185606261998174</v>
      </c>
      <c r="U348">
        <f t="shared" si="197"/>
        <v>4.3029095926165828E-2</v>
      </c>
      <c r="V348">
        <f t="shared" si="198"/>
        <v>5.6584565820369015</v>
      </c>
      <c r="W348">
        <f t="shared" si="199"/>
        <v>71.948229703654093</v>
      </c>
      <c r="X348" s="6">
        <f t="shared" si="200"/>
        <v>0.50149237737358543</v>
      </c>
      <c r="Y348" s="6">
        <f t="shared" si="201"/>
        <v>0.30163618375232404</v>
      </c>
      <c r="Z348" s="6">
        <f t="shared" si="202"/>
        <v>0.70134857099484671</v>
      </c>
      <c r="AA348" s="19">
        <f t="shared" si="203"/>
        <v>575.58583762923274</v>
      </c>
      <c r="AB348">
        <f t="shared" si="204"/>
        <v>717.85097658203699</v>
      </c>
      <c r="AC348">
        <f t="shared" si="205"/>
        <v>-0.53725585449075197</v>
      </c>
      <c r="AD348">
        <f t="shared" si="180"/>
        <v>60.787708092804699</v>
      </c>
      <c r="AE348">
        <f t="shared" si="206"/>
        <v>29.212291907195301</v>
      </c>
      <c r="AF348">
        <f t="shared" si="207"/>
        <v>2.8751817366802997E-2</v>
      </c>
      <c r="AG348">
        <f t="shared" si="208"/>
        <v>29.241043724562104</v>
      </c>
      <c r="AH348">
        <f t="shared" si="181"/>
        <v>179.43417169554448</v>
      </c>
      <c r="AK348">
        <f t="shared" si="209"/>
        <v>-0.39371099371066526</v>
      </c>
      <c r="AL348">
        <f t="shared" si="210"/>
        <v>0.91923427559646653</v>
      </c>
      <c r="AM348">
        <f t="shared" si="211"/>
        <v>576</v>
      </c>
      <c r="AN348">
        <f t="shared" si="212"/>
        <v>-288</v>
      </c>
      <c r="AO348">
        <f t="shared" si="213"/>
        <v>288</v>
      </c>
      <c r="AP348" s="16" cm="1">
        <f t="array" ref="AP348">SUMPRODUCT(1362*POWER(0.7,POWER(1/($AI$2*AK348+$AJ$2*AL348*COS(RADIANS(0.25*(_xlfn.SEQUENCE(AO348-AN348,1,AN348+1))))+0.50572*POWER(96.07995-DEGREES(ACOS($AI$2*AK348+$AJ$2*AL348*COS(RADIANS(0.25*(_xlfn.SEQUENCE(AO348-AN348,1,AN348+1)))))),-1.6364)),0.678))*IF(AL348*COS(RADIANS(0.25*(_xlfn.SEQUENCE(AO348-AN348,1,AN348+1))))&gt;0,AL348*COS(RADIANS(0.25*(_xlfn.SEQUENCE(AO348-AN348,1,AN348+1)))),0)/60)</f>
        <v>4188.8341344109103</v>
      </c>
      <c r="AQ348" s="17" cm="1">
        <f t="array" ref="AQ348">SUMPRODUCT(1362*POWER(0.7,POWER(1/($AI$2*AK348+$AJ$2*AL348*COS(RADIANS(0.25*(_xlfn.SEQUENCE(AO348-AN348,1,AN348+1))))+0.50572*POWER(96.07995-DEGREES(ACOS($AI$2*AK348+$AJ$2*AL348*COS(RADIANS(0.25*(_xlfn.SEQUENCE(AO348-AN348,1,AN348+1)))))),-1.6364)),0.678))/60)</f>
        <v>5458.6587830579074</v>
      </c>
      <c r="AR348" s="15">
        <f t="shared" si="214"/>
        <v>1.3031451253262805</v>
      </c>
      <c r="AT348">
        <v>0.46806164007833317</v>
      </c>
      <c r="AU348">
        <v>62.091453207675897</v>
      </c>
      <c r="AV348">
        <v>2.1292932803564368</v>
      </c>
      <c r="AW348">
        <v>750.92013520643627</v>
      </c>
    </row>
    <row r="349" spans="4:49" ht="17" x14ac:dyDescent="0.2">
      <c r="D349" s="1">
        <f t="shared" si="215"/>
        <v>46370</v>
      </c>
      <c r="E349" s="6">
        <f t="shared" si="182"/>
        <v>0.5</v>
      </c>
      <c r="F349" s="2">
        <f t="shared" si="183"/>
        <v>2461389.3333333335</v>
      </c>
      <c r="G349" s="3">
        <f t="shared" si="184"/>
        <v>0.26952315765457874</v>
      </c>
      <c r="I349">
        <f t="shared" si="185"/>
        <v>263.50764460256687</v>
      </c>
      <c r="J349">
        <f t="shared" si="186"/>
        <v>10060.106805561591</v>
      </c>
      <c r="K349">
        <f t="shared" si="187"/>
        <v>1.6697294851187466E-2</v>
      </c>
      <c r="L349">
        <f t="shared" si="188"/>
        <v>-0.6640615267948824</v>
      </c>
      <c r="M349">
        <f t="shared" si="189"/>
        <v>262.84358307577196</v>
      </c>
      <c r="N349">
        <f t="shared" si="190"/>
        <v>10059.442744034795</v>
      </c>
      <c r="O349">
        <f t="shared" si="191"/>
        <v>0.98433311432326043</v>
      </c>
      <c r="P349">
        <f t="shared" si="192"/>
        <v>262.84071983473973</v>
      </c>
      <c r="Q349">
        <f t="shared" si="193"/>
        <v>23.435786185003259</v>
      </c>
      <c r="R349">
        <f t="shared" si="194"/>
        <v>23.43785056582507</v>
      </c>
      <c r="S349">
        <f t="shared" si="195"/>
        <v>-97.795502316432732</v>
      </c>
      <c r="T349" s="19">
        <f t="shared" si="196"/>
        <v>-23.244334833004277</v>
      </c>
      <c r="U349">
        <f t="shared" si="197"/>
        <v>4.3029089301440927E-2</v>
      </c>
      <c r="V349">
        <f t="shared" si="198"/>
        <v>5.1824337062760897</v>
      </c>
      <c r="W349">
        <f t="shared" si="199"/>
        <v>71.892430352928002</v>
      </c>
      <c r="X349" s="6">
        <f t="shared" si="200"/>
        <v>0.50182294881508605</v>
      </c>
      <c r="Y349" s="6">
        <f t="shared" si="201"/>
        <v>0.30212175339028607</v>
      </c>
      <c r="Z349" s="6">
        <f t="shared" si="202"/>
        <v>0.70152414423988607</v>
      </c>
      <c r="AA349" s="19">
        <f t="shared" si="203"/>
        <v>575.13944282342402</v>
      </c>
      <c r="AB349">
        <f t="shared" si="204"/>
        <v>717.37495370627607</v>
      </c>
      <c r="AC349">
        <f t="shared" si="205"/>
        <v>-0.65626157343098157</v>
      </c>
      <c r="AD349">
        <f t="shared" si="180"/>
        <v>60.847467729798417</v>
      </c>
      <c r="AE349">
        <f t="shared" si="206"/>
        <v>29.152532270201583</v>
      </c>
      <c r="AF349">
        <f t="shared" si="207"/>
        <v>2.8821804461109452E-2</v>
      </c>
      <c r="AG349">
        <f t="shared" si="208"/>
        <v>29.181354074662693</v>
      </c>
      <c r="AH349">
        <f t="shared" si="181"/>
        <v>179.30954257828182</v>
      </c>
      <c r="AK349">
        <f t="shared" si="209"/>
        <v>-0.39465300822349619</v>
      </c>
      <c r="AL349">
        <f t="shared" si="210"/>
        <v>0.91883023627879434</v>
      </c>
      <c r="AM349">
        <f t="shared" si="211"/>
        <v>575</v>
      </c>
      <c r="AN349">
        <f t="shared" si="212"/>
        <v>-287.5</v>
      </c>
      <c r="AO349">
        <f t="shared" si="213"/>
        <v>287.5</v>
      </c>
      <c r="AP349" s="16" cm="1">
        <f t="array" ref="AP349">SUMPRODUCT(1362*POWER(0.7,POWER(1/($AI$2*AK349+$AJ$2*AL349*COS(RADIANS(0.25*(_xlfn.SEQUENCE(AO349-AN349,1,AN349+1))))+0.50572*POWER(96.07995-DEGREES(ACOS($AI$2*AK349+$AJ$2*AL349*COS(RADIANS(0.25*(_xlfn.SEQUENCE(AO349-AN349,1,AN349+1)))))),-1.6364)),0.678))*IF(AL349*COS(RADIANS(0.25*(_xlfn.SEQUENCE(AO349-AN349,1,AN349+1))))&gt;0,AL349*COS(RADIANS(0.25*(_xlfn.SEQUENCE(AO349-AN349,1,AN349+1)))),0)/60)</f>
        <v>4181.3499362024149</v>
      </c>
      <c r="AQ349" s="17" cm="1">
        <f t="array" ref="AQ349">SUMPRODUCT(1362*POWER(0.7,POWER(1/($AI$2*AK349+$AJ$2*AL349*COS(RADIANS(0.25*(_xlfn.SEQUENCE(AO349-AN349,1,AN349+1))))+0.50572*POWER(96.07995-DEGREES(ACOS($AI$2*AK349+$AJ$2*AL349*COS(RADIANS(0.25*(_xlfn.SEQUENCE(AO349-AN349,1,AN349+1)))))),-1.6364)),0.678))/60)</f>
        <v>5449.4211812586136</v>
      </c>
      <c r="AR349" s="15">
        <f t="shared" si="214"/>
        <v>1.3032683856658709</v>
      </c>
      <c r="AT349">
        <v>0.46725113201251045</v>
      </c>
      <c r="AU349">
        <v>62.143990995578093</v>
      </c>
      <c r="AV349">
        <v>2.1329561938564234</v>
      </c>
      <c r="AW349">
        <v>750.39898858269908</v>
      </c>
    </row>
    <row r="350" spans="4:49" ht="17" x14ac:dyDescent="0.2">
      <c r="D350" s="1">
        <f t="shared" si="215"/>
        <v>46371</v>
      </c>
      <c r="E350" s="6">
        <f t="shared" si="182"/>
        <v>0.5</v>
      </c>
      <c r="F350" s="2">
        <f t="shared" si="183"/>
        <v>2461390.3333333335</v>
      </c>
      <c r="G350" s="3">
        <f t="shared" si="184"/>
        <v>0.26955053616245006</v>
      </c>
      <c r="I350">
        <f t="shared" si="185"/>
        <v>264.49329196720646</v>
      </c>
      <c r="J350">
        <f t="shared" si="186"/>
        <v>10061.092405841047</v>
      </c>
      <c r="K350">
        <f t="shared" si="187"/>
        <v>1.669729369840716E-2</v>
      </c>
      <c r="L350">
        <f t="shared" si="188"/>
        <v>-0.63247489941115387</v>
      </c>
      <c r="M350">
        <f t="shared" si="189"/>
        <v>263.86081706779532</v>
      </c>
      <c r="N350">
        <f t="shared" si="190"/>
        <v>10060.459930941635</v>
      </c>
      <c r="O350">
        <f t="shared" si="191"/>
        <v>0.98423463639640285</v>
      </c>
      <c r="P350">
        <f t="shared" si="192"/>
        <v>263.85795738803091</v>
      </c>
      <c r="Q350">
        <f t="shared" si="193"/>
        <v>23.435785828969166</v>
      </c>
      <c r="R350">
        <f t="shared" si="194"/>
        <v>23.437848809724958</v>
      </c>
      <c r="S350">
        <f t="shared" si="195"/>
        <v>-96.689580048320977</v>
      </c>
      <c r="T350" s="19">
        <f t="shared" si="196"/>
        <v>-23.295341954640001</v>
      </c>
      <c r="U350">
        <f t="shared" si="197"/>
        <v>4.3029082670057846E-2</v>
      </c>
      <c r="V350">
        <f t="shared" si="198"/>
        <v>4.7020297118265892</v>
      </c>
      <c r="W350">
        <f t="shared" si="199"/>
        <v>71.843914037190999</v>
      </c>
      <c r="X350" s="6">
        <f t="shared" si="200"/>
        <v>0.50215656270012043</v>
      </c>
      <c r="Y350" s="6">
        <f t="shared" si="201"/>
        <v>0.3025901348190343</v>
      </c>
      <c r="Z350" s="6">
        <f t="shared" si="202"/>
        <v>0.70172299058120646</v>
      </c>
      <c r="AA350" s="19">
        <f t="shared" si="203"/>
        <v>574.75131229752799</v>
      </c>
      <c r="AB350">
        <f t="shared" si="204"/>
        <v>716.89454971182658</v>
      </c>
      <c r="AC350">
        <f t="shared" si="205"/>
        <v>-0.77636257204335379</v>
      </c>
      <c r="AD350">
        <f t="shared" si="180"/>
        <v>60.899722569529992</v>
      </c>
      <c r="AE350">
        <f t="shared" si="206"/>
        <v>29.100277430470008</v>
      </c>
      <c r="AF350">
        <f t="shared" si="207"/>
        <v>2.8883213930437832E-2</v>
      </c>
      <c r="AG350">
        <f t="shared" si="208"/>
        <v>29.129160644400447</v>
      </c>
      <c r="AH350">
        <f t="shared" si="181"/>
        <v>179.18391023257686</v>
      </c>
      <c r="AK350">
        <f t="shared" si="209"/>
        <v>-0.39547083319235166</v>
      </c>
      <c r="AL350">
        <f t="shared" si="210"/>
        <v>0.91847853545640745</v>
      </c>
      <c r="AM350">
        <f t="shared" si="211"/>
        <v>575</v>
      </c>
      <c r="AN350">
        <f t="shared" si="212"/>
        <v>-287.5</v>
      </c>
      <c r="AO350">
        <f t="shared" si="213"/>
        <v>287.5</v>
      </c>
      <c r="AP350" s="16" cm="1">
        <f t="array" ref="AP350">SUMPRODUCT(1362*POWER(0.7,POWER(1/($AI$2*AK350+$AJ$2*AL350*COS(RADIANS(0.25*(_xlfn.SEQUENCE(AO350-AN350,1,AN350+1))))+0.50572*POWER(96.07995-DEGREES(ACOS($AI$2*AK350+$AJ$2*AL350*COS(RADIANS(0.25*(_xlfn.SEQUENCE(AO350-AN350,1,AN350+1)))))),-1.6364)),0.678))*IF(AL350*COS(RADIANS(0.25*(_xlfn.SEQUENCE(AO350-AN350,1,AN350+1))))&gt;0,AL350*COS(RADIANS(0.25*(_xlfn.SEQUENCE(AO350-AN350,1,AN350+1)))),0)/60)</f>
        <v>4174.8703787510985</v>
      </c>
      <c r="AQ350" s="17" cm="1">
        <f t="array" ref="AQ350">SUMPRODUCT(1362*POWER(0.7,POWER(1/($AI$2*AK350+$AJ$2*AL350*COS(RADIANS(0.25*(_xlfn.SEQUENCE(AO350-AN350,1,AN350+1))))+0.50572*POWER(96.07995-DEGREES(ACOS($AI$2*AK350+$AJ$2*AL350*COS(RADIANS(0.25*(_xlfn.SEQUENCE(AO350-AN350,1,AN350+1)))))),-1.6364)),0.678))/60)</f>
        <v>5441.4942617160441</v>
      </c>
      <c r="AR350" s="15">
        <f t="shared" si="214"/>
        <v>1.3033923854047542</v>
      </c>
      <c r="AT350">
        <v>0.46642719910420938</v>
      </c>
      <c r="AU350">
        <v>62.197372909690472</v>
      </c>
      <c r="AV350">
        <v>2.1366926502761214</v>
      </c>
      <c r="AW350">
        <v>749.86804768799698</v>
      </c>
    </row>
    <row r="351" spans="4:49" ht="17" x14ac:dyDescent="0.2">
      <c r="D351" s="1">
        <f t="shared" si="215"/>
        <v>46372</v>
      </c>
      <c r="E351" s="6">
        <f t="shared" si="182"/>
        <v>0.5</v>
      </c>
      <c r="F351" s="2">
        <f t="shared" si="183"/>
        <v>2461391.3333333335</v>
      </c>
      <c r="G351" s="3">
        <f t="shared" si="184"/>
        <v>0.26957791467032138</v>
      </c>
      <c r="I351">
        <f t="shared" si="185"/>
        <v>265.47893933184787</v>
      </c>
      <c r="J351">
        <f t="shared" si="186"/>
        <v>10062.078006120502</v>
      </c>
      <c r="K351">
        <f t="shared" si="187"/>
        <v>1.6697292545626664E-2</v>
      </c>
      <c r="L351">
        <f t="shared" si="188"/>
        <v>-0.60068968944872825</v>
      </c>
      <c r="M351">
        <f t="shared" si="189"/>
        <v>264.87824964239917</v>
      </c>
      <c r="N351">
        <f t="shared" si="190"/>
        <v>10061.477316431054</v>
      </c>
      <c r="O351">
        <f t="shared" si="191"/>
        <v>0.98414096503782766</v>
      </c>
      <c r="P351">
        <f t="shared" si="192"/>
        <v>264.87539352148497</v>
      </c>
      <c r="Q351">
        <f t="shared" si="193"/>
        <v>23.435785472935073</v>
      </c>
      <c r="R351">
        <f t="shared" si="194"/>
        <v>23.437847051862693</v>
      </c>
      <c r="S351">
        <f t="shared" si="195"/>
        <v>-95.582658093814516</v>
      </c>
      <c r="T351" s="19">
        <f t="shared" si="196"/>
        <v>-23.338597554331731</v>
      </c>
      <c r="U351">
        <f t="shared" si="197"/>
        <v>4.3029076032021052E-2</v>
      </c>
      <c r="V351">
        <f t="shared" si="198"/>
        <v>4.2177767565455326</v>
      </c>
      <c r="W351">
        <f t="shared" si="199"/>
        <v>71.802731745550517</v>
      </c>
      <c r="X351" s="6">
        <f t="shared" si="200"/>
        <v>0.50249284947462103</v>
      </c>
      <c r="Y351" s="6">
        <f t="shared" si="201"/>
        <v>0.30304081684809187</v>
      </c>
      <c r="Z351" s="6">
        <f t="shared" si="202"/>
        <v>0.70194488210115025</v>
      </c>
      <c r="AA351" s="19">
        <f t="shared" si="203"/>
        <v>574.42185396440414</v>
      </c>
      <c r="AB351">
        <f t="shared" si="204"/>
        <v>716.41029675654545</v>
      </c>
      <c r="AC351">
        <f t="shared" si="205"/>
        <v>-0.89742581086363771</v>
      </c>
      <c r="AD351">
        <f t="shared" si="180"/>
        <v>60.944446451884936</v>
      </c>
      <c r="AE351">
        <f t="shared" si="206"/>
        <v>29.055553548115064</v>
      </c>
      <c r="AF351">
        <f t="shared" si="207"/>
        <v>2.8935930685039222E-2</v>
      </c>
      <c r="AG351">
        <f t="shared" si="208"/>
        <v>29.084489478800105</v>
      </c>
      <c r="AH351">
        <f t="shared" si="181"/>
        <v>179.05736729412138</v>
      </c>
      <c r="AK351">
        <f t="shared" si="209"/>
        <v>-0.3961641282166159</v>
      </c>
      <c r="AL351">
        <f t="shared" si="210"/>
        <v>0.91817971199235759</v>
      </c>
      <c r="AM351">
        <f t="shared" si="211"/>
        <v>574</v>
      </c>
      <c r="AN351">
        <f t="shared" si="212"/>
        <v>-287</v>
      </c>
      <c r="AO351">
        <f t="shared" si="213"/>
        <v>287</v>
      </c>
      <c r="AP351" s="16" cm="1">
        <f t="array" ref="AP351">SUMPRODUCT(1362*POWER(0.7,POWER(1/($AI$2*AK351+$AJ$2*AL351*COS(RADIANS(0.25*(_xlfn.SEQUENCE(AO351-AN351,1,AN351+1))))+0.50572*POWER(96.07995-DEGREES(ACOS($AI$2*AK351+$AJ$2*AL351*COS(RADIANS(0.25*(_xlfn.SEQUENCE(AO351-AN351,1,AN351+1)))))),-1.6364)),0.678))*IF(AL351*COS(RADIANS(0.25*(_xlfn.SEQUENCE(AO351-AN351,1,AN351+1))))&gt;0,AL351*COS(RADIANS(0.25*(_xlfn.SEQUENCE(AO351-AN351,1,AN351+1)))),0)/60)</f>
        <v>4169.3338722134613</v>
      </c>
      <c r="AQ351" s="17" cm="1">
        <f t="array" ref="AQ351">SUMPRODUCT(1362*POWER(0.7,POWER(1/($AI$2*AK351+$AJ$2*AL351*COS(RADIANS(0.25*(_xlfn.SEQUENCE(AO351-AN351,1,AN351+1))))+0.50572*POWER(96.07995-DEGREES(ACOS($AI$2*AK351+$AJ$2*AL351*COS(RADIANS(0.25*(_xlfn.SEQUENCE(AO351-AN351,1,AN351+1)))))),-1.6364)),0.678))/60)</f>
        <v>5434.6439160932478</v>
      </c>
      <c r="AR351" s="15">
        <f t="shared" si="214"/>
        <v>1.3034801439895349</v>
      </c>
      <c r="AT351">
        <v>0.46558985703992462</v>
      </c>
      <c r="AU351">
        <v>62.251596736192646</v>
      </c>
      <c r="AV351">
        <v>2.1405032817479395</v>
      </c>
      <c r="AW351">
        <v>749.32726113520459</v>
      </c>
    </row>
    <row r="352" spans="4:49" ht="17" x14ac:dyDescent="0.2">
      <c r="D352" s="1">
        <f t="shared" si="215"/>
        <v>46373</v>
      </c>
      <c r="E352" s="6">
        <f t="shared" si="182"/>
        <v>0.5</v>
      </c>
      <c r="F352" s="2">
        <f t="shared" si="183"/>
        <v>2461392.3333333335</v>
      </c>
      <c r="G352" s="3">
        <f t="shared" si="184"/>
        <v>0.26960529317819271</v>
      </c>
      <c r="I352">
        <f t="shared" si="185"/>
        <v>266.46458669648564</v>
      </c>
      <c r="J352">
        <f t="shared" si="186"/>
        <v>10063.063606399959</v>
      </c>
      <c r="K352">
        <f t="shared" si="187"/>
        <v>1.6697291392845981E-2</v>
      </c>
      <c r="L352">
        <f t="shared" si="188"/>
        <v>-0.56871581031159546</v>
      </c>
      <c r="M352">
        <f t="shared" si="189"/>
        <v>265.89587088617407</v>
      </c>
      <c r="N352">
        <f t="shared" si="190"/>
        <v>10062.494890589647</v>
      </c>
      <c r="O352">
        <f t="shared" si="191"/>
        <v>0.98405213069798447</v>
      </c>
      <c r="P352">
        <f t="shared" si="192"/>
        <v>265.89301832168945</v>
      </c>
      <c r="Q352">
        <f t="shared" si="193"/>
        <v>23.435785116900981</v>
      </c>
      <c r="R352">
        <f t="shared" si="194"/>
        <v>23.437845292239476</v>
      </c>
      <c r="S352">
        <f t="shared" si="195"/>
        <v>-94.474874299472077</v>
      </c>
      <c r="T352" s="19">
        <f t="shared" si="196"/>
        <v>-23.374075574365971</v>
      </c>
      <c r="U352">
        <f t="shared" si="197"/>
        <v>4.3029069387335118E-2</v>
      </c>
      <c r="V352">
        <f t="shared" si="198"/>
        <v>3.730212874245554</v>
      </c>
      <c r="W352">
        <f t="shared" si="199"/>
        <v>71.768927454866088</v>
      </c>
      <c r="X352" s="6">
        <f t="shared" si="200"/>
        <v>0.50283143550399612</v>
      </c>
      <c r="Y352" s="6">
        <f t="shared" si="201"/>
        <v>0.30347330368492365</v>
      </c>
      <c r="Z352" s="6">
        <f t="shared" si="202"/>
        <v>0.70218956732306859</v>
      </c>
      <c r="AA352" s="19">
        <f t="shared" si="203"/>
        <v>574.1514196389287</v>
      </c>
      <c r="AB352">
        <f t="shared" si="204"/>
        <v>715.92273287424564</v>
      </c>
      <c r="AC352">
        <f t="shared" si="205"/>
        <v>-1.0193167814385902</v>
      </c>
      <c r="AD352">
        <f t="shared" si="180"/>
        <v>60.981616482930043</v>
      </c>
      <c r="AE352">
        <f t="shared" si="206"/>
        <v>29.018383517069957</v>
      </c>
      <c r="AF352">
        <f t="shared" si="207"/>
        <v>2.8979854711461733E-2</v>
      </c>
      <c r="AG352">
        <f t="shared" si="208"/>
        <v>29.047363371781419</v>
      </c>
      <c r="AH352">
        <f t="shared" si="181"/>
        <v>178.9300066380581</v>
      </c>
      <c r="AK352">
        <f t="shared" si="209"/>
        <v>-0.39673259669526328</v>
      </c>
      <c r="AL352">
        <f t="shared" si="210"/>
        <v>0.91793422788314938</v>
      </c>
      <c r="AM352">
        <f t="shared" si="211"/>
        <v>574</v>
      </c>
      <c r="AN352">
        <f t="shared" si="212"/>
        <v>-287</v>
      </c>
      <c r="AO352">
        <f t="shared" si="213"/>
        <v>287</v>
      </c>
      <c r="AP352" s="16" cm="1">
        <f t="array" ref="AP352">SUMPRODUCT(1362*POWER(0.7,POWER(1/($AI$2*AK352+$AJ$2*AL352*COS(RADIANS(0.25*(_xlfn.SEQUENCE(AO352-AN352,1,AN352+1))))+0.50572*POWER(96.07995-DEGREES(ACOS($AI$2*AK352+$AJ$2*AL352*COS(RADIANS(0.25*(_xlfn.SEQUENCE(AO352-AN352,1,AN352+1)))))),-1.6364)),0.678))*IF(AL352*COS(RADIANS(0.25*(_xlfn.SEQUENCE(AO352-AN352,1,AN352+1))))&gt;0,AL352*COS(RADIANS(0.25*(_xlfn.SEQUENCE(AO352-AN352,1,AN352+1)))),0)/60)</f>
        <v>4164.8174012768459</v>
      </c>
      <c r="AQ352" s="17" cm="1">
        <f t="array" ref="AQ352">SUMPRODUCT(1362*POWER(0.7,POWER(1/($AI$2*AK352+$AJ$2*AL352*COS(RADIANS(0.25*(_xlfn.SEQUENCE(AO352-AN352,1,AN352+1))))+0.50572*POWER(96.07995-DEGREES(ACOS($AI$2*AK352+$AJ$2*AL352*COS(RADIANS(0.25*(_xlfn.SEQUENCE(AO352-AN352,1,AN352+1)))))),-1.6364)),0.678))/60)</f>
        <v>5429.1225930848595</v>
      </c>
      <c r="AR352" s="15">
        <f t="shared" si="214"/>
        <v>1.3035679766945856</v>
      </c>
      <c r="AT352">
        <v>0.46473912176144228</v>
      </c>
      <c r="AU352">
        <v>62.30666023404833</v>
      </c>
      <c r="AV352">
        <v>2.1443887358176714</v>
      </c>
      <c r="AW352">
        <v>748.77657642519068</v>
      </c>
    </row>
    <row r="353" spans="4:49" ht="17" x14ac:dyDescent="0.2">
      <c r="D353" s="1">
        <f t="shared" si="215"/>
        <v>46374</v>
      </c>
      <c r="E353" s="6">
        <f t="shared" si="182"/>
        <v>0.5</v>
      </c>
      <c r="F353" s="2">
        <f t="shared" si="183"/>
        <v>2461393.3333333335</v>
      </c>
      <c r="G353" s="3">
        <f t="shared" si="184"/>
        <v>0.26963267168606403</v>
      </c>
      <c r="I353">
        <f t="shared" si="185"/>
        <v>267.45023406112705</v>
      </c>
      <c r="J353">
        <f t="shared" si="186"/>
        <v>10064.049206679414</v>
      </c>
      <c r="K353">
        <f t="shared" si="187"/>
        <v>1.6697290240065107E-2</v>
      </c>
      <c r="L353">
        <f t="shared" si="188"/>
        <v>-0.53656324498083041</v>
      </c>
      <c r="M353">
        <f t="shared" si="189"/>
        <v>266.91367081614624</v>
      </c>
      <c r="N353">
        <f t="shared" si="190"/>
        <v>10063.512643434433</v>
      </c>
      <c r="O353">
        <f t="shared" si="191"/>
        <v>0.98396816227068284</v>
      </c>
      <c r="P353">
        <f t="shared" si="192"/>
        <v>266.91082180566752</v>
      </c>
      <c r="Q353">
        <f t="shared" si="193"/>
        <v>23.435784760866888</v>
      </c>
      <c r="R353">
        <f t="shared" si="194"/>
        <v>23.437843530856501</v>
      </c>
      <c r="S353">
        <f t="shared" si="195"/>
        <v>-93.366368040745613</v>
      </c>
      <c r="T353" s="19">
        <f t="shared" si="196"/>
        <v>-23.401754018755142</v>
      </c>
      <c r="U353">
        <f t="shared" si="197"/>
        <v>4.3029062736004563E-2</v>
      </c>
      <c r="V353">
        <f t="shared" si="198"/>
        <v>3.2398810799912008</v>
      </c>
      <c r="W353">
        <f t="shared" si="199"/>
        <v>71.742537973670025</v>
      </c>
      <c r="X353" s="6">
        <f t="shared" si="200"/>
        <v>0.50317194369445051</v>
      </c>
      <c r="Y353" s="6">
        <f t="shared" si="201"/>
        <v>0.30388711598981161</v>
      </c>
      <c r="Z353" s="6">
        <f t="shared" si="202"/>
        <v>0.70245677139908957</v>
      </c>
      <c r="AA353" s="19">
        <f t="shared" si="203"/>
        <v>573.9403037893602</v>
      </c>
      <c r="AB353">
        <f t="shared" si="204"/>
        <v>715.43240107999122</v>
      </c>
      <c r="AC353">
        <f t="shared" si="205"/>
        <v>-1.1418997300021942</v>
      </c>
      <c r="AD353">
        <f t="shared" si="180"/>
        <v>61.01121306282591</v>
      </c>
      <c r="AE353">
        <f t="shared" si="206"/>
        <v>28.98878693717409</v>
      </c>
      <c r="AF353">
        <f t="shared" si="207"/>
        <v>2.9014901557316012E-2</v>
      </c>
      <c r="AG353">
        <f t="shared" si="208"/>
        <v>29.017801838731408</v>
      </c>
      <c r="AH353">
        <f t="shared" si="181"/>
        <v>178.80192132853517</v>
      </c>
      <c r="AK353">
        <f t="shared" si="209"/>
        <v>-0.39717598604035453</v>
      </c>
      <c r="AL353">
        <f t="shared" si="210"/>
        <v>0.91774246720573638</v>
      </c>
      <c r="AM353">
        <f t="shared" si="211"/>
        <v>574</v>
      </c>
      <c r="AN353">
        <f t="shared" si="212"/>
        <v>-287</v>
      </c>
      <c r="AO353">
        <f t="shared" si="213"/>
        <v>287</v>
      </c>
      <c r="AP353" s="16" cm="1">
        <f t="array" ref="AP353">SUMPRODUCT(1362*POWER(0.7,POWER(1/($AI$2*AK353+$AJ$2*AL353*COS(RADIANS(0.25*(_xlfn.SEQUENCE(AO353-AN353,1,AN353+1))))+0.50572*POWER(96.07995-DEGREES(ACOS($AI$2*AK353+$AJ$2*AL353*COS(RADIANS(0.25*(_xlfn.SEQUENCE(AO353-AN353,1,AN353+1)))))),-1.6364)),0.678))*IF(AL353*COS(RADIANS(0.25*(_xlfn.SEQUENCE(AO353-AN353,1,AN353+1))))&gt;0,AL353*COS(RADIANS(0.25*(_xlfn.SEQUENCE(AO353-AN353,1,AN353+1)))),0)/60)</f>
        <v>4161.2907965676068</v>
      </c>
      <c r="AQ353" s="17" cm="1">
        <f t="array" ref="AQ353">SUMPRODUCT(1362*POWER(0.7,POWER(1/($AI$2*AK353+$AJ$2*AL353*COS(RADIANS(0.25*(_xlfn.SEQUENCE(AO353-AN353,1,AN353+1))))+0.50572*POWER(96.07995-DEGREES(ACOS($AI$2*AK353+$AJ$2*AL353*COS(RADIANS(0.25*(_xlfn.SEQUENCE(AO353-AN353,1,AN353+1)))))),-1.6364)),0.678))/60)</f>
        <v>5424.8118067688129</v>
      </c>
      <c r="AR353" s="15">
        <f t="shared" si="214"/>
        <v>1.3036367973234186</v>
      </c>
      <c r="AT353">
        <v>0.46387500946553573</v>
      </c>
      <c r="AU353">
        <v>62.362561135424365</v>
      </c>
      <c r="AV353">
        <v>2.1483496757297309</v>
      </c>
      <c r="AW353">
        <v>748.2159399326614</v>
      </c>
    </row>
    <row r="354" spans="4:49" ht="17" x14ac:dyDescent="0.2">
      <c r="D354" s="1">
        <f t="shared" si="215"/>
        <v>46375</v>
      </c>
      <c r="E354" s="6">
        <f t="shared" si="182"/>
        <v>0.5</v>
      </c>
      <c r="F354" s="2">
        <f t="shared" si="183"/>
        <v>2461394.3333333335</v>
      </c>
      <c r="G354" s="3">
        <f t="shared" si="184"/>
        <v>0.26966005019393535</v>
      </c>
      <c r="I354">
        <f t="shared" si="185"/>
        <v>268.43588142576846</v>
      </c>
      <c r="J354">
        <f t="shared" si="186"/>
        <v>10065.034806958869</v>
      </c>
      <c r="K354">
        <f t="shared" si="187"/>
        <v>1.6697289087284042E-2</v>
      </c>
      <c r="L354">
        <f t="shared" si="188"/>
        <v>-0.50424204241025039</v>
      </c>
      <c r="M354">
        <f t="shared" si="189"/>
        <v>267.93163938335823</v>
      </c>
      <c r="N354">
        <f t="shared" si="190"/>
        <v>10064.530564916458</v>
      </c>
      <c r="O354">
        <f t="shared" si="191"/>
        <v>0.98388908708118028</v>
      </c>
      <c r="P354">
        <f t="shared" si="192"/>
        <v>267.92879392445872</v>
      </c>
      <c r="Q354">
        <f t="shared" si="193"/>
        <v>23.435784404832798</v>
      </c>
      <c r="R354">
        <f t="shared" si="194"/>
        <v>23.437841767714975</v>
      </c>
      <c r="S354">
        <f t="shared" si="195"/>
        <v>-92.257279958319657</v>
      </c>
      <c r="T354" s="19">
        <f t="shared" si="196"/>
        <v>-23.421614993267585</v>
      </c>
      <c r="U354">
        <f t="shared" si="197"/>
        <v>4.3029056078033909E-2</v>
      </c>
      <c r="V354">
        <f t="shared" si="198"/>
        <v>2.7473284628923129</v>
      </c>
      <c r="W354">
        <f t="shared" si="199"/>
        <v>71.723592810492534</v>
      </c>
      <c r="X354" s="6">
        <f t="shared" si="200"/>
        <v>0.50351399412299147</v>
      </c>
      <c r="Y354" s="6">
        <f t="shared" si="201"/>
        <v>0.3042817918716233</v>
      </c>
      <c r="Z354" s="6">
        <f t="shared" si="202"/>
        <v>0.70274619637435964</v>
      </c>
      <c r="AA354" s="19">
        <f t="shared" si="203"/>
        <v>573.78874248394027</v>
      </c>
      <c r="AB354">
        <f t="shared" si="204"/>
        <v>714.93984846289231</v>
      </c>
      <c r="AC354">
        <f t="shared" si="205"/>
        <v>-1.2650378842769214</v>
      </c>
      <c r="AD354">
        <f t="shared" si="180"/>
        <v>61.033219909967535</v>
      </c>
      <c r="AE354">
        <f t="shared" si="206"/>
        <v>28.966780090032465</v>
      </c>
      <c r="AF354">
        <f t="shared" si="207"/>
        <v>2.9041002744877999E-2</v>
      </c>
      <c r="AG354">
        <f t="shared" si="208"/>
        <v>28.995821092777344</v>
      </c>
      <c r="AH354">
        <f t="shared" si="181"/>
        <v>178.67320456916195</v>
      </c>
      <c r="AK354">
        <f t="shared" si="209"/>
        <v>-0.39749408786813112</v>
      </c>
      <c r="AL354">
        <f t="shared" si="210"/>
        <v>0.91760473522638408</v>
      </c>
      <c r="AM354">
        <f t="shared" si="211"/>
        <v>574</v>
      </c>
      <c r="AN354">
        <f t="shared" si="212"/>
        <v>-287</v>
      </c>
      <c r="AO354">
        <f t="shared" si="213"/>
        <v>287</v>
      </c>
      <c r="AP354" s="16" cm="1">
        <f t="array" ref="AP354">SUMPRODUCT(1362*POWER(0.7,POWER(1/($AI$2*AK354+$AJ$2*AL354*COS(RADIANS(0.25*(_xlfn.SEQUENCE(AO354-AN354,1,AN354+1))))+0.50572*POWER(96.07995-DEGREES(ACOS($AI$2*AK354+$AJ$2*AL354*COS(RADIANS(0.25*(_xlfn.SEQUENCE(AO354-AN354,1,AN354+1)))))),-1.6364)),0.678))*IF(AL354*COS(RADIANS(0.25*(_xlfn.SEQUENCE(AO354-AN354,1,AN354+1))))&gt;0,AL354*COS(RADIANS(0.25*(_xlfn.SEQUENCE(AO354-AN354,1,AN354+1)))),0)/60)</f>
        <v>4158.7586003767165</v>
      </c>
      <c r="AQ354" s="17" cm="1">
        <f t="array" ref="AQ354">SUMPRODUCT(1362*POWER(0.7,POWER(1/($AI$2*AK354+$AJ$2*AL354*COS(RADIANS(0.25*(_xlfn.SEQUENCE(AO354-AN354,1,AN354+1))))+0.50572*POWER(96.07995-DEGREES(ACOS($AI$2*AK354+$AJ$2*AL354*COS(RADIANS(0.25*(_xlfn.SEQUENCE(AO354-AN354,1,AN354+1)))))),-1.6364)),0.678))/60)</f>
        <v>5421.716788341002</v>
      </c>
      <c r="AR354" s="15">
        <f t="shared" si="214"/>
        <v>1.3036863423257801</v>
      </c>
      <c r="AT354">
        <v>0.46299753660365728</v>
      </c>
      <c r="AU354">
        <v>62.419297146111937</v>
      </c>
      <c r="AV354">
        <v>2.1523867807210615</v>
      </c>
      <c r="AW354">
        <v>747.6452968916401</v>
      </c>
    </row>
    <row r="355" spans="4:49" ht="17" x14ac:dyDescent="0.2">
      <c r="D355" s="1">
        <f t="shared" si="215"/>
        <v>46376</v>
      </c>
      <c r="E355" s="6">
        <f t="shared" si="182"/>
        <v>0.5</v>
      </c>
      <c r="F355" s="2">
        <f t="shared" si="183"/>
        <v>2461395.3333333335</v>
      </c>
      <c r="G355" s="3">
        <f t="shared" si="184"/>
        <v>0.26968742870180668</v>
      </c>
      <c r="I355">
        <f t="shared" si="185"/>
        <v>269.42152879040987</v>
      </c>
      <c r="J355">
        <f t="shared" si="186"/>
        <v>10066.020407238326</v>
      </c>
      <c r="K355">
        <f t="shared" si="187"/>
        <v>1.6697287934502786E-2</v>
      </c>
      <c r="L355">
        <f t="shared" si="188"/>
        <v>-0.47176231388632955</v>
      </c>
      <c r="M355">
        <f t="shared" si="189"/>
        <v>268.94976647652356</v>
      </c>
      <c r="N355">
        <f t="shared" si="190"/>
        <v>10065.54864492444</v>
      </c>
      <c r="O355">
        <f t="shared" si="191"/>
        <v>0.98381493087489891</v>
      </c>
      <c r="P355">
        <f t="shared" si="192"/>
        <v>268.94692456677353</v>
      </c>
      <c r="Q355">
        <f t="shared" si="193"/>
        <v>23.435784048798705</v>
      </c>
      <c r="R355">
        <f t="shared" si="194"/>
        <v>23.437840002816092</v>
      </c>
      <c r="S355">
        <f t="shared" si="195"/>
        <v>-91.14775168953679</v>
      </c>
      <c r="T355" s="19">
        <f t="shared" si="196"/>
        <v>-23.433644738449278</v>
      </c>
      <c r="U355">
        <f t="shared" si="197"/>
        <v>4.3029049413427681E-2</v>
      </c>
      <c r="V355">
        <f t="shared" si="198"/>
        <v>2.2531052687190085</v>
      </c>
      <c r="W355">
        <f t="shared" si="199"/>
        <v>71.712114067540128</v>
      </c>
      <c r="X355" s="6">
        <f t="shared" si="200"/>
        <v>0.50385720467450057</v>
      </c>
      <c r="Y355" s="6">
        <f t="shared" si="201"/>
        <v>0.30465688782022249</v>
      </c>
      <c r="Z355" s="6">
        <f t="shared" si="202"/>
        <v>0.70305752152877876</v>
      </c>
      <c r="AA355" s="19">
        <f t="shared" si="203"/>
        <v>573.69691254032102</v>
      </c>
      <c r="AB355">
        <f t="shared" si="204"/>
        <v>714.44562526871891</v>
      </c>
      <c r="AC355">
        <f t="shared" si="205"/>
        <v>-1.3885936828202716</v>
      </c>
      <c r="AD355">
        <f t="shared" si="180"/>
        <v>61.047624081251357</v>
      </c>
      <c r="AE355">
        <f t="shared" si="206"/>
        <v>28.952375918748643</v>
      </c>
      <c r="AF355">
        <f t="shared" si="207"/>
        <v>2.9058106109716413E-2</v>
      </c>
      <c r="AG355">
        <f t="shared" si="208"/>
        <v>28.981434024858359</v>
      </c>
      <c r="AH355">
        <f t="shared" si="181"/>
        <v>178.54394965421534</v>
      </c>
      <c r="AK355">
        <f t="shared" si="209"/>
        <v>-0.39768673816750405</v>
      </c>
      <c r="AL355">
        <f t="shared" si="210"/>
        <v>0.91752125767509662</v>
      </c>
      <c r="AM355">
        <f t="shared" si="211"/>
        <v>574</v>
      </c>
      <c r="AN355">
        <f t="shared" si="212"/>
        <v>-287</v>
      </c>
      <c r="AO355">
        <f t="shared" si="213"/>
        <v>287</v>
      </c>
      <c r="AP355" s="16" cm="1">
        <f t="array" ref="AP355">SUMPRODUCT(1362*POWER(0.7,POWER(1/($AI$2*AK355+$AJ$2*AL355*COS(RADIANS(0.25*(_xlfn.SEQUENCE(AO355-AN355,1,AN355+1))))+0.50572*POWER(96.07995-DEGREES(ACOS($AI$2*AK355+$AJ$2*AL355*COS(RADIANS(0.25*(_xlfn.SEQUENCE(AO355-AN355,1,AN355+1)))))),-1.6364)),0.678))*IF(AL355*COS(RADIANS(0.25*(_xlfn.SEQUENCE(AO355-AN355,1,AN355+1))))&gt;0,AL355*COS(RADIANS(0.25*(_xlfn.SEQUENCE(AO355-AN355,1,AN355+1)))),0)/60)</f>
        <v>4157.2241889613424</v>
      </c>
      <c r="AQ355" s="17" cm="1">
        <f t="array" ref="AQ355">SUMPRODUCT(1362*POWER(0.7,POWER(1/($AI$2*AK355+$AJ$2*AL355*COS(RADIANS(0.25*(_xlfn.SEQUENCE(AO355-AN355,1,AN355+1))))+0.50572*POWER(96.07995-DEGREES(ACOS($AI$2*AK355+$AJ$2*AL355*COS(RADIANS(0.25*(_xlfn.SEQUENCE(AO355-AN355,1,AN355+1)))))),-1.6364)),0.678))/60)</f>
        <v>5419.8414278403252</v>
      </c>
      <c r="AR355" s="15">
        <f t="shared" si="214"/>
        <v>1.3037164178519898</v>
      </c>
      <c r="AT355">
        <v>0.46210671988162566</v>
      </c>
      <c r="AU355">
        <v>62.476865945950117</v>
      </c>
      <c r="AV355">
        <v>2.1565007463239798</v>
      </c>
      <c r="AW355">
        <v>747.06459138057699</v>
      </c>
    </row>
    <row r="356" spans="4:49" ht="17" x14ac:dyDescent="0.2">
      <c r="D356" s="1">
        <f t="shared" si="215"/>
        <v>46377</v>
      </c>
      <c r="E356" s="6">
        <f t="shared" si="182"/>
        <v>0.5</v>
      </c>
      <c r="F356" s="2">
        <f t="shared" si="183"/>
        <v>2461396.3333333335</v>
      </c>
      <c r="G356" s="3">
        <f t="shared" si="184"/>
        <v>0.269714807209678</v>
      </c>
      <c r="I356">
        <f t="shared" si="185"/>
        <v>270.40717615505127</v>
      </c>
      <c r="J356">
        <f t="shared" si="186"/>
        <v>10067.006007517779</v>
      </c>
      <c r="K356">
        <f t="shared" si="187"/>
        <v>1.6697286781721343E-2</v>
      </c>
      <c r="L356">
        <f t="shared" si="188"/>
        <v>-0.43913422935216567</v>
      </c>
      <c r="M356">
        <f t="shared" si="189"/>
        <v>269.96804192569908</v>
      </c>
      <c r="N356">
        <f t="shared" si="190"/>
        <v>10066.566873288426</v>
      </c>
      <c r="O356">
        <f t="shared" si="191"/>
        <v>0.983745717806778</v>
      </c>
      <c r="P356">
        <f t="shared" si="192"/>
        <v>269.96520356266569</v>
      </c>
      <c r="Q356">
        <f t="shared" si="193"/>
        <v>23.435783692764616</v>
      </c>
      <c r="R356">
        <f t="shared" si="194"/>
        <v>23.437838236161063</v>
      </c>
      <c r="S356">
        <f t="shared" si="195"/>
        <v>-90.037925595975267</v>
      </c>
      <c r="T356" s="19">
        <f t="shared" si="196"/>
        <v>-23.437833655491204</v>
      </c>
      <c r="U356">
        <f t="shared" si="197"/>
        <v>4.3029042742190465E-2</v>
      </c>
      <c r="V356">
        <f t="shared" si="198"/>
        <v>1.7577639747248113</v>
      </c>
      <c r="W356">
        <f t="shared" si="199"/>
        <v>71.708116360503141</v>
      </c>
      <c r="X356" s="6">
        <f t="shared" si="200"/>
        <v>0.50420119168421884</v>
      </c>
      <c r="Y356" s="6">
        <f t="shared" si="201"/>
        <v>0.30501197957171006</v>
      </c>
      <c r="Z356" s="6">
        <f t="shared" si="202"/>
        <v>0.70339040379672757</v>
      </c>
      <c r="AA356" s="19">
        <f t="shared" si="203"/>
        <v>573.66493088402513</v>
      </c>
      <c r="AB356">
        <f t="shared" si="204"/>
        <v>713.95028397472493</v>
      </c>
      <c r="AC356">
        <f t="shared" si="205"/>
        <v>-1.5124290063187686</v>
      </c>
      <c r="AD356">
        <f t="shared" si="180"/>
        <v>61.054415988380391</v>
      </c>
      <c r="AE356">
        <f t="shared" si="206"/>
        <v>28.945584011619609</v>
      </c>
      <c r="AF356">
        <f t="shared" si="207"/>
        <v>2.9066176061185528E-2</v>
      </c>
      <c r="AG356">
        <f t="shared" si="208"/>
        <v>28.974650187680794</v>
      </c>
      <c r="AH356">
        <f t="shared" si="181"/>
        <v>178.4142499204537</v>
      </c>
      <c r="AK356">
        <f t="shared" si="209"/>
        <v>-0.397753817445688</v>
      </c>
      <c r="AL356">
        <f t="shared" si="210"/>
        <v>0.91749218018868273</v>
      </c>
      <c r="AM356">
        <f t="shared" si="211"/>
        <v>574</v>
      </c>
      <c r="AN356">
        <f t="shared" si="212"/>
        <v>-287</v>
      </c>
      <c r="AO356">
        <f t="shared" si="213"/>
        <v>287</v>
      </c>
      <c r="AP356" s="16" cm="1">
        <f t="array" ref="AP356">SUMPRODUCT(1362*POWER(0.7,POWER(1/($AI$2*AK356+$AJ$2*AL356*COS(RADIANS(0.25*(_xlfn.SEQUENCE(AO356-AN356,1,AN356+1))))+0.50572*POWER(96.07995-DEGREES(ACOS($AI$2*AK356+$AJ$2*AL356*COS(RADIANS(0.25*(_xlfn.SEQUENCE(AO356-AN356,1,AN356+1)))))),-1.6364)),0.678))*IF(AL356*COS(RADIANS(0.25*(_xlfn.SEQUENCE(AO356-AN356,1,AN356+1))))&gt;0,AL356*COS(RADIANS(0.25*(_xlfn.SEQUENCE(AO356-AN356,1,AN356+1)))),0)/60)</f>
        <v>4156.6897686536286</v>
      </c>
      <c r="AQ356" s="17" cm="1">
        <f t="array" ref="AQ356">SUMPRODUCT(1362*POWER(0.7,POWER(1/($AI$2*AK356+$AJ$2*AL356*COS(RADIANS(0.25*(_xlfn.SEQUENCE(AO356-AN356,1,AN356+1))))+0.50572*POWER(96.07995-DEGREES(ACOS($AI$2*AK356+$AJ$2*AL356*COS(RADIANS(0.25*(_xlfn.SEQUENCE(AO356-AN356,1,AN356+1)))))),-1.6364)),0.678))/60)</f>
        <v>5419.1882760065582</v>
      </c>
      <c r="AR356" s="15">
        <f t="shared" si="214"/>
        <v>1.3037269023234945</v>
      </c>
      <c r="AT356">
        <v>0.46120257625930694</v>
      </c>
      <c r="AU356">
        <v>62.535265189251355</v>
      </c>
      <c r="AV356">
        <v>2.1606922846782233</v>
      </c>
      <c r="AW356">
        <v>746.47376630707674</v>
      </c>
    </row>
    <row r="357" spans="4:49" ht="17" x14ac:dyDescent="0.2">
      <c r="D357" s="1">
        <f t="shared" si="215"/>
        <v>46378</v>
      </c>
      <c r="E357" s="6">
        <f t="shared" si="182"/>
        <v>0.5</v>
      </c>
      <c r="F357" s="2">
        <f t="shared" si="183"/>
        <v>2461397.3333333335</v>
      </c>
      <c r="G357" s="3">
        <f t="shared" si="184"/>
        <v>0.26974218571754932</v>
      </c>
      <c r="I357">
        <f t="shared" si="185"/>
        <v>271.3928235196945</v>
      </c>
      <c r="J357">
        <f t="shared" si="186"/>
        <v>10067.991607797236</v>
      </c>
      <c r="K357">
        <f t="shared" si="187"/>
        <v>1.6697285628939709E-2</v>
      </c>
      <c r="L357">
        <f t="shared" si="188"/>
        <v>-0.40636801369833186</v>
      </c>
      <c r="M357">
        <f t="shared" si="189"/>
        <v>270.98645550599616</v>
      </c>
      <c r="N357">
        <f t="shared" si="190"/>
        <v>10067.585239783537</v>
      </c>
      <c r="O357">
        <f t="shared" si="191"/>
        <v>0.98368147043126664</v>
      </c>
      <c r="P357">
        <f t="shared" si="192"/>
        <v>270.98362068724367</v>
      </c>
      <c r="Q357">
        <f t="shared" si="193"/>
        <v>23.435783336730523</v>
      </c>
      <c r="R357">
        <f t="shared" si="194"/>
        <v>23.437836467751083</v>
      </c>
      <c r="S357">
        <f t="shared" si="195"/>
        <v>-88.927944488188643</v>
      </c>
      <c r="T357" s="19">
        <f t="shared" si="196"/>
        <v>-23.434176324830577</v>
      </c>
      <c r="U357">
        <f t="shared" si="197"/>
        <v>4.302903606432678E-2</v>
      </c>
      <c r="V357">
        <f t="shared" si="198"/>
        <v>1.261858359075001</v>
      </c>
      <c r="W357">
        <f t="shared" si="199"/>
        <v>71.711606765080063</v>
      </c>
      <c r="X357" s="6">
        <f t="shared" si="200"/>
        <v>0.50454557058397564</v>
      </c>
      <c r="Y357" s="6">
        <f t="shared" si="201"/>
        <v>0.30534666290319767</v>
      </c>
      <c r="Z357" s="6">
        <f t="shared" si="202"/>
        <v>0.70374447826475361</v>
      </c>
      <c r="AA357" s="19">
        <f t="shared" si="203"/>
        <v>573.6928541206405</v>
      </c>
      <c r="AB357">
        <f t="shared" si="204"/>
        <v>713.45437835907501</v>
      </c>
      <c r="AC357">
        <f t="shared" si="205"/>
        <v>-1.636405410231248</v>
      </c>
      <c r="AD357">
        <f t="shared" si="180"/>
        <v>61.053589410138876</v>
      </c>
      <c r="AE357">
        <f t="shared" si="206"/>
        <v>28.946410589861124</v>
      </c>
      <c r="AF357">
        <f t="shared" si="207"/>
        <v>2.9065193762330577E-2</v>
      </c>
      <c r="AG357">
        <f t="shared" si="208"/>
        <v>28.975475783623455</v>
      </c>
      <c r="AH357">
        <f t="shared" si="181"/>
        <v>178.28419869938807</v>
      </c>
      <c r="AK357">
        <f t="shared" si="209"/>
        <v>-0.39769525085078666</v>
      </c>
      <c r="AL357">
        <f t="shared" si="210"/>
        <v>0.91751756792484895</v>
      </c>
      <c r="AM357">
        <f t="shared" si="211"/>
        <v>574</v>
      </c>
      <c r="AN357">
        <f t="shared" si="212"/>
        <v>-287</v>
      </c>
      <c r="AO357">
        <f t="shared" si="213"/>
        <v>287</v>
      </c>
      <c r="AP357" s="16" cm="1">
        <f t="array" ref="AP357">SUMPRODUCT(1362*POWER(0.7,POWER(1/($AI$2*AK357+$AJ$2*AL357*COS(RADIANS(0.25*(_xlfn.SEQUENCE(AO357-AN357,1,AN357+1))))+0.50572*POWER(96.07995-DEGREES(ACOS($AI$2*AK357+$AJ$2*AL357*COS(RADIANS(0.25*(_xlfn.SEQUENCE(AO357-AN357,1,AN357+1)))))),-1.6364)),0.678))*IF(AL357*COS(RADIANS(0.25*(_xlfn.SEQUENCE(AO357-AN357,1,AN357+1))))&gt;0,AL357*COS(RADIANS(0.25*(_xlfn.SEQUENCE(AO357-AN357,1,AN357+1)))),0)/60)</f>
        <v>4157.1563727623425</v>
      </c>
      <c r="AQ357" s="17" cm="1">
        <f t="array" ref="AQ357">SUMPRODUCT(1362*POWER(0.7,POWER(1/($AI$2*AK357+$AJ$2*AL357*COS(RADIANS(0.25*(_xlfn.SEQUENCE(AO357-AN357,1,AN357+1))))+0.50572*POWER(96.07995-DEGREES(ACOS($AI$2*AK357+$AJ$2*AL357*COS(RADIANS(0.25*(_xlfn.SEQUENCE(AO357-AN357,1,AN357+1)))))),-1.6364)),0.678))/60)</f>
        <v>5419.7585444901297</v>
      </c>
      <c r="AR357" s="15">
        <f t="shared" si="214"/>
        <v>1.303717748026114</v>
      </c>
      <c r="AT357">
        <v>0.46028512295029256</v>
      </c>
      <c r="AU357">
        <v>62.594492505228921</v>
      </c>
      <c r="AV357">
        <v>2.1649621248524555</v>
      </c>
      <c r="AW357">
        <v>745.87276339224297</v>
      </c>
    </row>
    <row r="358" spans="4:49" ht="17" x14ac:dyDescent="0.2">
      <c r="D358" s="1">
        <f t="shared" si="215"/>
        <v>46379</v>
      </c>
      <c r="E358" s="6">
        <f t="shared" si="182"/>
        <v>0.5</v>
      </c>
      <c r="F358" s="2">
        <f t="shared" si="183"/>
        <v>2461398.3333333335</v>
      </c>
      <c r="G358" s="3">
        <f t="shared" si="184"/>
        <v>0.26976956422542064</v>
      </c>
      <c r="I358">
        <f t="shared" si="185"/>
        <v>272.37847088433773</v>
      </c>
      <c r="J358">
        <f t="shared" si="186"/>
        <v>10068.977208076691</v>
      </c>
      <c r="K358">
        <f t="shared" si="187"/>
        <v>1.6697284476157884E-2</v>
      </c>
      <c r="L358">
        <f t="shared" si="188"/>
        <v>-0.37347394302307652</v>
      </c>
      <c r="M358">
        <f t="shared" si="189"/>
        <v>272.00499694131463</v>
      </c>
      <c r="N358">
        <f t="shared" si="190"/>
        <v>10068.603734133667</v>
      </c>
      <c r="O358">
        <f t="shared" si="191"/>
        <v>0.98362220969296943</v>
      </c>
      <c r="P358">
        <f t="shared" si="192"/>
        <v>272.00216566440417</v>
      </c>
      <c r="Q358">
        <f t="shared" si="193"/>
        <v>23.435782980696434</v>
      </c>
      <c r="R358">
        <f t="shared" si="194"/>
        <v>23.43783469758737</v>
      </c>
      <c r="S358">
        <f t="shared" si="195"/>
        <v>-87.817951348680864</v>
      </c>
      <c r="T358" s="19">
        <f t="shared" si="196"/>
        <v>-23.422671517406624</v>
      </c>
      <c r="U358">
        <f t="shared" si="197"/>
        <v>4.3029029379841204E-2</v>
      </c>
      <c r="V358">
        <f t="shared" si="198"/>
        <v>0.76594256730728993</v>
      </c>
      <c r="W358">
        <f t="shared" si="199"/>
        <v>71.722584790613155</v>
      </c>
      <c r="X358" s="6">
        <f t="shared" si="200"/>
        <v>0.50488995655048097</v>
      </c>
      <c r="Y358" s="6">
        <f t="shared" si="201"/>
        <v>0.30566055435433331</v>
      </c>
      <c r="Z358" s="6">
        <f t="shared" si="202"/>
        <v>0.70411935874662868</v>
      </c>
      <c r="AA358" s="19">
        <f t="shared" si="203"/>
        <v>573.78067832490524</v>
      </c>
      <c r="AB358">
        <f t="shared" si="204"/>
        <v>712.95846256730738</v>
      </c>
      <c r="AC358">
        <f t="shared" si="205"/>
        <v>-1.7603843581731553</v>
      </c>
      <c r="AD358">
        <f t="shared" si="180"/>
        <v>61.045141500587327</v>
      </c>
      <c r="AE358">
        <f t="shared" si="206"/>
        <v>28.954858499412673</v>
      </c>
      <c r="AF358">
        <f t="shared" si="207"/>
        <v>2.905515722749669E-2</v>
      </c>
      <c r="AG358">
        <f t="shared" si="208"/>
        <v>28.983913656640169</v>
      </c>
      <c r="AH358">
        <f t="shared" si="181"/>
        <v>178.15388926981689</v>
      </c>
      <c r="AK358">
        <f t="shared" si="209"/>
        <v>-0.3975110082711526</v>
      </c>
      <c r="AL358">
        <f t="shared" si="210"/>
        <v>0.9175974053490189</v>
      </c>
      <c r="AM358">
        <f t="shared" si="211"/>
        <v>574</v>
      </c>
      <c r="AN358">
        <f t="shared" si="212"/>
        <v>-287</v>
      </c>
      <c r="AO358">
        <f t="shared" si="213"/>
        <v>287</v>
      </c>
      <c r="AP358" s="16" cm="1">
        <f t="array" ref="AP358">SUMPRODUCT(1362*POWER(0.7,POWER(1/($AI$2*AK358+$AJ$2*AL358*COS(RADIANS(0.25*(_xlfn.SEQUENCE(AO358-AN358,1,AN358+1))))+0.50572*POWER(96.07995-DEGREES(ACOS($AI$2*AK358+$AJ$2*AL358*COS(RADIANS(0.25*(_xlfn.SEQUENCE(AO358-AN358,1,AN358+1)))))),-1.6364)),0.678))*IF(AL358*COS(RADIANS(0.25*(_xlfn.SEQUENCE(AO358-AN358,1,AN358+1))))&gt;0,AL358*COS(RADIANS(0.25*(_xlfn.SEQUENCE(AO358-AN358,1,AN358+1)))),0)/60)</f>
        <v>4158.6238593150874</v>
      </c>
      <c r="AQ358" s="17" cm="1">
        <f t="array" ref="AQ358">SUMPRODUCT(1362*POWER(0.7,POWER(1/($AI$2*AK358+$AJ$2*AL358*COS(RADIANS(0.25*(_xlfn.SEQUENCE(AO358-AN358,1,AN358+1))))+0.50572*POWER(96.07995-DEGREES(ACOS($AI$2*AK358+$AJ$2*AL358*COS(RADIANS(0.25*(_xlfn.SEQUENCE(AO358-AN358,1,AN358+1)))))),-1.6364)),0.678))/60)</f>
        <v>5421.5521045580836</v>
      </c>
      <c r="AR358" s="15">
        <f t="shared" si="214"/>
        <v>1.3036889817322879</v>
      </c>
      <c r="AT358">
        <v>0.45935437742157093</v>
      </c>
      <c r="AU358">
        <v>62.654545498425996</v>
      </c>
      <c r="AV358">
        <v>2.1693110131755282</v>
      </c>
      <c r="AW358">
        <v>745.26152315462389</v>
      </c>
    </row>
    <row r="359" spans="4:49" ht="17" x14ac:dyDescent="0.2">
      <c r="D359" s="1">
        <f t="shared" si="215"/>
        <v>46380</v>
      </c>
      <c r="E359" s="6">
        <f t="shared" si="182"/>
        <v>0.5</v>
      </c>
      <c r="F359" s="2">
        <f t="shared" si="183"/>
        <v>2461399.3333333335</v>
      </c>
      <c r="G359" s="3">
        <f t="shared" si="184"/>
        <v>0.26979694273329197</v>
      </c>
      <c r="I359">
        <f t="shared" si="185"/>
        <v>273.36411824898096</v>
      </c>
      <c r="J359">
        <f t="shared" si="186"/>
        <v>10069.962808356144</v>
      </c>
      <c r="K359">
        <f t="shared" si="187"/>
        <v>1.6697283323375868E-2</v>
      </c>
      <c r="L359">
        <f t="shared" si="188"/>
        <v>-0.3404623408630153</v>
      </c>
      <c r="M359">
        <f t="shared" si="189"/>
        <v>273.02365590811792</v>
      </c>
      <c r="N359">
        <f t="shared" si="190"/>
        <v>10069.622346015281</v>
      </c>
      <c r="O359">
        <f t="shared" si="191"/>
        <v>0.98356795491794702</v>
      </c>
      <c r="P359">
        <f t="shared" si="192"/>
        <v>273.02082817060767</v>
      </c>
      <c r="Q359">
        <f t="shared" si="193"/>
        <v>23.435782624662345</v>
      </c>
      <c r="R359">
        <f t="shared" si="194"/>
        <v>23.437832925671124</v>
      </c>
      <c r="S359">
        <f t="shared" si="195"/>
        <v>-86.708089054162301</v>
      </c>
      <c r="T359" s="19">
        <f t="shared" si="196"/>
        <v>-23.403322198524691</v>
      </c>
      <c r="U359">
        <f t="shared" si="197"/>
        <v>4.3029022688738275E-2</v>
      </c>
      <c r="V359">
        <f t="shared" si="198"/>
        <v>0.27057017824324231</v>
      </c>
      <c r="W359">
        <f t="shared" si="199"/>
        <v>71.741042381031548</v>
      </c>
      <c r="X359" s="6">
        <f t="shared" si="200"/>
        <v>0.50523396515399777</v>
      </c>
      <c r="Y359" s="6">
        <f t="shared" si="201"/>
        <v>0.30595329187335457</v>
      </c>
      <c r="Z359" s="6">
        <f t="shared" si="202"/>
        <v>0.70451463843464102</v>
      </c>
      <c r="AA359" s="19">
        <f t="shared" si="203"/>
        <v>573.92833904825238</v>
      </c>
      <c r="AB359">
        <f t="shared" si="204"/>
        <v>712.46309017824319</v>
      </c>
      <c r="AC359">
        <f t="shared" si="205"/>
        <v>-1.884227455439202</v>
      </c>
      <c r="AD359">
        <f t="shared" si="180"/>
        <v>61.029072793147392</v>
      </c>
      <c r="AE359">
        <f t="shared" si="206"/>
        <v>28.970927206852608</v>
      </c>
      <c r="AF359">
        <f t="shared" si="207"/>
        <v>2.9036081336699281E-2</v>
      </c>
      <c r="AG359">
        <f t="shared" si="208"/>
        <v>28.999963288189306</v>
      </c>
      <c r="AH359">
        <f t="shared" si="181"/>
        <v>178.02341481046903</v>
      </c>
      <c r="AK359">
        <f t="shared" si="209"/>
        <v>-0.39720110441136197</v>
      </c>
      <c r="AL359">
        <f t="shared" si="210"/>
        <v>0.91773159619487565</v>
      </c>
      <c r="AM359">
        <f t="shared" si="211"/>
        <v>574</v>
      </c>
      <c r="AN359">
        <f t="shared" si="212"/>
        <v>-287</v>
      </c>
      <c r="AO359">
        <f t="shared" si="213"/>
        <v>287</v>
      </c>
      <c r="AP359" s="16" cm="1">
        <f t="array" ref="AP359">SUMPRODUCT(1362*POWER(0.7,POWER(1/($AI$2*AK359+$AJ$2*AL359*COS(RADIANS(0.25*(_xlfn.SEQUENCE(AO359-AN359,1,AN359+1))))+0.50572*POWER(96.07995-DEGREES(ACOS($AI$2*AK359+$AJ$2*AL359*COS(RADIANS(0.25*(_xlfn.SEQUENCE(AO359-AN359,1,AN359+1)))))),-1.6364)),0.678))*IF(AL359*COS(RADIANS(0.25*(_xlfn.SEQUENCE(AO359-AN359,1,AN359+1))))&gt;0,AL359*COS(RADIANS(0.25*(_xlfn.SEQUENCE(AO359-AN359,1,AN359+1)))),0)/60)</f>
        <v>4161.0909096602636</v>
      </c>
      <c r="AQ359" s="17" cm="1">
        <f t="array" ref="AQ359">SUMPRODUCT(1362*POWER(0.7,POWER(1/($AI$2*AK359+$AJ$2*AL359*COS(RADIANS(0.25*(_xlfn.SEQUENCE(AO359-AN359,1,AN359+1))))+0.50572*POWER(96.07995-DEGREES(ACOS($AI$2*AK359+$AJ$2*AL359*COS(RADIANS(0.25*(_xlfn.SEQUENCE(AO359-AN359,1,AN359+1)))))),-1.6364)),0.678))/60)</f>
        <v>5424.5674843464649</v>
      </c>
      <c r="AR359" s="15">
        <f t="shared" si="214"/>
        <v>1.3036407043530225</v>
      </c>
      <c r="AT359">
        <v>0.45841035739319536</v>
      </c>
      <c r="AU359">
        <v>62.715421749146238</v>
      </c>
      <c r="AV359">
        <v>2.1737397135777825</v>
      </c>
      <c r="AW359">
        <v>744.63998489375581</v>
      </c>
    </row>
    <row r="360" spans="4:49" ht="17" x14ac:dyDescent="0.2">
      <c r="D360" s="1">
        <f t="shared" si="215"/>
        <v>46381</v>
      </c>
      <c r="E360" s="6">
        <f t="shared" si="182"/>
        <v>0.5</v>
      </c>
      <c r="F360" s="2">
        <f t="shared" si="183"/>
        <v>2461400.3333333335</v>
      </c>
      <c r="G360" s="3">
        <f t="shared" si="184"/>
        <v>0.26982432124116329</v>
      </c>
      <c r="I360">
        <f t="shared" si="185"/>
        <v>274.34976561362419</v>
      </c>
      <c r="J360">
        <f t="shared" si="186"/>
        <v>10070.948408635599</v>
      </c>
      <c r="K360">
        <f t="shared" si="187"/>
        <v>1.6697282170593665E-2</v>
      </c>
      <c r="L360">
        <f t="shared" si="188"/>
        <v>-0.30734357439655602</v>
      </c>
      <c r="M360">
        <f t="shared" si="189"/>
        <v>274.04242203922763</v>
      </c>
      <c r="N360">
        <f t="shared" si="190"/>
        <v>10070.641065061202</v>
      </c>
      <c r="O360">
        <f t="shared" si="191"/>
        <v>0.98351872380567895</v>
      </c>
      <c r="P360">
        <f t="shared" si="192"/>
        <v>274.03959783867265</v>
      </c>
      <c r="Q360">
        <f t="shared" si="193"/>
        <v>23.435782268628255</v>
      </c>
      <c r="R360">
        <f t="shared" si="194"/>
        <v>23.437831152003557</v>
      </c>
      <c r="S360">
        <f t="shared" si="195"/>
        <v>-85.598500098183877</v>
      </c>
      <c r="T360" s="19">
        <f t="shared" si="196"/>
        <v>-23.376135524316684</v>
      </c>
      <c r="U360">
        <f t="shared" si="197"/>
        <v>4.3029015991022601E-2</v>
      </c>
      <c r="V360">
        <f t="shared" si="198"/>
        <v>-0.22370672821256735</v>
      </c>
      <c r="W360">
        <f t="shared" si="199"/>
        <v>71.766963943098034</v>
      </c>
      <c r="X360" s="6">
        <f t="shared" si="200"/>
        <v>0.50557721300570313</v>
      </c>
      <c r="Y360" s="6">
        <f t="shared" si="201"/>
        <v>0.30622453538598643</v>
      </c>
      <c r="Z360" s="6">
        <f t="shared" si="202"/>
        <v>0.70492989062541989</v>
      </c>
      <c r="AA360" s="19">
        <f t="shared" si="203"/>
        <v>574.13571154478427</v>
      </c>
      <c r="AB360">
        <f t="shared" si="204"/>
        <v>711.96881327178744</v>
      </c>
      <c r="AC360">
        <f t="shared" si="205"/>
        <v>-2.0077966820531401</v>
      </c>
      <c r="AD360">
        <f t="shared" si="180"/>
        <v>61.005387200565991</v>
      </c>
      <c r="AE360">
        <f t="shared" si="206"/>
        <v>28.994612799434009</v>
      </c>
      <c r="AF360">
        <f t="shared" si="207"/>
        <v>2.9007997766597515E-2</v>
      </c>
      <c r="AG360">
        <f t="shared" si="208"/>
        <v>29.023620797200607</v>
      </c>
      <c r="AH360">
        <f t="shared" si="181"/>
        <v>177.89286835258304</v>
      </c>
      <c r="AK360">
        <f t="shared" si="209"/>
        <v>-0.39676559884466939</v>
      </c>
      <c r="AL360">
        <f t="shared" si="210"/>
        <v>0.91791996359891359</v>
      </c>
      <c r="AM360">
        <f t="shared" si="211"/>
        <v>574</v>
      </c>
      <c r="AN360">
        <f t="shared" si="212"/>
        <v>-287</v>
      </c>
      <c r="AO360">
        <f t="shared" si="213"/>
        <v>287</v>
      </c>
      <c r="AP360" s="16" cm="1">
        <f t="array" ref="AP360">SUMPRODUCT(1362*POWER(0.7,POWER(1/($AI$2*AK360+$AJ$2*AL360*COS(RADIANS(0.25*(_xlfn.SEQUENCE(AO360-AN360,1,AN360+1))))+0.50572*POWER(96.07995-DEGREES(ACOS($AI$2*AK360+$AJ$2*AL360*COS(RADIANS(0.25*(_xlfn.SEQUENCE(AO360-AN360,1,AN360+1)))))),-1.6364)),0.678))*IF(AL360*COS(RADIANS(0.25*(_xlfn.SEQUENCE(AO360-AN360,1,AN360+1))))&gt;0,AL360*COS(RADIANS(0.25*(_xlfn.SEQUENCE(AO360-AN360,1,AN360+1)))),0)/60)</f>
        <v>4164.5550279199288</v>
      </c>
      <c r="AQ360" s="17" cm="1">
        <f t="array" ref="AQ360">SUMPRODUCT(1362*POWER(0.7,POWER(1/($AI$2*AK360+$AJ$2*AL360*COS(RADIANS(0.25*(_xlfn.SEQUENCE(AO360-AN360,1,AN360+1))))+0.50572*POWER(96.07995-DEGREES(ACOS($AI$2*AK360+$AJ$2*AL360*COS(RADIANS(0.25*(_xlfn.SEQUENCE(AO360-AN360,1,AN360+1)))))),-1.6364)),0.678))/60)</f>
        <v>5428.8018646112059</v>
      </c>
      <c r="AR360" s="15">
        <f t="shared" si="214"/>
        <v>1.3035730896135453</v>
      </c>
      <c r="AT360">
        <v>0.45745308083794634</v>
      </c>
      <c r="AU360">
        <v>62.777118813885892</v>
      </c>
      <c r="AV360">
        <v>2.1782490079426999</v>
      </c>
      <c r="AW360">
        <v>744.00808667329318</v>
      </c>
    </row>
    <row r="361" spans="4:49" ht="17" x14ac:dyDescent="0.2">
      <c r="D361" s="1">
        <f t="shared" si="215"/>
        <v>46382</v>
      </c>
      <c r="E361" s="6">
        <f t="shared" si="182"/>
        <v>0.5</v>
      </c>
      <c r="F361" s="2">
        <f t="shared" si="183"/>
        <v>2461401.3333333335</v>
      </c>
      <c r="G361" s="3">
        <f t="shared" si="184"/>
        <v>0.26985169974903461</v>
      </c>
      <c r="I361">
        <f t="shared" si="185"/>
        <v>275.33541297826923</v>
      </c>
      <c r="J361">
        <f t="shared" si="186"/>
        <v>10071.934008915052</v>
      </c>
      <c r="K361">
        <f t="shared" si="187"/>
        <v>1.6697281017811271E-2</v>
      </c>
      <c r="L361">
        <f t="shared" si="188"/>
        <v>-0.27412805062359447</v>
      </c>
      <c r="M361">
        <f t="shared" si="189"/>
        <v>275.06128492764566</v>
      </c>
      <c r="N361">
        <f t="shared" si="190"/>
        <v>10071.659880864428</v>
      </c>
      <c r="O361">
        <f t="shared" si="191"/>
        <v>0.98347453242169525</v>
      </c>
      <c r="P361">
        <f t="shared" si="192"/>
        <v>275.05846426159809</v>
      </c>
      <c r="Q361">
        <f t="shared" si="193"/>
        <v>23.435781912594166</v>
      </c>
      <c r="R361">
        <f t="shared" si="194"/>
        <v>23.437829376585878</v>
      </c>
      <c r="S361">
        <f t="shared" si="195"/>
        <v>-84.489326315209397</v>
      </c>
      <c r="T361" s="19">
        <f t="shared" si="196"/>
        <v>-23.341122830819486</v>
      </c>
      <c r="U361">
        <f t="shared" si="197"/>
        <v>4.3029009286698706E-2</v>
      </c>
      <c r="V361">
        <f t="shared" si="198"/>
        <v>-0.71633849896271473</v>
      </c>
      <c r="W361">
        <f t="shared" si="199"/>
        <v>71.800326401753736</v>
      </c>
      <c r="X361" s="6">
        <f t="shared" si="200"/>
        <v>0.50591931840205728</v>
      </c>
      <c r="Y361" s="6">
        <f t="shared" si="201"/>
        <v>0.30647396728607468</v>
      </c>
      <c r="Z361" s="6">
        <f t="shared" si="202"/>
        <v>0.70536466951803978</v>
      </c>
      <c r="AA361" s="19">
        <f t="shared" si="203"/>
        <v>574.40261121402989</v>
      </c>
      <c r="AB361">
        <f t="shared" si="204"/>
        <v>711.47618150103722</v>
      </c>
      <c r="AC361">
        <f t="shared" si="205"/>
        <v>-2.1309546247406956</v>
      </c>
      <c r="AD361">
        <f t="shared" si="180"/>
        <v>60.974092010768359</v>
      </c>
      <c r="AE361">
        <f t="shared" si="206"/>
        <v>29.025907989231641</v>
      </c>
      <c r="AF361">
        <f t="shared" si="207"/>
        <v>2.8970954838698649E-2</v>
      </c>
      <c r="AG361">
        <f t="shared" si="208"/>
        <v>29.054878944070339</v>
      </c>
      <c r="AH361">
        <f t="shared" si="181"/>
        <v>177.76234273223315</v>
      </c>
      <c r="AK361">
        <f t="shared" si="209"/>
        <v>-0.39620459604183172</v>
      </c>
      <c r="AL361">
        <f t="shared" si="210"/>
        <v>0.91816225040856969</v>
      </c>
      <c r="AM361">
        <f t="shared" si="211"/>
        <v>574</v>
      </c>
      <c r="AN361">
        <f t="shared" si="212"/>
        <v>-287</v>
      </c>
      <c r="AO361">
        <f t="shared" si="213"/>
        <v>287</v>
      </c>
      <c r="AP361" s="16" cm="1">
        <f t="array" ref="AP361">SUMPRODUCT(1362*POWER(0.7,POWER(1/($AI$2*AK361+$AJ$2*AL361*COS(RADIANS(0.25*(_xlfn.SEQUENCE(AO361-AN361,1,AN361+1))))+0.50572*POWER(96.07995-DEGREES(ACOS($AI$2*AK361+$AJ$2*AL361*COS(RADIANS(0.25*(_xlfn.SEQUENCE(AO361-AN361,1,AN361+1)))))),-1.6364)),0.678))*IF(AL361*COS(RADIANS(0.25*(_xlfn.SEQUENCE(AO361-AN361,1,AN361+1))))&gt;0,AL361*COS(RADIANS(0.25*(_xlfn.SEQUENCE(AO361-AN361,1,AN361+1)))),0)/60)</f>
        <v>4169.0125412561274</v>
      </c>
      <c r="AQ361" s="17" cm="1">
        <f t="array" ref="AQ361">SUMPRODUCT(1362*POWER(0.7,POWER(1/($AI$2*AK361+$AJ$2*AL361*COS(RADIANS(0.25*(_xlfn.SEQUENCE(AO361-AN361,1,AN361+1))))+0.50572*POWER(96.07995-DEGREES(ACOS($AI$2*AK361+$AJ$2*AL361*COS(RADIANS(0.25*(_xlfn.SEQUENCE(AO361-AN361,1,AN361+1)))))),-1.6364)),0.678))/60)</f>
        <v>5434.2510728342795</v>
      </c>
      <c r="AR361" s="15">
        <f t="shared" si="214"/>
        <v>1.3034863817408748</v>
      </c>
      <c r="AT361">
        <v>0.45648256598098969</v>
      </c>
      <c r="AU361">
        <v>62.839634225766957</v>
      </c>
      <c r="AV361">
        <v>2.1828396964692116</v>
      </c>
      <c r="AW361">
        <v>743.36576530371644</v>
      </c>
    </row>
    <row r="362" spans="4:49" ht="17" x14ac:dyDescent="0.2">
      <c r="D362" s="1">
        <f t="shared" si="215"/>
        <v>46383</v>
      </c>
      <c r="E362" s="6">
        <f t="shared" si="182"/>
        <v>0.5</v>
      </c>
      <c r="F362" s="2">
        <f t="shared" si="183"/>
        <v>2461402.3333333335</v>
      </c>
      <c r="G362" s="3">
        <f t="shared" si="184"/>
        <v>0.26987907825690594</v>
      </c>
      <c r="I362">
        <f t="shared" si="185"/>
        <v>276.32106034291246</v>
      </c>
      <c r="J362">
        <f t="shared" si="186"/>
        <v>10072.919609194505</v>
      </c>
      <c r="K362">
        <f t="shared" si="187"/>
        <v>1.6697279865028686E-2</v>
      </c>
      <c r="L362">
        <f t="shared" si="188"/>
        <v>-0.24082621252094566</v>
      </c>
      <c r="M362">
        <f t="shared" si="189"/>
        <v>276.08023413039149</v>
      </c>
      <c r="N362">
        <f t="shared" si="190"/>
        <v>10072.678782981984</v>
      </c>
      <c r="O362">
        <f t="shared" si="191"/>
        <v>0.98343539519088219</v>
      </c>
      <c r="P362">
        <f t="shared" si="192"/>
        <v>276.07741699640042</v>
      </c>
      <c r="Q362">
        <f t="shared" si="193"/>
        <v>23.435781556560077</v>
      </c>
      <c r="R362">
        <f t="shared" si="194"/>
        <v>23.437827599419304</v>
      </c>
      <c r="S362">
        <f t="shared" si="195"/>
        <v>-83.38070860719985</v>
      </c>
      <c r="T362" s="19">
        <f t="shared" si="196"/>
        <v>-23.298299615727277</v>
      </c>
      <c r="U362">
        <f t="shared" si="197"/>
        <v>4.3029002575771219E-2</v>
      </c>
      <c r="V362">
        <f t="shared" si="198"/>
        <v>-1.2067788288994616</v>
      </c>
      <c r="W362">
        <f t="shared" si="199"/>
        <v>71.841099282157529</v>
      </c>
      <c r="X362" s="6">
        <f t="shared" si="200"/>
        <v>0.50625990196451343</v>
      </c>
      <c r="Y362" s="6">
        <f t="shared" si="201"/>
        <v>0.30670129284740916</v>
      </c>
      <c r="Z362" s="6">
        <f t="shared" si="202"/>
        <v>0.70581851108161764</v>
      </c>
      <c r="AA362" s="19">
        <f t="shared" si="203"/>
        <v>574.72879425726023</v>
      </c>
      <c r="AB362">
        <f t="shared" si="204"/>
        <v>710.98574117110047</v>
      </c>
      <c r="AC362">
        <f t="shared" si="205"/>
        <v>-2.2535647072248821</v>
      </c>
      <c r="AD362">
        <f t="shared" si="180"/>
        <v>60.93519787862909</v>
      </c>
      <c r="AE362">
        <f t="shared" si="206"/>
        <v>29.06480212137091</v>
      </c>
      <c r="AF362">
        <f t="shared" si="207"/>
        <v>2.8925017286196862E-2</v>
      </c>
      <c r="AG362">
        <f t="shared" si="208"/>
        <v>29.093727138657108</v>
      </c>
      <c r="AH362">
        <f t="shared" si="181"/>
        <v>177.63193054224962</v>
      </c>
      <c r="AK362">
        <f t="shared" si="209"/>
        <v>-0.39551824537621594</v>
      </c>
      <c r="AL362">
        <f t="shared" si="210"/>
        <v>0.91845811966279634</v>
      </c>
      <c r="AM362">
        <f t="shared" si="211"/>
        <v>575</v>
      </c>
      <c r="AN362">
        <f t="shared" si="212"/>
        <v>-287.5</v>
      </c>
      <c r="AO362">
        <f t="shared" si="213"/>
        <v>287.5</v>
      </c>
      <c r="AP362" s="16" cm="1">
        <f t="array" ref="AP362">SUMPRODUCT(1362*POWER(0.7,POWER(1/($AI$2*AK362+$AJ$2*AL362*COS(RADIANS(0.25*(_xlfn.SEQUENCE(AO362-AN362,1,AN362+1))))+0.50572*POWER(96.07995-DEGREES(ACOS($AI$2*AK362+$AJ$2*AL362*COS(RADIANS(0.25*(_xlfn.SEQUENCE(AO362-AN362,1,AN362+1)))))),-1.6364)),0.678))*IF(AL362*COS(RADIANS(0.25*(_xlfn.SEQUENCE(AO362-AN362,1,AN362+1))))&gt;0,AL362*COS(RADIANS(0.25*(_xlfn.SEQUENCE(AO362-AN362,1,AN362+1)))),0)/60)</f>
        <v>4174.494382289864</v>
      </c>
      <c r="AQ362" s="17" cm="1">
        <f t="array" ref="AQ362">SUMPRODUCT(1362*POWER(0.7,POWER(1/($AI$2*AK362+$AJ$2*AL362*COS(RADIANS(0.25*(_xlfn.SEQUENCE(AO362-AN362,1,AN362+1))))+0.50572*POWER(96.07995-DEGREES(ACOS($AI$2*AK362+$AJ$2*AL362*COS(RADIANS(0.25*(_xlfn.SEQUENCE(AO362-AN362,1,AN362+1)))))),-1.6364)),0.678))/60)</f>
        <v>5441.0343206222442</v>
      </c>
      <c r="AR362" s="15">
        <f t="shared" si="214"/>
        <v>1.3033996030047683</v>
      </c>
      <c r="AT362">
        <v>0.45549883129952917</v>
      </c>
      <c r="AU362">
        <v>62.902965494971454</v>
      </c>
      <c r="AV362">
        <v>2.1875125980450036</v>
      </c>
      <c r="AW362">
        <v>742.71295632460919</v>
      </c>
    </row>
    <row r="363" spans="4:49" ht="17" x14ac:dyDescent="0.2">
      <c r="D363" s="1">
        <f t="shared" si="215"/>
        <v>46384</v>
      </c>
      <c r="E363" s="6">
        <f t="shared" si="182"/>
        <v>0.5</v>
      </c>
      <c r="F363" s="2">
        <f t="shared" si="183"/>
        <v>2461403.3333333335</v>
      </c>
      <c r="G363" s="3">
        <f t="shared" si="184"/>
        <v>0.26990645676477726</v>
      </c>
      <c r="I363">
        <f t="shared" si="185"/>
        <v>277.30670770755751</v>
      </c>
      <c r="J363">
        <f t="shared" si="186"/>
        <v>10073.90520947396</v>
      </c>
      <c r="K363">
        <f t="shared" si="187"/>
        <v>1.6697278712245911E-2</v>
      </c>
      <c r="L363">
        <f t="shared" si="188"/>
        <v>-0.20744853517829703</v>
      </c>
      <c r="M363">
        <f t="shared" si="189"/>
        <v>277.09925917237922</v>
      </c>
      <c r="N363">
        <f t="shared" si="190"/>
        <v>10073.697760938781</v>
      </c>
      <c r="O363">
        <f t="shared" si="191"/>
        <v>0.98340132489146437</v>
      </c>
      <c r="P363">
        <f t="shared" si="192"/>
        <v>277.09644556799066</v>
      </c>
      <c r="Q363">
        <f t="shared" si="193"/>
        <v>23.435781200525987</v>
      </c>
      <c r="R363">
        <f t="shared" si="194"/>
        <v>23.437825820505044</v>
      </c>
      <c r="S363">
        <f t="shared" si="195"/>
        <v>-82.272786673722408</v>
      </c>
      <c r="T363" s="19">
        <f t="shared" si="196"/>
        <v>-23.247685512905402</v>
      </c>
      <c r="U363">
        <f t="shared" si="197"/>
        <v>4.3028995858244698E-2</v>
      </c>
      <c r="V363">
        <f t="shared" si="198"/>
        <v>-1.69448567300129</v>
      </c>
      <c r="W363">
        <f t="shared" si="199"/>
        <v>71.889244817824334</v>
      </c>
      <c r="X363" s="6">
        <f t="shared" si="200"/>
        <v>0.50659858727291751</v>
      </c>
      <c r="Y363" s="6">
        <f t="shared" si="201"/>
        <v>0.30690624055673882</v>
      </c>
      <c r="Z363" s="6">
        <f t="shared" si="202"/>
        <v>0.70629093398909626</v>
      </c>
      <c r="AA363" s="19">
        <f t="shared" si="203"/>
        <v>575.11395854259467</v>
      </c>
      <c r="AB363">
        <f t="shared" si="204"/>
        <v>710.49803432699878</v>
      </c>
      <c r="AC363">
        <f t="shared" si="205"/>
        <v>-2.3754914182503057</v>
      </c>
      <c r="AD363">
        <f t="shared" si="180"/>
        <v>60.888718813708785</v>
      </c>
      <c r="AE363">
        <f t="shared" si="206"/>
        <v>29.111281186291215</v>
      </c>
      <c r="AF363">
        <f t="shared" si="207"/>
        <v>2.8870265941604932E-2</v>
      </c>
      <c r="AG363">
        <f t="shared" si="208"/>
        <v>29.140151452232821</v>
      </c>
      <c r="AH363">
        <f t="shared" si="181"/>
        <v>177.50172408355706</v>
      </c>
      <c r="AK363">
        <f t="shared" si="209"/>
        <v>-0.39470674110510989</v>
      </c>
      <c r="AL363">
        <f t="shared" si="210"/>
        <v>0.91880715524324463</v>
      </c>
      <c r="AM363">
        <f t="shared" si="211"/>
        <v>575</v>
      </c>
      <c r="AN363">
        <f t="shared" si="212"/>
        <v>-287.5</v>
      </c>
      <c r="AO363">
        <f t="shared" si="213"/>
        <v>287.5</v>
      </c>
      <c r="AP363" s="16" cm="1">
        <f t="array" ref="AP363">SUMPRODUCT(1362*POWER(0.7,POWER(1/($AI$2*AK363+$AJ$2*AL363*COS(RADIANS(0.25*(_xlfn.SEQUENCE(AO363-AN363,1,AN363+1))))+0.50572*POWER(96.07995-DEGREES(ACOS($AI$2*AK363+$AJ$2*AL363*COS(RADIANS(0.25*(_xlfn.SEQUENCE(AO363-AN363,1,AN363+1)))))),-1.6364)),0.678))*IF(AL363*COS(RADIANS(0.25*(_xlfn.SEQUENCE(AO363-AN363,1,AN363+1))))&gt;0,AL363*COS(RADIANS(0.25*(_xlfn.SEQUENCE(AO363-AN363,1,AN363+1)))),0)/60)</f>
        <v>4180.9245693792445</v>
      </c>
      <c r="AQ363" s="17" cm="1">
        <f t="array" ref="AQ363">SUMPRODUCT(1362*POWER(0.7,POWER(1/($AI$2*AK363+$AJ$2*AL363*COS(RADIANS(0.25*(_xlfn.SEQUENCE(AO363-AN363,1,AN363+1))))+0.50572*POWER(96.07995-DEGREES(ACOS($AI$2*AK363+$AJ$2*AL363*COS(RADIANS(0.25*(_xlfn.SEQUENCE(AO363-AN363,1,AN363+1)))))),-1.6364)),0.678))/60)</f>
        <v>5448.9007560692908</v>
      </c>
      <c r="AR363" s="15">
        <f t="shared" si="214"/>
        <v>1.3032765039524037</v>
      </c>
      <c r="AT363">
        <v>0.45450189552245535</v>
      </c>
      <c r="AU363">
        <v>62.967110109176637</v>
      </c>
      <c r="AV363">
        <v>2.1922685506311428</v>
      </c>
      <c r="AW363">
        <v>742.04959398649373</v>
      </c>
    </row>
    <row r="364" spans="4:49" ht="17" x14ac:dyDescent="0.2">
      <c r="D364" s="1">
        <f t="shared" si="215"/>
        <v>46385</v>
      </c>
      <c r="E364" s="6">
        <f t="shared" si="182"/>
        <v>0.5</v>
      </c>
      <c r="F364" s="2">
        <f t="shared" si="183"/>
        <v>2461404.3333333335</v>
      </c>
      <c r="G364" s="3">
        <f t="shared" si="184"/>
        <v>0.26993383527264858</v>
      </c>
      <c r="I364">
        <f t="shared" si="185"/>
        <v>278.29235507220437</v>
      </c>
      <c r="J364">
        <f t="shared" si="186"/>
        <v>10074.890809753413</v>
      </c>
      <c r="K364">
        <f t="shared" si="187"/>
        <v>1.6697277559462948E-2</v>
      </c>
      <c r="L364">
        <f t="shared" si="188"/>
        <v>-0.17400552191578009</v>
      </c>
      <c r="M364">
        <f t="shared" si="189"/>
        <v>278.1183495502886</v>
      </c>
      <c r="N364">
        <f t="shared" si="190"/>
        <v>10074.716804231497</v>
      </c>
      <c r="O364">
        <f t="shared" si="191"/>
        <v>0.98337233264967194</v>
      </c>
      <c r="P364">
        <f t="shared" si="192"/>
        <v>278.11553947304566</v>
      </c>
      <c r="Q364">
        <f t="shared" si="193"/>
        <v>23.435780844491902</v>
      </c>
      <c r="R364">
        <f t="shared" si="194"/>
        <v>23.437824039844315</v>
      </c>
      <c r="S364">
        <f t="shared" si="195"/>
        <v>-81.165698746649539</v>
      </c>
      <c r="T364" s="19">
        <f t="shared" si="196"/>
        <v>-23.18930425978866</v>
      </c>
      <c r="U364">
        <f t="shared" si="197"/>
        <v>4.3028989134123723E-2</v>
      </c>
      <c r="V364">
        <f t="shared" si="198"/>
        <v>-2.178922146989493</v>
      </c>
      <c r="W364">
        <f t="shared" si="199"/>
        <v>71.944718084078062</v>
      </c>
      <c r="X364" s="6">
        <f t="shared" si="200"/>
        <v>0.50693500149096482</v>
      </c>
      <c r="Y364" s="6">
        <f t="shared" si="201"/>
        <v>0.30708856236852577</v>
      </c>
      <c r="Z364" s="6">
        <f t="shared" si="202"/>
        <v>0.70678144061340387</v>
      </c>
      <c r="AA364" s="19">
        <f t="shared" si="203"/>
        <v>575.55774467262449</v>
      </c>
      <c r="AB364">
        <f t="shared" si="204"/>
        <v>710.01359785301042</v>
      </c>
      <c r="AC364">
        <f t="shared" si="205"/>
        <v>-2.496600536747394</v>
      </c>
      <c r="AD364">
        <f t="shared" si="180"/>
        <v>60.834672164024624</v>
      </c>
      <c r="AE364">
        <f t="shared" si="206"/>
        <v>29.165327835975376</v>
      </c>
      <c r="AF364">
        <f t="shared" si="207"/>
        <v>2.8806797348061935E-2</v>
      </c>
      <c r="AG364">
        <f t="shared" si="208"/>
        <v>29.194134633323436</v>
      </c>
      <c r="AH364">
        <f t="shared" si="181"/>
        <v>177.37181531578858</v>
      </c>
      <c r="AK364">
        <f t="shared" si="209"/>
        <v>-0.39377032232721842</v>
      </c>
      <c r="AL364">
        <f t="shared" si="210"/>
        <v>0.9192088626935222</v>
      </c>
      <c r="AM364">
        <f t="shared" si="211"/>
        <v>576</v>
      </c>
      <c r="AN364">
        <f t="shared" si="212"/>
        <v>-288</v>
      </c>
      <c r="AO364">
        <f t="shared" si="213"/>
        <v>288</v>
      </c>
      <c r="AP364" s="16" cm="1">
        <f t="array" ref="AP364">SUMPRODUCT(1362*POWER(0.7,POWER(1/($AI$2*AK364+$AJ$2*AL364*COS(RADIANS(0.25*(_xlfn.SEQUENCE(AO364-AN364,1,AN364+1))))+0.50572*POWER(96.07995-DEGREES(ACOS($AI$2*AK364+$AJ$2*AL364*COS(RADIANS(0.25*(_xlfn.SEQUENCE(AO364-AN364,1,AN364+1)))))),-1.6364)),0.678))*IF(AL364*COS(RADIANS(0.25*(_xlfn.SEQUENCE(AO364-AN364,1,AN364+1))))&gt;0,AL364*COS(RADIANS(0.25*(_xlfn.SEQUENCE(AO364-AN364,1,AN364+1)))),0)/60)</f>
        <v>4188.3653209867261</v>
      </c>
      <c r="AQ364" s="17" cm="1">
        <f t="array" ref="AQ364">SUMPRODUCT(1362*POWER(0.7,POWER(1/($AI$2*AK364+$AJ$2*AL364*COS(RADIANS(0.25*(_xlfn.SEQUENCE(AO364-AN364,1,AN364+1))))+0.50572*POWER(96.07995-DEGREES(ACOS($AI$2*AK364+$AJ$2*AL364*COS(RADIANS(0.25*(_xlfn.SEQUENCE(AO364-AN364,1,AN364+1)))))),-1.6364)),0.678))/60)</f>
        <v>5458.0848382971781</v>
      </c>
      <c r="AR364" s="15">
        <f t="shared" si="214"/>
        <v>1.3031539562578849</v>
      </c>
      <c r="AT364">
        <v>0.45349177762998805</v>
      </c>
      <c r="AU364">
        <v>63.032065533990931</v>
      </c>
      <c r="AV364">
        <v>2.1971084116583994</v>
      </c>
      <c r="AW364">
        <v>741.37561123221644</v>
      </c>
    </row>
    <row r="365" spans="4:49" ht="17" x14ac:dyDescent="0.2">
      <c r="D365" s="1">
        <f t="shared" si="215"/>
        <v>46386</v>
      </c>
      <c r="E365" s="6">
        <f t="shared" si="182"/>
        <v>0.5</v>
      </c>
      <c r="F365" s="2">
        <f t="shared" si="183"/>
        <v>2461405.3333333335</v>
      </c>
      <c r="G365" s="3">
        <f t="shared" si="184"/>
        <v>0.2699612137805199</v>
      </c>
      <c r="I365">
        <f t="shared" si="185"/>
        <v>279.27800243684942</v>
      </c>
      <c r="J365">
        <f t="shared" si="186"/>
        <v>10075.876410032864</v>
      </c>
      <c r="K365">
        <f t="shared" si="187"/>
        <v>1.6697276406679794E-2</v>
      </c>
      <c r="L365">
        <f t="shared" si="188"/>
        <v>-0.14050770038442245</v>
      </c>
      <c r="M365">
        <f t="shared" si="189"/>
        <v>279.13749473646499</v>
      </c>
      <c r="N365">
        <f t="shared" si="190"/>
        <v>10075.735902332481</v>
      </c>
      <c r="O365">
        <f t="shared" si="191"/>
        <v>0.98334842793509136</v>
      </c>
      <c r="P365">
        <f t="shared" si="192"/>
        <v>279.13468818390766</v>
      </c>
      <c r="Q365">
        <f t="shared" si="193"/>
        <v>23.435780488457812</v>
      </c>
      <c r="R365">
        <f t="shared" si="194"/>
        <v>23.437822257438334</v>
      </c>
      <c r="S365">
        <f t="shared" si="195"/>
        <v>-80.059581330393542</v>
      </c>
      <c r="T365" s="19">
        <f t="shared" si="196"/>
        <v>-23.123183657815673</v>
      </c>
      <c r="U365">
        <f t="shared" si="197"/>
        <v>4.3028982403412935E-2</v>
      </c>
      <c r="V365">
        <f t="shared" si="198"/>
        <v>-2.6595574142614087</v>
      </c>
      <c r="W365">
        <f t="shared" si="199"/>
        <v>72.007467155861207</v>
      </c>
      <c r="X365" s="6">
        <f t="shared" si="200"/>
        <v>0.50726877598212594</v>
      </c>
      <c r="Y365" s="6">
        <f t="shared" si="201"/>
        <v>0.30724803388251143</v>
      </c>
      <c r="Z365" s="6">
        <f t="shared" si="202"/>
        <v>0.70728951808174034</v>
      </c>
      <c r="AA365" s="19">
        <f t="shared" si="203"/>
        <v>576.05973724688965</v>
      </c>
      <c r="AB365">
        <f t="shared" si="204"/>
        <v>709.53296258573869</v>
      </c>
      <c r="AC365">
        <f t="shared" si="205"/>
        <v>-2.6167593535653282</v>
      </c>
      <c r="AD365">
        <f t="shared" si="180"/>
        <v>60.773078595938664</v>
      </c>
      <c r="AE365">
        <f t="shared" si="206"/>
        <v>29.226921404061336</v>
      </c>
      <c r="AF365">
        <f t="shared" si="207"/>
        <v>2.873472329787715E-2</v>
      </c>
      <c r="AG365">
        <f t="shared" si="208"/>
        <v>29.255656127359213</v>
      </c>
      <c r="AH365">
        <f t="shared" si="181"/>
        <v>177.24229580702047</v>
      </c>
      <c r="AK365">
        <f t="shared" si="209"/>
        <v>-0.39270927291630847</v>
      </c>
      <c r="AL365">
        <f t="shared" si="210"/>
        <v>0.9196626702033438</v>
      </c>
      <c r="AM365">
        <f t="shared" si="211"/>
        <v>576</v>
      </c>
      <c r="AN365">
        <f t="shared" si="212"/>
        <v>-288</v>
      </c>
      <c r="AO365">
        <f t="shared" si="213"/>
        <v>288</v>
      </c>
      <c r="AP365" s="16" cm="1">
        <f t="array" ref="AP365">SUMPRODUCT(1362*POWER(0.7,POWER(1/($AI$2*AK365+$AJ$2*AL365*COS(RADIANS(0.25*(_xlfn.SEQUENCE(AO365-AN365,1,AN365+1))))+0.50572*POWER(96.07995-DEGREES(ACOS($AI$2*AK365+$AJ$2*AL365*COS(RADIANS(0.25*(_xlfn.SEQUENCE(AO365-AN365,1,AN365+1)))))),-1.6364)),0.678))*IF(AL365*COS(RADIANS(0.25*(_xlfn.SEQUENCE(AO365-AN365,1,AN365+1))))&gt;0,AL365*COS(RADIANS(0.25*(_xlfn.SEQUENCE(AO365-AN365,1,AN365+1)))),0)/60)</f>
        <v>4196.7405768112721</v>
      </c>
      <c r="AQ365" s="17" cm="1">
        <f t="array" ref="AQ365">SUMPRODUCT(1362*POWER(0.7,POWER(1/($AI$2*AK365+$AJ$2*AL365*COS(RADIANS(0.25*(_xlfn.SEQUENCE(AO365-AN365,1,AN365+1))))+0.50572*POWER(96.07995-DEGREES(ACOS($AI$2*AK365+$AJ$2*AL365*COS(RADIANS(0.25*(_xlfn.SEQUENCE(AO365-AN365,1,AN365+1)))))),-1.6364)),0.678))/60)</f>
        <v>5468.3394199593113</v>
      </c>
      <c r="AR365" s="15">
        <f t="shared" si="214"/>
        <v>1.3029967709164938</v>
      </c>
      <c r="AT365">
        <v>0.45246849685331614</v>
      </c>
      <c r="AU365">
        <v>63.097829213390341</v>
      </c>
      <c r="AV365">
        <v>2.2020330584356058</v>
      </c>
      <c r="AW365">
        <v>740.69093967787137</v>
      </c>
    </row>
    <row r="366" spans="4:49" ht="17" x14ac:dyDescent="0.2">
      <c r="D366" s="1">
        <f t="shared" si="215"/>
        <v>46387</v>
      </c>
      <c r="E366" s="6">
        <f t="shared" si="182"/>
        <v>0.5</v>
      </c>
      <c r="F366" s="2">
        <f t="shared" si="183"/>
        <v>2461406.3333333335</v>
      </c>
      <c r="G366" s="3">
        <f t="shared" si="184"/>
        <v>0.26998859228839123</v>
      </c>
      <c r="I366">
        <f t="shared" si="185"/>
        <v>280.26364980149629</v>
      </c>
      <c r="J366">
        <f t="shared" si="186"/>
        <v>10076.862010312318</v>
      </c>
      <c r="K366">
        <f t="shared" si="187"/>
        <v>1.669727525389645E-2</v>
      </c>
      <c r="L366">
        <f t="shared" si="188"/>
        <v>-0.1069656186534086</v>
      </c>
      <c r="M366">
        <f t="shared" si="189"/>
        <v>280.15668418284287</v>
      </c>
      <c r="N366">
        <f t="shared" si="190"/>
        <v>10076.755044693664</v>
      </c>
      <c r="O366">
        <f t="shared" si="191"/>
        <v>0.9833296185567082</v>
      </c>
      <c r="P366">
        <f t="shared" si="192"/>
        <v>280.15388115250818</v>
      </c>
      <c r="Q366">
        <f t="shared" si="193"/>
        <v>23.435780132423726</v>
      </c>
      <c r="R366">
        <f t="shared" si="194"/>
        <v>23.437820473288323</v>
      </c>
      <c r="S366">
        <f t="shared" si="195"/>
        <v>-78.954568948622153</v>
      </c>
      <c r="T366" s="19">
        <f t="shared" si="196"/>
        <v>-23.049355526081666</v>
      </c>
      <c r="U366">
        <f t="shared" si="197"/>
        <v>4.3028975666116888E-2</v>
      </c>
      <c r="V366">
        <f t="shared" si="198"/>
        <v>-3.1358675568436847</v>
      </c>
      <c r="W366">
        <f t="shared" si="199"/>
        <v>72.077433288777087</v>
      </c>
      <c r="X366" s="6">
        <f t="shared" si="200"/>
        <v>0.50759954691447484</v>
      </c>
      <c r="Y366" s="6">
        <f t="shared" si="201"/>
        <v>0.30738445444564955</v>
      </c>
      <c r="Z366" s="6">
        <f t="shared" si="202"/>
        <v>0.70781463938330003</v>
      </c>
      <c r="AA366" s="19">
        <f t="shared" si="203"/>
        <v>576.61946631021669</v>
      </c>
      <c r="AB366">
        <f t="shared" si="204"/>
        <v>709.05665244315628</v>
      </c>
      <c r="AC366">
        <f t="shared" si="205"/>
        <v>-2.7358368892109297</v>
      </c>
      <c r="AD366">
        <f t="shared" si="180"/>
        <v>60.703962070264794</v>
      </c>
      <c r="AE366">
        <f t="shared" si="206"/>
        <v>29.296037929735206</v>
      </c>
      <c r="AF366">
        <f t="shared" si="207"/>
        <v>2.8654170302497672E-2</v>
      </c>
      <c r="AG366">
        <f t="shared" si="208"/>
        <v>29.324692100037705</v>
      </c>
      <c r="AH366">
        <f t="shared" si="181"/>
        <v>177.1132566825105</v>
      </c>
      <c r="AK366">
        <f t="shared" si="209"/>
        <v>-0.39152392143099718</v>
      </c>
      <c r="AL366">
        <f t="shared" si="210"/>
        <v>0.92016792975374573</v>
      </c>
      <c r="AM366">
        <f t="shared" si="211"/>
        <v>577</v>
      </c>
      <c r="AN366">
        <f t="shared" si="212"/>
        <v>-288.5</v>
      </c>
      <c r="AO366">
        <f t="shared" si="213"/>
        <v>288.5</v>
      </c>
      <c r="AP366" s="16" cm="1">
        <f t="array" ref="AP366">SUMPRODUCT(1362*POWER(0.7,POWER(1/($AI$2*AK366+$AJ$2*AL366*COS(RADIANS(0.25*(_xlfn.SEQUENCE(AO366-AN366,1,AN366+1))))+0.50572*POWER(96.07995-DEGREES(ACOS($AI$2*AK366+$AJ$2*AL366*COS(RADIANS(0.25*(_xlfn.SEQUENCE(AO366-AN366,1,AN366+1)))))),-1.6364)),0.678))*IF(AL366*COS(RADIANS(0.25*(_xlfn.SEQUENCE(AO366-AN366,1,AN366+1))))&gt;0,AL366*COS(RADIANS(0.25*(_xlfn.SEQUENCE(AO366-AN366,1,AN366+1)))),0)/60)</f>
        <v>4206.1090307794821</v>
      </c>
      <c r="AQ366" s="17" cm="1">
        <f t="array" ref="AQ366">SUMPRODUCT(1362*POWER(0.7,POWER(1/($AI$2*AK366+$AJ$2*AL366*COS(RADIANS(0.25*(_xlfn.SEQUENCE(AO366-AN366,1,AN366+1))))+0.50572*POWER(96.07995-DEGREES(ACOS($AI$2*AK366+$AJ$2*AL366*COS(RADIANS(0.25*(_xlfn.SEQUENCE(AO366-AN366,1,AN366+1)))))),-1.6364)),0.678))/60)</f>
        <v>5479.8933828200234</v>
      </c>
      <c r="AR366" s="15">
        <f t="shared" si="214"/>
        <v>1.3028414961949957</v>
      </c>
      <c r="AT366">
        <v>0.45143207267423047</v>
      </c>
      <c r="AU366">
        <v>63.164398570155548</v>
      </c>
      <c r="AV366">
        <v>2.2070433885704577</v>
      </c>
      <c r="AW366">
        <v>739.99550959325188</v>
      </c>
    </row>
    <row r="367" spans="4:49" ht="17" x14ac:dyDescent="0.2">
      <c r="D367" s="1">
        <f t="shared" si="215"/>
        <v>46388</v>
      </c>
      <c r="E367" s="6">
        <f t="shared" si="182"/>
        <v>0.5</v>
      </c>
      <c r="F367" s="2">
        <f t="shared" si="183"/>
        <v>2461407.3333333335</v>
      </c>
      <c r="G367" s="3">
        <f>(F367-2451545)/36525</f>
        <v>0.27001597079626249</v>
      </c>
      <c r="I367">
        <f>MOD(280.46646+G367*(36000.76983 + G367*0.0003032),360)</f>
        <v>281.24929716614133</v>
      </c>
      <c r="J367">
        <f>357.52911+G367*(35999.05029 - 0.0001537*G367)</f>
        <v>10077.847610591767</v>
      </c>
      <c r="K367">
        <f t="shared" si="187"/>
        <v>1.6697274101112915E-2</v>
      </c>
      <c r="L367">
        <f>SIN(RADIANS(J367))*(1.914602-G367*(0.004817+0.000014*G367))+SIN(RADIANS(2*J367))*(0.019993-0.000101*G367)+SIN(RADIANS(3*J367))*0.000289</f>
        <v>-7.3389841286005342E-2</v>
      </c>
      <c r="M367">
        <f>I367+L367</f>
        <v>281.1759073248553</v>
      </c>
      <c r="N367">
        <f>J367+L367</f>
        <v>10077.774220750482</v>
      </c>
      <c r="O367">
        <f>(1.000001018*(1-K367*K367))/(1+K367*COS(RADIANS(N367)))</f>
        <v>0.98331591065964097</v>
      </c>
      <c r="P367">
        <f>M367-0.00569-0.00478*SIN(RADIANS(125.04-1934.136*G367))</f>
        <v>281.17310781427727</v>
      </c>
      <c r="Q367">
        <f>23+(26+((21.448-G367*(46.815+G367*(0.00059-G367*0.001813))))/60)/60</f>
        <v>23.435779776389637</v>
      </c>
      <c r="R367">
        <f>Q367+0.00256*COS(RADIANS(125.04-1934.136*G367))</f>
        <v>23.437818687395495</v>
      </c>
      <c r="S367">
        <f t="shared" si="195"/>
        <v>-77.850793898394684</v>
      </c>
      <c r="T367" s="19">
        <f>DEGREES(ASIN(SIN(RADIANS(R367))*SIN(RADIANS(P367))))</f>
        <v>-22.967855648424123</v>
      </c>
      <c r="U367">
        <f>TAN(RADIANS(R367/2))*TAN(RADIANS(R367/2))</f>
        <v>4.3028968922240222E-2</v>
      </c>
      <c r="V367">
        <f>4*DEGREES(U367*SIN(2*RADIANS(I367))-2*K367*SIN(RADIANS(J367))+4*K367*U367*SIN(RADIANS(J367))*COS(2*RADIANS(I367))-0.5*U367*U367*SIN(4*RADIANS(I367))-1.25*K367*K367*SIN(2*RADIANS(J367)))</f>
        <v>-3.6073364281657456</v>
      </c>
      <c r="W367">
        <f t="shared" si="199"/>
        <v>72.154551122086019</v>
      </c>
      <c r="X367" s="6">
        <f t="shared" si="200"/>
        <v>0.50792695585289294</v>
      </c>
      <c r="Y367" s="6">
        <f t="shared" si="201"/>
        <v>0.30749764718043182</v>
      </c>
      <c r="Z367" s="6">
        <f t="shared" si="202"/>
        <v>0.70835626452535416</v>
      </c>
      <c r="AA367" s="19">
        <f>8*W367</f>
        <v>577.23640897668815</v>
      </c>
      <c r="AB367">
        <f t="shared" si="204"/>
        <v>708.58518357183425</v>
      </c>
      <c r="AC367">
        <f>IF(AB367/4&lt;0,AB367/4+180,AB367/4-180)</f>
        <v>-2.8537041070414375</v>
      </c>
      <c r="AD367">
        <f>DEGREES(ACOS(SIN(RADIANS($B$2))*SIN(RADIANS(T367))+COS(RADIANS($B$2))*COS(RADIANS(T367))*COS(RADIANS(AC367))))</f>
        <v>60.627349814713988</v>
      </c>
      <c r="AE367">
        <f>90-AD367</f>
        <v>29.372650185286012</v>
      </c>
      <c r="AF367">
        <f>IF(AE367&gt;85,0,IF(AE367&gt;5,58.1/TAN(RADIANS(AE367))-0.07/POWER(TAN(RADIANS(AE367)),3)+0.000086/POWER(TAN(RADIANS(AE367)),5),IF(AE367&gt;-0.575,1735+AE367*(-518.2+AE367*(103.4+AE367*(-12.79+AE367*0.711))),-20.772/TAN(RADIANS(AE367)))))/3600</f>
        <v>2.8565278998656466E-2</v>
      </c>
      <c r="AG367">
        <f>AE367+AF367</f>
        <v>29.401215464284668</v>
      </c>
      <c r="AH367">
        <f>IF(AC367&gt;0,MOD(DEGREES(ACOS(((SIN(RADIANS($B$2))*COS(RADIANS(AD367)))-SIN(RADIANS(T367)))/(COS(RADIANS($B$2))*SIN(RADIANS(AD367)))))+180,360),MOD(540-DEGREES(ACOS(((SIN(RADIANS($B$2))*COS(RADIANS(AD367)))-SIN(RADIANS(T367)))/(COS(RADIANS($B$2))*SIN(RADIANS(AD367))))),360))</f>
        <v>176.98478857231783</v>
      </c>
      <c r="AK367">
        <f t="shared" si="209"/>
        <v>-0.3902146410007537</v>
      </c>
      <c r="AL367">
        <f t="shared" si="210"/>
        <v>0.92072391841889989</v>
      </c>
      <c r="AM367">
        <f t="shared" si="211"/>
        <v>577</v>
      </c>
      <c r="AN367">
        <f t="shared" si="212"/>
        <v>-288.5</v>
      </c>
      <c r="AO367">
        <f t="shared" si="213"/>
        <v>288.5</v>
      </c>
      <c r="AP367" s="16" cm="1">
        <f t="array" ref="AP367">SUMPRODUCT(1362*POWER(0.7,POWER(1/($AI$2*AK367+$AJ$2*AL367*COS(RADIANS(0.25*(_xlfn.SEQUENCE(AO367-AN367,1,AN367+1))))+0.50572*POWER(96.07995-DEGREES(ACOS($AI$2*AK367+$AJ$2*AL367*COS(RADIANS(0.25*(_xlfn.SEQUENCE(AO367-AN367,1,AN367+1)))))),-1.6364)),0.678))*IF(AL367*COS(RADIANS(0.25*(_xlfn.SEQUENCE(AO367-AN367,1,AN367+1))))&gt;0,AL367*COS(RADIANS(0.25*(_xlfn.SEQUENCE(AO367-AN367,1,AN367+1)))),0)/60)</f>
        <v>4216.3927676162384</v>
      </c>
      <c r="AQ367" s="17" cm="1">
        <f t="array" ref="AQ367">SUMPRODUCT(1362*POWER(0.7,POWER(1/($AI$2*AK367+$AJ$2*AL367*COS(RADIANS(0.25*(_xlfn.SEQUENCE(AO367-AN367,1,AN367+1))))+0.50572*POWER(96.07995-DEGREES(ACOS($AI$2*AK367+$AJ$2*AL367*COS(RADIANS(0.25*(_xlfn.SEQUENCE(AO367-AN367,1,AN367+1)))))),-1.6364)),0.678))/60)</f>
        <v>5492.4970217116088</v>
      </c>
      <c r="AR367" s="15">
        <f t="shared" si="214"/>
        <v>1.3026530791667266</v>
      </c>
      <c r="AT367">
        <v>0.45038252482475338</v>
      </c>
      <c r="AU367">
        <v>63.231771006308968</v>
      </c>
      <c r="AV367">
        <v>2.2121403204031371</v>
      </c>
      <c r="AW367">
        <v>739.28924988182177</v>
      </c>
    </row>
    <row r="368" spans="4:49" x14ac:dyDescent="0.2">
      <c r="AT368">
        <v>0.44931987328676326</v>
      </c>
      <c r="AU368">
        <v>63.29994390355219</v>
      </c>
      <c r="AV368">
        <v>2.2173247934531735</v>
      </c>
      <c r="AW368">
        <v>738.57208806019003</v>
      </c>
    </row>
    <row r="369" spans="46:49" x14ac:dyDescent="0.2">
      <c r="AT369">
        <v>0.44824413829161336</v>
      </c>
      <c r="AU369">
        <v>63.368914623703368</v>
      </c>
      <c r="AV369">
        <v>2.2225977688799761</v>
      </c>
      <c r="AW369">
        <v>737.84395023708203</v>
      </c>
    </row>
    <row r="370" spans="46:49" x14ac:dyDescent="0.2">
      <c r="AT370">
        <v>0.44715534031974746</v>
      </c>
      <c r="AU370">
        <v>63.438680509134308</v>
      </c>
      <c r="AV370">
        <v>2.2279602299574668</v>
      </c>
      <c r="AW370">
        <v>737.10476109179399</v>
      </c>
    </row>
    <row r="371" spans="46:49" x14ac:dyDescent="0.2">
      <c r="AT371">
        <v>0.44605350010030942</v>
      </c>
      <c r="AU371">
        <v>63.509238883207409</v>
      </c>
      <c r="AV371">
        <v>2.2334131825632939</v>
      </c>
      <c r="AW371">
        <v>736.3544438521169</v>
      </c>
    </row>
    <row r="372" spans="46:49" x14ac:dyDescent="0.2">
      <c r="AT372">
        <v>0.44493863861074889</v>
      </c>
      <c r="AU372">
        <v>63.580587050712055</v>
      </c>
      <c r="AV372">
        <v>2.2389576556830897</v>
      </c>
      <c r="AW372">
        <v>735.59292027172</v>
      </c>
    </row>
    <row r="373" spans="46:49" x14ac:dyDescent="0.2">
      <c r="AT373">
        <v>0.44381077707642147</v>
      </c>
      <c r="AU373">
        <v>63.652722298300532</v>
      </c>
      <c r="AV373">
        <v>2.2445947019302803</v>
      </c>
      <c r="AW373">
        <v>734.82011060697869</v>
      </c>
    </row>
    <row r="374" spans="46:49" x14ac:dyDescent="0.2">
      <c r="AT374">
        <v>0.44266993697018497</v>
      </c>
      <c r="AU374">
        <v>63.725641894923136</v>
      </c>
      <c r="AV374">
        <v>2.250325398081964</v>
      </c>
      <c r="AW374">
        <v>734.0359335932344</v>
      </c>
    </row>
    <row r="375" spans="46:49" x14ac:dyDescent="0.2">
      <c r="AT375">
        <v>0.44151614001199069</v>
      </c>
      <c r="AU375">
        <v>63.799343092262447</v>
      </c>
      <c r="AV375">
        <v>2.2561508456313919</v>
      </c>
      <c r="AW375">
        <v>733.2403064204741</v>
      </c>
    </row>
    <row r="376" spans="46:49" x14ac:dyDescent="0.2">
      <c r="AT376">
        <v>0.44034940816846935</v>
      </c>
      <c r="AU376">
        <v>63.87382312516668</v>
      </c>
      <c r="AV376">
        <v>2.2620721713576235</v>
      </c>
      <c r="AW376">
        <v>732.43314470841187</v>
      </c>
    </row>
    <row r="377" spans="46:49" x14ac:dyDescent="0.2">
      <c r="AT377">
        <v>0.4391697636525137</v>
      </c>
      <c r="AU377">
        <v>63.94907921208182</v>
      </c>
      <c r="AV377">
        <v>2.2680905279129231</v>
      </c>
      <c r="AW377">
        <v>731.61436248096197</v>
      </c>
    </row>
    <row r="378" spans="46:49" x14ac:dyDescent="0.2">
      <c r="AT378">
        <v>0.43797722892285462</v>
      </c>
      <c r="AU378">
        <v>64.025108555482603</v>
      </c>
      <c r="AV378">
        <v>2.2742070944285251</v>
      </c>
      <c r="AW378">
        <v>730.78387214008444</v>
      </c>
    </row>
    <row r="379" spans="46:49" x14ac:dyDescent="0.2">
      <c r="AT379">
        <v>0.43677182668363446</v>
      </c>
      <c r="AU379">
        <v>64.101908342302082</v>
      </c>
      <c r="AV379">
        <v>2.2804230771393743</v>
      </c>
      <c r="AW379">
        <v>729.94158443899198</v>
      </c>
    </row>
    <row r="380" spans="46:49" x14ac:dyDescent="0.2">
      <c r="AT380">
        <v>0.43555357988397436</v>
      </c>
      <c r="AU380">
        <v>64.179475744359763</v>
      </c>
      <c r="AV380">
        <v>2.2867397100285198</v>
      </c>
      <c r="AW380">
        <v>729.08740845469993</v>
      </c>
    </row>
    <row r="381" spans="46:49" x14ac:dyDescent="0.2">
      <c r="AT381">
        <v>0.43432251171753733</v>
      </c>
      <c r="AU381">
        <v>64.25780791878806</v>
      </c>
      <c r="AV381">
        <v>2.2931582554918393</v>
      </c>
      <c r="AW381">
        <v>728.22125155990068</v>
      </c>
    </row>
    <row r="382" spans="46:49" x14ac:dyDescent="0.2">
      <c r="AT382">
        <v>0.43307864562208653</v>
      </c>
      <c r="AU382">
        <v>64.336902008457045</v>
      </c>
      <c r="AV382">
        <v>2.2996800050237964</v>
      </c>
      <c r="AW382">
        <v>727.34301939415127</v>
      </c>
    </row>
    <row r="383" spans="46:49" x14ac:dyDescent="0.2">
      <c r="AT383">
        <v>0.43182200527903958</v>
      </c>
      <c r="AU383">
        <v>64.416755142397463</v>
      </c>
      <c r="AV383">
        <v>2.3063062799249838</v>
      </c>
      <c r="AW383">
        <v>726.45261583435251</v>
      </c>
    </row>
    <row r="384" spans="46:49" x14ac:dyDescent="0.2">
      <c r="AT384">
        <v>0.43055261461301741</v>
      </c>
      <c r="AU384">
        <v>64.497364436221574</v>
      </c>
      <c r="AV384">
        <v>2.313038432032219</v>
      </c>
      <c r="AW384">
        <v>725.54994296450184</v>
      </c>
    </row>
    <row r="385" spans="46:49" x14ac:dyDescent="0.2">
      <c r="AT385">
        <v>0.42927049779138804</v>
      </c>
      <c r="AU385">
        <v>64.5787269925423</v>
      </c>
      <c r="AV385">
        <v>2.3198778444720025</v>
      </c>
      <c r="AW385">
        <v>724.63490104470395</v>
      </c>
    </row>
    <row r="386" spans="46:49" x14ac:dyDescent="0.2">
      <c r="AT386">
        <v>0.42797567922380797</v>
      </c>
      <c r="AU386">
        <v>64.660839901389707</v>
      </c>
      <c r="AV386">
        <v>2.3268259324381542</v>
      </c>
      <c r="AW386">
        <v>723.70738847941925</v>
      </c>
    </row>
    <row r="387" spans="46:49" x14ac:dyDescent="0.2">
      <c r="AT387">
        <v>0.42666818356175618</v>
      </c>
      <c r="AU387">
        <v>64.743700240625728</v>
      </c>
      <c r="AV387">
        <v>2.3338841439945357</v>
      </c>
      <c r="AW387">
        <v>722.7673017849288</v>
      </c>
    </row>
    <row r="388" spans="46:49" x14ac:dyDescent="0.2">
      <c r="AT388">
        <v>0.42534803569806545</v>
      </c>
      <c r="AU388">
        <v>64.827305076356154</v>
      </c>
      <c r="AV388">
        <v>2.3410539609037362</v>
      </c>
      <c r="AW388">
        <v>721.81453555599774</v>
      </c>
    </row>
    <row r="389" spans="46:49" x14ac:dyDescent="0.2">
      <c r="AT389">
        <v>0.42401526076644802</v>
      </c>
      <c r="AU389">
        <v>64.911651463340434</v>
      </c>
      <c r="AV389">
        <v>2.348336899482685</v>
      </c>
      <c r="AW389">
        <v>720.84898243171563</v>
      </c>
    </row>
    <row r="390" spans="46:49" x14ac:dyDescent="0.2">
      <c r="AT390">
        <v>0.42266988414101736</v>
      </c>
      <c r="AU390">
        <v>64.996736445398582</v>
      </c>
      <c r="AV390">
        <v>2.355734511486177</v>
      </c>
      <c r="AW390">
        <v>719.87053306049313</v>
      </c>
    </row>
    <row r="391" spans="46:49" x14ac:dyDescent="0.2">
      <c r="AT391">
        <v>0.42131193143580548</v>
      </c>
      <c r="AU391">
        <v>65.082557055815769</v>
      </c>
      <c r="AV391">
        <v>2.3632483850193315</v>
      </c>
      <c r="AW391">
        <v>718.87907606419208</v>
      </c>
    </row>
    <row r="392" spans="46:49" x14ac:dyDescent="0.2">
      <c r="AT392">
        <v>0.41994142850427396</v>
      </c>
      <c r="AU392">
        <v>65.169110317744014</v>
      </c>
      <c r="AV392">
        <v>2.3708801454800863</v>
      </c>
      <c r="AW392">
        <v>717.8744980013654</v>
      </c>
    </row>
    <row r="393" spans="46:49" x14ac:dyDescent="0.2">
      <c r="AT393">
        <v>0.41855840143882339</v>
      </c>
      <c r="AU393">
        <v>65.256393244601</v>
      </c>
      <c r="AV393">
        <v>2.3786314565327999</v>
      </c>
      <c r="AW393">
        <v>716.85668332958653</v>
      </c>
    </row>
    <row r="394" spans="46:49" x14ac:dyDescent="0.2">
      <c r="AT394">
        <v>0.41716287657029538</v>
      </c>
      <c r="AU394">
        <v>65.344402840466046</v>
      </c>
      <c r="AV394">
        <v>2.3865040211141872</v>
      </c>
      <c r="AW394">
        <v>715.82551436684162</v>
      </c>
    </row>
    <row r="395" spans="46:49" x14ac:dyDescent="0.2">
      <c r="AT395">
        <v>0.41575488046747189</v>
      </c>
      <c r="AU395">
        <v>65.433136100473121</v>
      </c>
      <c r="AV395">
        <v>2.3944995824727604</v>
      </c>
      <c r="AW395">
        <v>714.780871251961</v>
      </c>
    </row>
    <row r="396" spans="46:49" x14ac:dyDescent="0.2">
      <c r="AT396">
        <v>0.41433443993656915</v>
      </c>
      <c r="AU396">
        <v>65.522590011200649</v>
      </c>
      <c r="AV396">
        <v>2.4026199252430862</v>
      </c>
      <c r="AW396">
        <v>713.72263190406306</v>
      </c>
    </row>
    <row r="397" spans="46:49" x14ac:dyDescent="0.2">
      <c r="AT397">
        <v>0.41290158202072735</v>
      </c>
      <c r="AU397">
        <v>65.612761551058327</v>
      </c>
      <c r="AV397">
        <v>2.4108668765561596</v>
      </c>
      <c r="AW397">
        <v>712.65067198098643</v>
      </c>
    </row>
    <row r="398" spans="46:49" x14ac:dyDescent="0.2">
      <c r="AT398">
        <v>0.41145633399949555</v>
      </c>
      <c r="AU398">
        <v>65.703647690670607</v>
      </c>
      <c r="AV398">
        <v>2.4192423071873055</v>
      </c>
      <c r="AW398">
        <v>711.56486483668152</v>
      </c>
    </row>
    <row r="399" spans="46:49" x14ac:dyDescent="0.2">
      <c r="AT399">
        <v>0.40999872338831322</v>
      </c>
      <c r="AU399">
        <v>65.795245393256891</v>
      </c>
      <c r="AV399">
        <v>2.4277481327430412</v>
      </c>
      <c r="AW399">
        <v>710.4650814775348</v>
      </c>
    </row>
    <row r="400" spans="46:49" x14ac:dyDescent="0.2">
      <c r="AT400">
        <v>0.40852877793798492</v>
      </c>
      <c r="AU400">
        <v>65.887551615008448</v>
      </c>
      <c r="AV400">
        <v>2.4363863148884346</v>
      </c>
      <c r="AW400">
        <v>709.35119051759432</v>
      </c>
    </row>
    <row r="401" spans="46:49" x14ac:dyDescent="0.2">
      <c r="AT401">
        <v>0.40704652563415322</v>
      </c>
      <c r="AU401">
        <v>65.980563305461757</v>
      </c>
      <c r="AV401">
        <v>2.4451588626165139</v>
      </c>
      <c r="AW401">
        <v>708.22305813267201</v>
      </c>
    </row>
    <row r="402" spans="46:49" x14ac:dyDescent="0.2">
      <c r="AT402">
        <v>0.40555199469676562</v>
      </c>
      <c r="AU402">
        <v>66.07427740786855</v>
      </c>
      <c r="AV402">
        <v>2.4540678335614143</v>
      </c>
      <c r="AW402">
        <v>707.08054801328785</v>
      </c>
    </row>
    <row r="403" spans="46:49" x14ac:dyDescent="0.2">
      <c r="AT403">
        <v>0.40404521357953649</v>
      </c>
      <c r="AU403">
        <v>66.168690859562133</v>
      </c>
      <c r="AV403">
        <v>2.4631153353569708</v>
      </c>
      <c r="AW403">
        <v>705.92352131642394</v>
      </c>
    </row>
    <row r="404" spans="46:49" x14ac:dyDescent="0.2">
      <c r="AT404">
        <v>0.40252621096940655</v>
      </c>
      <c r="AU404">
        <v>66.263800592320209</v>
      </c>
      <c r="AV404">
        <v>2.4723035270425711</v>
      </c>
      <c r="AW404">
        <v>704.75183661606138</v>
      </c>
    </row>
    <row r="405" spans="46:49" x14ac:dyDescent="0.2">
      <c r="AT405">
        <v>0.40099501578599595</v>
      </c>
      <c r="AU405">
        <v>66.35960353272398</v>
      </c>
      <c r="AV405">
        <v>2.4816346205181636</v>
      </c>
      <c r="AW405">
        <v>703.56534985246117</v>
      </c>
    </row>
    <row r="406" spans="46:49" x14ac:dyDescent="0.2">
      <c r="AT406">
        <v>0.39945165718105358</v>
      </c>
      <c r="AU406">
        <v>66.456096602513583</v>
      </c>
      <c r="AV406">
        <v>2.4911108820504042</v>
      </c>
      <c r="AW406">
        <v>702.363914280156</v>
      </c>
    </row>
    <row r="407" spans="46:49" x14ac:dyDescent="0.2">
      <c r="AT407">
        <v>0.39789616453790266</v>
      </c>
      <c r="AU407">
        <v>66.55327671893977</v>
      </c>
      <c r="AV407">
        <v>2.5007346338319971</v>
      </c>
      <c r="AW407">
        <v>701.14738041462044</v>
      </c>
    </row>
    <row r="408" spans="46:49" x14ac:dyDescent="0.2">
      <c r="AT408">
        <v>0.39632856747088097</v>
      </c>
      <c r="AU408">
        <v>66.651140795111672</v>
      </c>
      <c r="AV408">
        <v>2.5105082555964136</v>
      </c>
      <c r="AW408">
        <v>699.91559597757976</v>
      </c>
    </row>
    <row r="409" spans="46:49" x14ac:dyDescent="0.2">
      <c r="AT409">
        <v>0.39474889582477712</v>
      </c>
      <c r="AU409">
        <v>66.749685740340851</v>
      </c>
      <c r="AV409">
        <v>2.5204341862902537</v>
      </c>
      <c r="AW409">
        <v>698.66840584092063</v>
      </c>
    </row>
    <row r="410" spans="46:49" x14ac:dyDescent="0.2">
      <c r="AT410">
        <v>0.393157179674262</v>
      </c>
      <c r="AU410">
        <v>66.848908460481411</v>
      </c>
      <c r="AV410">
        <v>2.5305149258056305</v>
      </c>
      <c r="AW410">
        <v>697.40565196916475</v>
      </c>
    </row>
    <row r="411" spans="46:49" x14ac:dyDescent="0.2">
      <c r="AT411">
        <v>0.39155344932331693</v>
      </c>
      <c r="AU411">
        <v>66.948805858266155</v>
      </c>
      <c r="AV411">
        <v>2.5407530367750479</v>
      </c>
      <c r="AW411">
        <v>696.1271733604691</v>
      </c>
    </row>
    <row r="412" spans="46:49" x14ac:dyDescent="0.2">
      <c r="AT412">
        <v>0.38993773530465592</v>
      </c>
      <c r="AU412">
        <v>67.049374833638737</v>
      </c>
      <c r="AV412">
        <v>2.5511511464314167</v>
      </c>
      <c r="AW412">
        <v>694.83280598610486</v>
      </c>
    </row>
    <row r="413" spans="46:49" x14ac:dyDescent="0.2">
      <c r="AT413">
        <v>0.38831006837914483</v>
      </c>
      <c r="AU413">
        <v>67.150612284081916</v>
      </c>
      <c r="AV413">
        <v>2.5617119485359026</v>
      </c>
      <c r="AW413">
        <v>693.52238272837872</v>
      </c>
    </row>
    <row r="414" spans="46:49" x14ac:dyDescent="0.2">
      <c r="AT414">
        <v>0.38667047953521583</v>
      </c>
      <c r="AU414">
        <v>67.252515104941679</v>
      </c>
      <c r="AV414">
        <v>2.5724382053765016</v>
      </c>
      <c r="AW414">
        <v>692.1957333169504</v>
      </c>
    </row>
    <row r="415" spans="46:49" x14ac:dyDescent="0.2">
      <c r="AT415">
        <v>0.38501899998827693</v>
      </c>
      <c r="AU415">
        <v>67.355080189747355</v>
      </c>
      <c r="AV415">
        <v>2.5833327498403342</v>
      </c>
      <c r="AW415">
        <v>690.85268426350206</v>
      </c>
    </row>
    <row r="416" spans="46:49" x14ac:dyDescent="0.2">
      <c r="AT416">
        <v>0.38335566118011832</v>
      </c>
      <c r="AU416">
        <v>67.458304430527605</v>
      </c>
      <c r="AV416">
        <v>2.594398487562807</v>
      </c>
      <c r="AW416">
        <v>689.49305879471319</v>
      </c>
    </row>
    <row r="417" spans="46:49" x14ac:dyDescent="0.2">
      <c r="AT417">
        <v>0.38168049477831312</v>
      </c>
      <c r="AU417">
        <v>67.562184718122296</v>
      </c>
      <c r="AV417">
        <v>2.6056383991569612</v>
      </c>
      <c r="AW417">
        <v>688.11667678349318</v>
      </c>
    </row>
    <row r="418" spans="46:49" x14ac:dyDescent="0.2">
      <c r="AT418">
        <v>0.37999353267561509</v>
      </c>
      <c r="AU418">
        <v>67.666717942490237</v>
      </c>
      <c r="AV418">
        <v>2.6170555425264608</v>
      </c>
      <c r="AW418">
        <v>686.72335467842345</v>
      </c>
    </row>
    <row r="419" spans="46:49" x14ac:dyDescent="0.2">
      <c r="AT419">
        <v>0.3782948069893507</v>
      </c>
      <c r="AU419">
        <v>67.771900993012849</v>
      </c>
      <c r="AV419">
        <v>2.6286530552658811</v>
      </c>
      <c r="AW419">
        <v>685.31290543135754</v>
      </c>
    </row>
    <row r="420" spans="46:49" x14ac:dyDescent="0.2">
      <c r="AT420">
        <v>0.37658435006080859</v>
      </c>
      <c r="AU420">
        <v>67.877730758793362</v>
      </c>
      <c r="AV420">
        <v>2.6404341571521002</v>
      </c>
      <c r="AW420">
        <v>683.88513842312898</v>
      </c>
    </row>
    <row r="421" spans="46:49" x14ac:dyDescent="0.2">
      <c r="AT421">
        <v>0.37486219445462299</v>
      </c>
      <c r="AU421">
        <v>67.984204128952257</v>
      </c>
      <c r="AV421">
        <v>2.6524021527308319</v>
      </c>
      <c r="AW421">
        <v>682.43985938731032</v>
      </c>
    </row>
    <row r="422" spans="46:49" x14ac:dyDescent="0.2">
      <c r="AT422">
        <v>0.37312837295815426</v>
      </c>
      <c r="AU422">
        <v>68.091317992918093</v>
      </c>
      <c r="AV422">
        <v>2.6645604340025044</v>
      </c>
      <c r="AW422">
        <v>680.97687033197292</v>
      </c>
    </row>
    <row r="423" spans="46:49" x14ac:dyDescent="0.2">
      <c r="AT423">
        <v>0.37138291858086447</v>
      </c>
      <c r="AU423">
        <v>68.199069240714394</v>
      </c>
      <c r="AV423">
        <v>2.676912483211924</v>
      </c>
      <c r="AW423">
        <v>679.49596945938617</v>
      </c>
    </row>
    <row r="424" spans="46:49" x14ac:dyDescent="0.2">
      <c r="AT424">
        <v>0.36962586455368884</v>
      </c>
      <c r="AU424">
        <v>68.307454763242063</v>
      </c>
      <c r="AV424">
        <v>2.689461875746392</v>
      </c>
      <c r="AW424">
        <v>677.99695108360106</v>
      </c>
    </row>
    <row r="425" spans="46:49" x14ac:dyDescent="0.2">
      <c r="AT425">
        <v>0.36785724432840339</v>
      </c>
      <c r="AU425">
        <v>68.416471452557801</v>
      </c>
      <c r="AV425">
        <v>2.7022122831471616</v>
      </c>
      <c r="AW425">
        <v>676.47960554585791</v>
      </c>
    </row>
    <row r="426" spans="46:49" x14ac:dyDescent="0.2">
      <c r="AT426">
        <v>0.36607709157698776</v>
      </c>
      <c r="AU426">
        <v>68.526116202148131</v>
      </c>
      <c r="AV426">
        <v>2.7151674762394093</v>
      </c>
      <c r="AW426">
        <v>674.94371912775455</v>
      </c>
    </row>
    <row r="427" spans="46:49" x14ac:dyDescent="0.2">
      <c r="AT427">
        <v>0.36428544019098441</v>
      </c>
      <c r="AU427">
        <v>68.636385907199084</v>
      </c>
      <c r="AV427">
        <v>2.7283313283861363</v>
      </c>
      <c r="AW427">
        <v>673.38907396211391</v>
      </c>
    </row>
    <row r="428" spans="46:49" x14ac:dyDescent="0.2">
      <c r="AT428">
        <v>0.36248232428085292</v>
      </c>
      <c r="AU428">
        <v>68.747277464861952</v>
      </c>
      <c r="AV428">
        <v>2.7417078188717072</v>
      </c>
      <c r="AW428">
        <v>671.8154479414851</v>
      </c>
    </row>
    <row r="429" spans="46:49" x14ac:dyDescent="0.2">
      <c r="AT429">
        <v>0.36066777817532125</v>
      </c>
      <c r="AU429">
        <v>68.858787774514397</v>
      </c>
      <c r="AV429">
        <v>2.7553010364210446</v>
      </c>
      <c r="AW429">
        <v>670.22261462421079</v>
      </c>
    </row>
    <row r="430" spans="46:49" x14ac:dyDescent="0.2">
      <c r="AT430">
        <v>0.35884183642073164</v>
      </c>
      <c r="AU430">
        <v>68.970913738017572</v>
      </c>
      <c r="AV430">
        <v>2.7691151828608129</v>
      </c>
      <c r="AW430">
        <v>668.61034313799212</v>
      </c>
    </row>
    <row r="431" spans="46:49" x14ac:dyDescent="0.2">
      <c r="AT431">
        <v>0.35700453378038288</v>
      </c>
      <c r="AU431">
        <v>69.083652259968915</v>
      </c>
      <c r="AV431">
        <v>2.7831545769292543</v>
      </c>
      <c r="AW431">
        <v>666.97839808088156</v>
      </c>
    </row>
    <row r="432" spans="46:49" x14ac:dyDescent="0.2">
      <c r="AT432">
        <v>0.35515590523386908</v>
      </c>
      <c r="AU432">
        <v>69.197000247950598</v>
      </c>
      <c r="AV432">
        <v>2.7974236582417111</v>
      </c>
      <c r="AW432">
        <v>665.32653941962883</v>
      </c>
    </row>
    <row r="433" spans="46:49" x14ac:dyDescent="0.2">
      <c r="AT433">
        <v>0.35329598597641276</v>
      </c>
      <c r="AU433">
        <v>69.310954612773997</v>
      </c>
      <c r="AV433">
        <v>2.8119269914192504</v>
      </c>
      <c r="AW433">
        <v>663.65452238530816</v>
      </c>
    </row>
    <row r="434" spans="46:49" x14ac:dyDescent="0.2">
      <c r="AT434">
        <v>0.35142481141819581</v>
      </c>
      <c r="AU434">
        <v>69.42551226871953</v>
      </c>
      <c r="AV434">
        <v>2.8266692703881957</v>
      </c>
      <c r="AW434">
        <v>661.96209736614981</v>
      </c>
    </row>
    <row r="435" spans="46:49" x14ac:dyDescent="0.2">
      <c r="AT435">
        <v>0.3495424171836844</v>
      </c>
      <c r="AU435">
        <v>69.540670133772693</v>
      </c>
      <c r="AV435">
        <v>2.8416553228588235</v>
      </c>
      <c r="AW435">
        <v>660.2490097974943</v>
      </c>
    </row>
    <row r="436" spans="46:49" x14ac:dyDescent="0.2">
      <c r="AT436">
        <v>0.34764883911095146</v>
      </c>
      <c r="AU436">
        <v>69.656425129855549</v>
      </c>
      <c r="AV436">
        <v>2.8568901149919137</v>
      </c>
      <c r="AW436">
        <v>658.51500004879438</v>
      </c>
    </row>
    <row r="437" spans="46:49" x14ac:dyDescent="0.2">
      <c r="AT437">
        <v>0.34574411325099386</v>
      </c>
      <c r="AU437">
        <v>69.772774183054239</v>
      </c>
      <c r="AV437">
        <v>2.8723787562623495</v>
      </c>
      <c r="AW437">
        <v>656.75980330757795</v>
      </c>
    </row>
    <row r="438" spans="46:49" x14ac:dyDescent="0.2">
      <c r="AT438">
        <v>0.34382827586704634</v>
      </c>
      <c r="AU438">
        <v>69.889714223842162</v>
      </c>
      <c r="AV438">
        <v>2.8881265045294571</v>
      </c>
      <c r="AW438">
        <v>654.98314946028927</v>
      </c>
    </row>
    <row r="439" spans="46:49" x14ac:dyDescent="0.2">
      <c r="AT439">
        <v>0.34190136343389121</v>
      </c>
      <c r="AU439">
        <v>70.007242187298999</v>
      </c>
      <c r="AV439">
        <v>2.9041387713243387</v>
      </c>
      <c r="AW439">
        <v>653.18476296992321</v>
      </c>
    </row>
    <row r="440" spans="46:49" x14ac:dyDescent="0.2">
      <c r="AT440">
        <v>0.33996341263716368</v>
      </c>
      <c r="AU440">
        <v>70.125355013325716</v>
      </c>
      <c r="AV440">
        <v>2.9204211273650289</v>
      </c>
      <c r="AW440">
        <v>651.36436275036124</v>
      </c>
    </row>
    <row r="441" spans="46:49" x14ac:dyDescent="0.2">
      <c r="AT441">
        <v>0.33801446037265326</v>
      </c>
      <c r="AU441">
        <v>70.244049646855217</v>
      </c>
      <c r="AV441">
        <v>2.9369793083109177</v>
      </c>
      <c r="AW441">
        <v>649.52166203732099</v>
      </c>
    </row>
    <row r="442" spans="46:49" x14ac:dyDescent="0.2">
      <c r="AT442">
        <v>0.33605454374560162</v>
      </c>
      <c r="AU442">
        <v>70.36332303805905</v>
      </c>
      <c r="AV442">
        <v>2.9538192207685494</v>
      </c>
      <c r="AW442">
        <v>647.6563682558276</v>
      </c>
    </row>
    <row r="443" spans="46:49" x14ac:dyDescent="0.2">
      <c r="AT443">
        <v>0.33408370006999633</v>
      </c>
      <c r="AU443">
        <v>70.483172142549861</v>
      </c>
      <c r="AV443">
        <v>2.9709469485616062</v>
      </c>
      <c r="AW443">
        <v>645.76818288411062</v>
      </c>
    </row>
    <row r="444" spans="46:49" x14ac:dyDescent="0.2">
      <c r="AT444">
        <v>0.33210196686786009</v>
      </c>
      <c r="AU444">
        <v>70.603593921579943</v>
      </c>
      <c r="AV444">
        <v>2.9883687592786381</v>
      </c>
      <c r="AW444">
        <v>643.85680131383174</v>
      </c>
    </row>
    <row r="445" spans="46:49" x14ac:dyDescent="0.2">
      <c r="AT445">
        <v>0.33010938186853656</v>
      </c>
      <c r="AU445">
        <v>70.724585342235486</v>
      </c>
      <c r="AV445">
        <v>3.0060911111128901</v>
      </c>
      <c r="AW445">
        <v>641.92191270654473</v>
      </c>
    </row>
    <row r="446" spans="46:49" x14ac:dyDescent="0.2">
      <c r="AT446">
        <v>0.32810598300797156</v>
      </c>
      <c r="AU446">
        <v>70.846143377627115</v>
      </c>
      <c r="AV446">
        <v>3.0241206600094319</v>
      </c>
      <c r="AW446">
        <v>639.96319984628758</v>
      </c>
    </row>
    <row r="447" spans="46:49" x14ac:dyDescent="0.2">
      <c r="AT447">
        <v>0.32609180842799168</v>
      </c>
      <c r="AU447">
        <v>70.96826500707607</v>
      </c>
      <c r="AV447">
        <v>3.0424642671356907</v>
      </c>
      <c r="AW447">
        <v>637.98033898820881</v>
      </c>
    </row>
    <row r="448" spans="46:49" x14ac:dyDescent="0.2">
      <c r="AT448">
        <v>0.32406689647557774</v>
      </c>
      <c r="AU448">
        <v>71.09094721629657</v>
      </c>
      <c r="AV448">
        <v>3.0611290066924841</v>
      </c>
      <c r="AW448">
        <v>635.97299970311872</v>
      </c>
    </row>
    <row r="449" spans="46:49" x14ac:dyDescent="0.2">
      <c r="AT449">
        <v>0.32203128570213424</v>
      </c>
      <c r="AU449">
        <v>71.214186997574302</v>
      </c>
      <c r="AV449">
        <v>3.0801221740836549</v>
      </c>
      <c r="AW449">
        <v>633.94084471786618</v>
      </c>
    </row>
    <row r="450" spans="46:49" x14ac:dyDescent="0.2">
      <c r="AT450">
        <v>0.31998501486275621</v>
      </c>
      <c r="AU450">
        <v>71.337981349940804</v>
      </c>
      <c r="AV450">
        <v>3.0994512944635102</v>
      </c>
      <c r="AW450">
        <v>631.88352975143528</v>
      </c>
    </row>
    <row r="451" spans="46:49" x14ac:dyDescent="0.2">
      <c r="AT451">
        <v>0.31792812291549066</v>
      </c>
      <c r="AU451">
        <v>71.462327279344009</v>
      </c>
      <c r="AV451">
        <v>3.1191241316824843</v>
      </c>
      <c r="AW451">
        <v>629.80070334665152</v>
      </c>
    </row>
    <row r="452" spans="46:49" x14ac:dyDescent="0.2">
      <c r="AT452">
        <v>0.31586064902059541</v>
      </c>
      <c r="AU452">
        <v>71.587221798814909</v>
      </c>
      <c r="AV452">
        <v>3.1391486976526508</v>
      </c>
      <c r="AW452">
        <v>627.69200669739303</v>
      </c>
    </row>
    <row r="453" spans="46:49" x14ac:dyDescent="0.2">
      <c r="AT453">
        <v>0.3137826325397931</v>
      </c>
      <c r="AU453">
        <v>71.712661928630439</v>
      </c>
      <c r="AV453">
        <v>3.1595332621561134</v>
      </c>
      <c r="AW453">
        <v>625.55707347119721</v>
      </c>
    </row>
    <row r="454" spans="46:49" x14ac:dyDescent="0.2">
      <c r="AT454">
        <v>0.31169411303552219</v>
      </c>
      <c r="AU454">
        <v>71.838644696472372</v>
      </c>
      <c r="AV454">
        <v>3.180286363120699</v>
      </c>
      <c r="AW454">
        <v>623.39552962715391</v>
      </c>
    </row>
    <row r="455" spans="46:49" x14ac:dyDescent="0.2">
      <c r="AT455">
        <v>0.30959513027018359</v>
      </c>
      <c r="AU455">
        <v>71.96516713758264</v>
      </c>
      <c r="AV455">
        <v>3.2014168173889606</v>
      </c>
      <c r="AW455">
        <v>621.20699322897633</v>
      </c>
    </row>
    <row r="456" spans="46:49" x14ac:dyDescent="0.2">
      <c r="AT456">
        <v>0.30748572420538356</v>
      </c>
      <c r="AU456">
        <v>72.092226294914738</v>
      </c>
      <c r="AV456">
        <v>3.2229337320081273</v>
      </c>
      <c r="AW456">
        <v>618.99107425314082</v>
      </c>
    </row>
    <row r="457" spans="46:49" x14ac:dyDescent="0.2">
      <c r="AT457">
        <v>0.30536593500117271</v>
      </c>
      <c r="AU457">
        <v>72.219819219281462</v>
      </c>
      <c r="AV457">
        <v>3.2448465160704325</v>
      </c>
      <c r="AW457">
        <v>616.74737439198589</v>
      </c>
    </row>
    <row r="458" spans="46:49" x14ac:dyDescent="0.2">
      <c r="AT458">
        <v>0.30323580301528208</v>
      </c>
      <c r="AU458">
        <v>72.347942969498945</v>
      </c>
      <c r="AV458">
        <v>3.2671648931351207</v>
      </c>
      <c r="AW458">
        <v>614.47548685166862</v>
      </c>
    </row>
    <row r="459" spans="46:49" x14ac:dyDescent="0.2">
      <c r="AT459">
        <v>0.30109536880235399</v>
      </c>
      <c r="AU459">
        <v>72.476594612527109</v>
      </c>
      <c r="AV459">
        <v>3.2898989142655362</v>
      </c>
      <c r="AW459">
        <v>612.17499614486405</v>
      </c>
    </row>
    <row r="460" spans="46:49" x14ac:dyDescent="0.2">
      <c r="AT460">
        <v>0.29894467311317074</v>
      </c>
      <c r="AU460">
        <v>72.605771223606311</v>
      </c>
      <c r="AV460">
        <v>3.3130589717168042</v>
      </c>
      <c r="AW460">
        <v>609.84547787811323</v>
      </c>
    </row>
    <row r="461" spans="46:49" x14ac:dyDescent="0.2">
      <c r="AT461">
        <v>0.29678375689387781</v>
      </c>
      <c r="AU461">
        <v>72.735469886390675</v>
      </c>
      <c r="AV461">
        <v>3.3366558133120607</v>
      </c>
      <c r="AW461">
        <v>607.48649853371126</v>
      </c>
    </row>
    <row r="462" spans="46:49" x14ac:dyDescent="0.2">
      <c r="AT462">
        <v>0.29461266128520514</v>
      </c>
      <c r="AU462">
        <v>72.865687693077547</v>
      </c>
      <c r="AV462">
        <v>3.3607005575476228</v>
      </c>
      <c r="AW462">
        <v>605.09761524604505</v>
      </c>
    </row>
    <row r="463" spans="46:49" x14ac:dyDescent="0.2">
      <c r="AT463">
        <v>0.29243142762168384</v>
      </c>
      <c r="AU463">
        <v>72.996421744533791</v>
      </c>
      <c r="AV463">
        <v>3.3852047094702922</v>
      </c>
      <c r="AW463">
        <v>602.67837557228393</v>
      </c>
    </row>
    <row r="464" spans="46:49" x14ac:dyDescent="0.2">
      <c r="AT464">
        <v>0.29024009743085843</v>
      </c>
      <c r="AU464">
        <v>73.127669150418228</v>
      </c>
      <c r="AV464">
        <v>3.4101801773728662</v>
      </c>
      <c r="AW464">
        <v>600.22831725733226</v>
      </c>
    </row>
    <row r="465" spans="46:49" x14ac:dyDescent="0.2">
      <c r="AT465">
        <v>0.28803871243249712</v>
      </c>
      <c r="AU465">
        <v>73.259427029301008</v>
      </c>
      <c r="AV465">
        <v>3.4356392903570678</v>
      </c>
      <c r="AW465">
        <v>597.74696799297328</v>
      </c>
    </row>
    <row r="466" spans="46:49" x14ac:dyDescent="0.2">
      <c r="AT466">
        <v>0.28582731453779697</v>
      </c>
      <c r="AU466">
        <v>73.391692508779229</v>
      </c>
      <c r="AV466">
        <v>3.4615948168165458</v>
      </c>
      <c r="AW466">
        <v>595.23384517111617</v>
      </c>
    </row>
    <row r="467" spans="46:49" x14ac:dyDescent="0.2">
      <c r="AT467">
        <v>0.28360594584858634</v>
      </c>
      <c r="AU467">
        <v>73.524462725589416</v>
      </c>
      <c r="AV467">
        <v>3.4880599838961976</v>
      </c>
      <c r="AW467">
        <v>592.68845563109255</v>
      </c>
    </row>
    <row r="468" spans="46:49" x14ac:dyDescent="0.2">
      <c r="AT468">
        <v>0.28137464865652295</v>
      </c>
      <c r="AU468">
        <v>73.657734825716645</v>
      </c>
      <c r="AV468">
        <v>3.5150484979880532</v>
      </c>
      <c r="AW468">
        <v>590.11029540094069</v>
      </c>
    </row>
    <row r="469" spans="46:49" x14ac:dyDescent="0.2">
      <c r="AT469">
        <v>0.27913346544228901</v>
      </c>
      <c r="AU469">
        <v>73.791505964500203</v>
      </c>
      <c r="AV469">
        <v>3.5425745663281609</v>
      </c>
      <c r="AW469">
        <v>587.49884943263498</v>
      </c>
    </row>
    <row r="470" spans="46:49" x14ac:dyDescent="0.2">
      <c r="AT470">
        <v>0.27688243887478226</v>
      </c>
      <c r="AU470">
        <v>73.925773306736218</v>
      </c>
      <c r="AV470">
        <v>3.5706529197635648</v>
      </c>
      <c r="AW470">
        <v>584.85359133123279</v>
      </c>
    </row>
    <row r="471" spans="46:49" x14ac:dyDescent="0.2">
      <c r="AT471">
        <v>0.27462161181030387</v>
      </c>
      <c r="AU471">
        <v>74.060534026776921</v>
      </c>
      <c r="AV471">
        <v>3.5992988367633565</v>
      </c>
      <c r="AW471">
        <v>582.17398307792155</v>
      </c>
    </row>
    <row r="472" spans="46:49" x14ac:dyDescent="0.2">
      <c r="AT472">
        <v>0.27235102729174221</v>
      </c>
      <c r="AU472">
        <v>74.195785308626782</v>
      </c>
      <c r="AV472">
        <v>3.6285281687532018</v>
      </c>
      <c r="AW472">
        <v>579.45947474697084</v>
      </c>
    </row>
    <row r="473" spans="46:49" x14ac:dyDescent="0.2">
      <c r="AT473">
        <v>0.27007072854775349</v>
      </c>
      <c r="AU473">
        <v>74.331524346035494</v>
      </c>
      <c r="AV473">
        <v>3.6583573668584961</v>
      </c>
      <c r="AW473">
        <v>576.7095042166128</v>
      </c>
    </row>
    <row r="474" spans="46:49" x14ac:dyDescent="0.2">
      <c r="AT474">
        <v>0.26778075899193887</v>
      </c>
      <c r="AU474">
        <v>74.467748342587853</v>
      </c>
      <c r="AV474">
        <v>3.6888035101475931</v>
      </c>
      <c r="AW474">
        <v>573.92349687389731</v>
      </c>
    </row>
    <row r="475" spans="46:49" x14ac:dyDescent="0.2">
      <c r="AT475">
        <v>0.26548116222201767</v>
      </c>
      <c r="AU475">
        <v>74.604454511790621</v>
      </c>
      <c r="AV475">
        <v>3.71988433547335</v>
      </c>
      <c r="AW475">
        <v>571.10086531359582</v>
      </c>
    </row>
    <row r="476" spans="46:49" x14ac:dyDescent="0.2">
      <c r="AT476">
        <v>0.26317198201899783</v>
      </c>
      <c r="AU476">
        <v>74.741640077156234</v>
      </c>
      <c r="AV476">
        <v>3.7516182690185702</v>
      </c>
      <c r="AW476">
        <v>568.24100903125589</v>
      </c>
    </row>
    <row r="477" spans="46:49" x14ac:dyDescent="0.2">
      <c r="AT477">
        <v>0.26085326234634154</v>
      </c>
      <c r="AU477">
        <v>74.879302272283766</v>
      </c>
      <c r="AV477">
        <v>3.7840244596589581</v>
      </c>
      <c r="AW477">
        <v>565.343314110542</v>
      </c>
    </row>
    <row r="478" spans="46:49" x14ac:dyDescent="0.2">
      <c r="AT478">
        <v>0.25852504734912907</v>
      </c>
      <c r="AU478">
        <v>75.01743834093665</v>
      </c>
      <c r="AV478">
        <v>3.8171228142657792</v>
      </c>
      <c r="AW478">
        <v>562.40715290503931</v>
      </c>
    </row>
    <row r="479" spans="46:49" x14ac:dyDescent="0.2">
      <c r="AT479">
        <v>0.25618738135321806</v>
      </c>
      <c r="AU479">
        <v>75.156045537117691</v>
      </c>
      <c r="AV479">
        <v>3.8509340350799284</v>
      </c>
      <c r="AW479">
        <v>559.43188371473593</v>
      </c>
    </row>
    <row r="480" spans="46:49" x14ac:dyDescent="0.2">
      <c r="AT480">
        <v>0.25384030886439912</v>
      </c>
      <c r="AU480">
        <v>75.295121125141279</v>
      </c>
      <c r="AV480">
        <v>3.885479659299266</v>
      </c>
      <c r="AW480">
        <v>556.41685045744714</v>
      </c>
    </row>
    <row r="481" spans="46:49" x14ac:dyDescent="0.2">
      <c r="AT481">
        <v>0.25148387456754961</v>
      </c>
      <c r="AU481">
        <v>75.434662379702473</v>
      </c>
      <c r="AV481">
        <v>3.9207821010321902</v>
      </c>
      <c r="AW481">
        <v>553.36138233550707</v>
      </c>
    </row>
    <row r="482" spans="46:49" x14ac:dyDescent="0.2">
      <c r="AT482">
        <v>0.2491181233257814</v>
      </c>
      <c r="AU482">
        <v>75.574666585943646</v>
      </c>
      <c r="AV482">
        <v>3.9568646957826052</v>
      </c>
      <c r="AW482">
        <v>550.26479349809983</v>
      </c>
    </row>
    <row r="483" spans="46:49" x14ac:dyDescent="0.2">
      <c r="AT483">
        <v>0.24674310017958825</v>
      </c>
      <c r="AU483">
        <v>75.71513103951817</v>
      </c>
      <c r="AV483">
        <v>3.9937517476444704</v>
      </c>
      <c r="AW483">
        <v>547.12638269968863</v>
      </c>
    </row>
    <row r="484" spans="46:49" x14ac:dyDescent="0.2">
      <c r="AT484">
        <v>0.24435885034598723</v>
      </c>
      <c r="AU484">
        <v>75.856053046651425</v>
      </c>
      <c r="AV484">
        <v>4.0314685793986627</v>
      </c>
      <c r="AW484">
        <v>543.9454329550581</v>
      </c>
    </row>
    <row r="485" spans="46:49" x14ac:dyDescent="0.2">
      <c r="AT485">
        <v>0.24196541921765838</v>
      </c>
      <c r="AU485">
        <v>75.99742992419921</v>
      </c>
      <c r="AV485">
        <v>4.0700415857203707</v>
      </c>
      <c r="AW485">
        <v>540.72121119159124</v>
      </c>
    </row>
    <row r="486" spans="46:49" x14ac:dyDescent="0.2">
      <c r="AT486">
        <v>0.23956285236208028</v>
      </c>
      <c r="AU486">
        <v>76.139258999703472</v>
      </c>
      <c r="AV486">
        <v>4.1094982897224819</v>
      </c>
      <c r="AW486">
        <v>537.45296789948088</v>
      </c>
    </row>
    <row r="487" spans="46:49" x14ac:dyDescent="0.2">
      <c r="AT487">
        <v>0.23715119552066274</v>
      </c>
      <c r="AU487">
        <v>76.281537611445444</v>
      </c>
      <c r="AV487">
        <v>4.1498674030790141</v>
      </c>
      <c r="AW487">
        <v>534.13993678069698</v>
      </c>
    </row>
    <row r="488" spans="46:49" x14ac:dyDescent="0.2">
      <c r="AT488">
        <v>0.23473049460787562</v>
      </c>
      <c r="AU488">
        <v>76.42426310849622</v>
      </c>
      <c r="AV488">
        <v>4.1911788899931235</v>
      </c>
      <c r="AW488">
        <v>530.78133439764247</v>
      </c>
    </row>
    <row r="489" spans="46:49" x14ac:dyDescent="0.2">
      <c r="AT489">
        <v>0.23230079571037485</v>
      </c>
      <c r="AU489">
        <v>76.567432850764931</v>
      </c>
      <c r="AV489">
        <v>4.2334640352965387</v>
      </c>
      <c r="AW489">
        <v>527.37635982257211</v>
      </c>
    </row>
    <row r="490" spans="46:49" x14ac:dyDescent="0.2">
      <c r="AT490">
        <v>0.22986214508612532</v>
      </c>
      <c r="AU490">
        <v>76.711044209044232</v>
      </c>
      <c r="AV490">
        <v>4.2767555169917548</v>
      </c>
      <c r="AW490">
        <v>523.92419428899518</v>
      </c>
    </row>
    <row r="491" spans="46:49" x14ac:dyDescent="0.2">
      <c r="AT491">
        <v>0.22741458916351939</v>
      </c>
      <c r="AU491">
        <v>76.855094565053619</v>
      </c>
      <c r="AV491">
        <v>4.3210874835751891</v>
      </c>
      <c r="AW491">
        <v>520.42400084645544</v>
      </c>
    </row>
    <row r="492" spans="46:49" x14ac:dyDescent="0.2">
      <c r="AT492">
        <v>0.22495817454049408</v>
      </c>
      <c r="AU492">
        <v>76.999581311480085</v>
      </c>
      <c r="AV492">
        <v>4.3664956365088425</v>
      </c>
      <c r="AW492">
        <v>516.8749240202676</v>
      </c>
    </row>
    <row r="493" spans="46:49" x14ac:dyDescent="0.2">
      <c r="AT493">
        <v>0.22249294798364275</v>
      </c>
      <c r="AU493">
        <v>77.144501852016631</v>
      </c>
      <c r="AV493">
        <v>4.4130173182404446</v>
      </c>
      <c r="AW493">
        <v>513.27608947800434</v>
      </c>
    </row>
    <row r="494" spans="46:49" x14ac:dyDescent="0.2">
      <c r="AT494">
        <v>0.22001895642732547</v>
      </c>
      <c r="AU494">
        <v>77.289853601398377</v>
      </c>
      <c r="AV494">
        <v>4.4606916062074617</v>
      </c>
      <c r="AW494">
        <v>509.6266037047605</v>
      </c>
    </row>
    <row r="495" spans="46:49" x14ac:dyDescent="0.2">
      <c r="AT495">
        <v>0.21753624697277538</v>
      </c>
      <c r="AU495">
        <v>77.435633985436354</v>
      </c>
      <c r="AV495">
        <v>4.5095594132994785</v>
      </c>
      <c r="AW495">
        <v>505.92555368948865</v>
      </c>
    </row>
    <row r="496" spans="46:49" x14ac:dyDescent="0.2">
      <c r="AT496">
        <v>0.21504486688720179</v>
      </c>
      <c r="AU496">
        <v>77.58184044104911</v>
      </c>
      <c r="AV496">
        <v>4.5596635952964633</v>
      </c>
      <c r="AW496">
        <v>502.17200662499249</v>
      </c>
    </row>
    <row r="497" spans="46:49" x14ac:dyDescent="0.2">
      <c r="AT497">
        <v>0.21254486360289018</v>
      </c>
      <c r="AU497">
        <v>77.728470416292097</v>
      </c>
      <c r="AV497">
        <v>4.6110490658477934</v>
      </c>
      <c r="AW497">
        <v>498.36500962449503</v>
      </c>
    </row>
    <row r="498" spans="46:49" x14ac:dyDescent="0.2">
      <c r="AT498">
        <v>0.2100362847162994</v>
      </c>
      <c r="AU498">
        <v>77.875521370384874</v>
      </c>
      <c r="AV498">
        <v>4.6637629196092139</v>
      </c>
      <c r="AW498">
        <v>494.50358945806943</v>
      </c>
    </row>
    <row r="499" spans="46:49" x14ac:dyDescent="0.2">
      <c r="AT499">
        <v>0.20751917798715555</v>
      </c>
      <c r="AU499">
        <v>78.022990773736154</v>
      </c>
      <c r="AV499">
        <v>4.7178545642126117</v>
      </c>
      <c r="AW499">
        <v>490.58675231263032</v>
      </c>
    </row>
    <row r="500" spans="46:49" x14ac:dyDescent="0.2">
      <c r="AT500">
        <v>0.20499359133754227</v>
      </c>
      <c r="AU500">
        <v>78.170876107966919</v>
      </c>
      <c r="AV500">
        <v>4.7733758618073292</v>
      </c>
      <c r="AW500">
        <v>486.61348357964192</v>
      </c>
    </row>
    <row r="501" spans="46:49" x14ac:dyDescent="0.2">
      <c r="AT501">
        <v>0.20245957285098889</v>
      </c>
      <c r="AU501">
        <v>78.319174865931188</v>
      </c>
      <c r="AV501">
        <v>4.8303812809822153</v>
      </c>
      <c r="AW501">
        <v>482.58274767522261</v>
      </c>
    </row>
    <row r="502" spans="46:49" x14ac:dyDescent="0.2">
      <c r="AT502">
        <v>0.19991717077155466</v>
      </c>
      <c r="AU502">
        <v>78.46788455173504</v>
      </c>
      <c r="AV502">
        <v>4.8889280599558891</v>
      </c>
      <c r="AW502">
        <v>478.49348789789013</v>
      </c>
    </row>
    <row r="503" spans="46:49" x14ac:dyDescent="0.2">
      <c r="AT503">
        <v>0.19736643350291042</v>
      </c>
      <c r="AU503">
        <v>78.617002680753487</v>
      </c>
      <c r="AV503">
        <v>4.9490763820092631</v>
      </c>
      <c r="AW503">
        <v>474.34462632984634</v>
      </c>
    </row>
    <row r="504" spans="46:49" x14ac:dyDescent="0.2">
      <c r="AT504">
        <v>0.1948074096074168</v>
      </c>
      <c r="AU504">
        <v>78.76652677964546</v>
      </c>
      <c r="AV504">
        <v>5.0108895642305677</v>
      </c>
      <c r="AW504">
        <v>470.13506378841475</v>
      </c>
    </row>
    <row r="505" spans="46:49" x14ac:dyDescent="0.2">
      <c r="AT505">
        <v>0.1922401478052003</v>
      </c>
      <c r="AU505">
        <v>78.916454386366894</v>
      </c>
      <c r="AV505">
        <v>5.0744342607499169</v>
      </c>
      <c r="AW505">
        <v>465.86367983505187</v>
      </c>
    </row>
    <row r="506" spans="46:49" x14ac:dyDescent="0.2">
      <c r="AT506">
        <v>0.18966469697322477</v>
      </c>
      <c r="AU506">
        <v>79.06678305018184</v>
      </c>
      <c r="AV506">
        <v>5.1397806817593681</v>
      </c>
      <c r="AW506">
        <v>461.52933285025523</v>
      </c>
    </row>
    <row r="507" spans="46:49" x14ac:dyDescent="0.2">
      <c r="AT507">
        <v>0.18708110614436171</v>
      </c>
      <c r="AU507">
        <v>79.217510331671932</v>
      </c>
      <c r="AV507">
        <v>5.207002829746572</v>
      </c>
      <c r="AW507">
        <v>457.13086018370205</v>
      </c>
    </row>
    <row r="508" spans="46:49" x14ac:dyDescent="0.2">
      <c r="AT508">
        <v>0.18448942450645631</v>
      </c>
      <c r="AU508">
        <v>79.36863380274373</v>
      </c>
      <c r="AV508">
        <v>5.276178754517753</v>
      </c>
      <c r="AW508">
        <v>452.66707839008086</v>
      </c>
    </row>
    <row r="509" spans="46:49" x14ac:dyDescent="0.2">
      <c r="AT509">
        <v>0.18188970140139113</v>
      </c>
      <c r="AU509">
        <v>79.520151046634666</v>
      </c>
      <c r="AV509">
        <v>5.3473908287502168</v>
      </c>
      <c r="AW509">
        <v>448.13678356234146</v>
      </c>
    </row>
    <row r="510" spans="46:49" x14ac:dyDescent="0.2">
      <c r="AT510">
        <v>0.17928198632414669</v>
      </c>
      <c r="AU510">
        <v>79.67205965791689</v>
      </c>
      <c r="AV510">
        <v>5.4207260459985296</v>
      </c>
      <c r="AW510">
        <v>443.53875177551299</v>
      </c>
    </row>
    <row r="511" spans="46:49" x14ac:dyDescent="0.2">
      <c r="AT511">
        <v>0.17666632892185904</v>
      </c>
      <c r="AU511">
        <v>79.824357242499673</v>
      </c>
      <c r="AV511">
        <v>5.4962763432842019</v>
      </c>
      <c r="AW511">
        <v>438.87173965581667</v>
      </c>
    </row>
    <row r="512" spans="46:49" x14ac:dyDescent="0.2">
      <c r="AT512">
        <v>0.17404277899287487</v>
      </c>
      <c r="AU512">
        <v>79.977041417629977</v>
      </c>
      <c r="AV512">
        <v>5.5741389506290764</v>
      </c>
      <c r="AW512">
        <v>434.13448509158803</v>
      </c>
    </row>
    <row r="513" spans="46:49" x14ac:dyDescent="0.2">
      <c r="AT513">
        <v>0.17141138648580304</v>
      </c>
      <c r="AU513">
        <v>80.130109811891487</v>
      </c>
      <c r="AV513">
        <v>5.6544167701510197</v>
      </c>
      <c r="AW513">
        <v>429.32570810450738</v>
      </c>
    </row>
    <row r="514" spans="46:49" x14ac:dyDescent="0.2">
      <c r="AT514">
        <v>0.16877220149856367</v>
      </c>
      <c r="AU514">
        <v>80.283560065201968</v>
      </c>
      <c r="AV514">
        <v>5.7372187876305523</v>
      </c>
      <c r="AW514">
        <v>424.4441119018756</v>
      </c>
    </row>
    <row r="515" spans="46:49" x14ac:dyDescent="0.2">
      <c r="AT515">
        <v>0.16612527427743481</v>
      </c>
      <c r="AU515">
        <v>80.437389828808975</v>
      </c>
      <c r="AV515">
        <v>5.8226605197831542</v>
      </c>
      <c r="AW515">
        <v>419.48838413317668</v>
      </c>
    </row>
    <row r="516" spans="46:49" x14ac:dyDescent="0.2">
      <c r="AT516">
        <v>0.16347065521609513</v>
      </c>
      <c r="AU516">
        <v>80.591596765284265</v>
      </c>
      <c r="AV516">
        <v>5.9108645008391765</v>
      </c>
      <c r="AW516">
        <v>414.45719837696566</v>
      </c>
    </row>
    <row r="517" spans="46:49" x14ac:dyDescent="0.2">
      <c r="AT517">
        <v>0.160808394854665</v>
      </c>
      <c r="AU517">
        <v>80.746178548516369</v>
      </c>
      <c r="AV517">
        <v>6.0019608124469563</v>
      </c>
      <c r="AW517">
        <v>409.3492158872815</v>
      </c>
    </row>
    <row r="518" spans="46:49" x14ac:dyDescent="0.2">
      <c r="AT518">
        <v>0.15813854387874424</v>
      </c>
      <c r="AU518">
        <v>80.90113286370196</v>
      </c>
      <c r="AV518">
        <v>6.0960876613818691</v>
      </c>
      <c r="AW518">
        <v>404.16308763229966</v>
      </c>
    </row>
    <row r="519" spans="46:49" x14ac:dyDescent="0.2">
      <c r="AT519">
        <v>0.15546115311844685</v>
      </c>
      <c r="AU519">
        <v>81.056457407335557</v>
      </c>
      <c r="AV519">
        <v>6.1933920100719035</v>
      </c>
      <c r="AW519">
        <v>398.89745666190322</v>
      </c>
    </row>
    <row r="520" spans="46:49" x14ac:dyDescent="0.2">
      <c r="AT520">
        <v>0.15277627354743364</v>
      </c>
      <c r="AU520">
        <v>81.212149887197953</v>
      </c>
      <c r="AV520">
        <v>6.2940302655477058</v>
      </c>
      <c r="AW520">
        <v>393.55096084528833</v>
      </c>
    </row>
    <row r="521" spans="46:49" x14ac:dyDescent="0.2">
      <c r="AT521">
        <v>0.15008395628194141</v>
      </c>
      <c r="AU521">
        <v>81.368208022343211</v>
      </c>
      <c r="AV521">
        <v>6.39816903310225</v>
      </c>
      <c r="AW521">
        <v>388.12223602469135</v>
      </c>
    </row>
    <row r="522" spans="46:49" x14ac:dyDescent="0.2">
      <c r="AT522">
        <v>0.14738425257981</v>
      </c>
      <c r="AU522">
        <v>81.524629543084217</v>
      </c>
      <c r="AV522">
        <v>6.5059859417137043</v>
      </c>
      <c r="AW522">
        <v>382.60991963690861</v>
      </c>
    </row>
    <row r="523" spans="46:49" x14ac:dyDescent="0.2">
      <c r="AT523">
        <v>0.14467721383950624</v>
      </c>
      <c r="AU523">
        <v>81.681412190977014</v>
      </c>
      <c r="AV523">
        <v>6.6176705491585883</v>
      </c>
      <c r="AW523">
        <v>377.01265486052836</v>
      </c>
    </row>
    <row r="524" spans="46:49" x14ac:dyDescent="0.2">
      <c r="AT524">
        <v>0.14196289159914574</v>
      </c>
      <c r="AU524">
        <v>81.838553718803738</v>
      </c>
      <c r="AV524">
        <v>6.7334253357365279</v>
      </c>
      <c r="AW524">
        <v>371.32909535380765</v>
      </c>
    </row>
    <row r="525" spans="46:49" x14ac:dyDescent="0.2">
      <c r="AT525">
        <v>0.13924133753551135</v>
      </c>
      <c r="AU525">
        <v>81.996051890554384</v>
      </c>
      <c r="AV525">
        <v>6.8534667966613583</v>
      </c>
      <c r="AW525">
        <v>365.55791065596782</v>
      </c>
    </row>
    <row r="526" spans="46:49" x14ac:dyDescent="0.2">
      <c r="AT526">
        <v>0.13651260346306945</v>
      </c>
      <c r="AU526">
        <v>82.15390448140711</v>
      </c>
      <c r="AV526">
        <v>6.9780266444670485</v>
      </c>
      <c r="AW526">
        <v>359.69779233348231</v>
      </c>
    </row>
    <row r="527" spans="46:49" x14ac:dyDescent="0.2">
      <c r="AT527">
        <v>0.13377674133298342</v>
      </c>
      <c r="AU527">
        <v>82.312109277707663</v>
      </c>
      <c r="AV527">
        <v>7.1073531342563543</v>
      </c>
      <c r="AW527">
        <v>353.74746096275226</v>
      </c>
    </row>
    <row r="528" spans="46:49" x14ac:dyDescent="0.2">
      <c r="AT528">
        <v>0.1310338032321243</v>
      </c>
      <c r="AU528">
        <v>82.470664076947273</v>
      </c>
      <c r="AV528">
        <v>7.2417125263138047</v>
      </c>
      <c r="AW528">
        <v>347.70567405156328</v>
      </c>
    </row>
    <row r="529" spans="46:49" x14ac:dyDescent="0.2">
      <c r="AT529">
        <v>0.12828384138207996</v>
      </c>
      <c r="AU529">
        <v>82.629566687739526</v>
      </c>
      <c r="AV529">
        <v>7.3813907025470549</v>
      </c>
      <c r="AW529">
        <v>341.57123501398644</v>
      </c>
    </row>
    <row r="530" spans="46:49" x14ac:dyDescent="0.2">
      <c r="AT530">
        <v>0.12552690813815995</v>
      </c>
      <c r="AU530">
        <v>82.788814929796146</v>
      </c>
      <c r="AV530">
        <v>7.5266949554514637</v>
      </c>
      <c r="AW530">
        <v>335.34300332707153</v>
      </c>
    </row>
    <row r="531" spans="46:49" x14ac:dyDescent="0.2">
      <c r="AT531">
        <v>0.12276305598839918</v>
      </c>
      <c r="AU531">
        <v>82.948406633901584</v>
      </c>
      <c r="AV531">
        <v>7.6779559708584033</v>
      </c>
      <c r="AW531">
        <v>329.01990601292005</v>
      </c>
    </row>
    <row r="532" spans="46:49" x14ac:dyDescent="0.2">
      <c r="AT532">
        <v>0.11999233755255853</v>
      </c>
      <c r="AU532">
        <v>83.108339641886502</v>
      </c>
      <c r="AV532">
        <v>7.8355300286834613</v>
      </c>
      <c r="AW532">
        <v>322.60095060665742</v>
      </c>
    </row>
    <row r="533" spans="46:49" x14ac:dyDescent="0.2">
      <c r="AT533">
        <v>0.11721480558112304</v>
      </c>
      <c r="AU533">
        <v>83.268611806600262</v>
      </c>
      <c r="AV533">
        <v>7.9998014493001923</v>
      </c>
      <c r="AW533">
        <v>316.085239789578</v>
      </c>
    </row>
    <row r="534" spans="46:49" x14ac:dyDescent="0.2">
      <c r="AT534">
        <v>0.11443051295429804</v>
      </c>
      <c r="AU534">
        <v>83.429220991882332</v>
      </c>
      <c r="AV534">
        <v>8.1711853171038378</v>
      </c>
      <c r="AW534">
        <v>309.47198788748966</v>
      </c>
    </row>
    <row r="535" spans="46:49" x14ac:dyDescent="0.2">
      <c r="AT535">
        <v>0.11163951268100145</v>
      </c>
      <c r="AU535">
        <v>83.590165072532699</v>
      </c>
      <c r="AV535">
        <v>8.3501305173864928</v>
      </c>
      <c r="AW535">
        <v>302.76053945710015</v>
      </c>
    </row>
    <row r="536" spans="46:49" x14ac:dyDescent="0.2">
      <c r="AT536">
        <v>0.10884185789785536</v>
      </c>
      <c r="AU536">
        <v>83.751441934281246</v>
      </c>
      <c r="AV536">
        <v>8.5371231279237136</v>
      </c>
      <c r="AW536">
        <v>295.95039020833883</v>
      </c>
    </row>
    <row r="537" spans="46:49" x14ac:dyDescent="0.2">
      <c r="AT537">
        <v>0.10603760186817393</v>
      </c>
      <c r="AU537">
        <v>83.913049473756288</v>
      </c>
      <c r="AV537">
        <v>8.732690212796264</v>
      </c>
      <c r="AW537">
        <v>289.0412105377705</v>
      </c>
    </row>
    <row r="538" spans="46:49" x14ac:dyDescent="0.2">
      <c r="AT538">
        <v>0.10322679798095005</v>
      </c>
      <c r="AU538">
        <v>84.074985598451931</v>
      </c>
      <c r="AV538">
        <v>8.9374040730817175</v>
      </c>
      <c r="AW538">
        <v>282.03287197781634</v>
      </c>
    </row>
    <row r="539" spans="46:49" x14ac:dyDescent="0.2">
      <c r="AT539">
        <v>0.1004094997498379</v>
      </c>
      <c r="AU539">
        <v>84.23724822669476</v>
      </c>
      <c r="AV539">
        <v>9.1518870173188933</v>
      </c>
      <c r="AW539">
        <v>274.92547689818059</v>
      </c>
    </row>
    <row r="540" spans="46:49" x14ac:dyDescent="0.2">
      <c r="AT540">
        <v>9.7585760812134686E-2</v>
      </c>
      <c r="AU540">
        <v>84.39983528760952</v>
      </c>
      <c r="AV540">
        <v>9.3768167242696059</v>
      </c>
      <c r="AW540">
        <v>267.71939182954429</v>
      </c>
    </row>
    <row r="541" spans="46:49" x14ac:dyDescent="0.2">
      <c r="AT541">
        <v>9.4755634927759597E-2</v>
      </c>
      <c r="AU541">
        <v>84.562744721083888</v>
      </c>
      <c r="AV541">
        <v>9.6129322817090674</v>
      </c>
      <c r="AW541">
        <v>260.41528481474381</v>
      </c>
    </row>
    <row r="542" spans="46:49" x14ac:dyDescent="0.2">
      <c r="AT542">
        <v>9.1919175978229656E-2</v>
      </c>
      <c r="AU542">
        <v>84.72597447773245</v>
      </c>
      <c r="AV542">
        <v>9.8610409980356319</v>
      </c>
      <c r="AW542">
        <v>253.01416722872293</v>
      </c>
    </row>
    <row r="543" spans="46:49" x14ac:dyDescent="0.2">
      <c r="AT543">
        <v>8.9076437965634886E-2</v>
      </c>
      <c r="AU543">
        <v>84.889522518859806</v>
      </c>
      <c r="AV543">
        <v>10.122026098713853</v>
      </c>
      <c r="AW543">
        <v>245.51744054448929</v>
      </c>
    </row>
    <row r="544" spans="46:49" x14ac:dyDescent="0.2">
      <c r="AT544">
        <v>8.6227475011609239E-2</v>
      </c>
      <c r="AU544">
        <v>85.053386816422929</v>
      </c>
      <c r="AV544">
        <v>10.396855437310352</v>
      </c>
      <c r="AW544">
        <v>237.92694855665533</v>
      </c>
    </row>
    <row r="545" spans="46:49" x14ac:dyDescent="0.2">
      <c r="AT545">
        <v>8.3372341356300644E-2</v>
      </c>
      <c r="AU545">
        <v>85.217565352992622</v>
      </c>
      <c r="AV545">
        <v>10.686591371555547</v>
      </c>
      <c r="AW545">
        <v>230.24503560485942</v>
      </c>
    </row>
    <row r="546" spans="46:49" x14ac:dyDescent="0.2">
      <c r="AT546">
        <v>8.0511091357338221E-2</v>
      </c>
      <c r="AU546">
        <v>85.382056121714371</v>
      </c>
      <c r="AV546">
        <v>10.992401978925567</v>
      </c>
      <c r="AW546">
        <v>222.47461136346294</v>
      </c>
    </row>
    <row r="547" spans="46:49" x14ac:dyDescent="0.2">
      <c r="AT547">
        <v>7.7643779488797776E-2</v>
      </c>
      <c r="AU547">
        <v>85.546857126268264</v>
      </c>
      <c r="AV547">
        <v>11.315573814190287</v>
      </c>
      <c r="AW547">
        <v>214.61922277748104</v>
      </c>
    </row>
    <row r="548" spans="46:49" x14ac:dyDescent="0.2">
      <c r="AT548">
        <v>7.4770460340163963E-2</v>
      </c>
      <c r="AU548">
        <v>85.711966380828315</v>
      </c>
      <c r="AV548">
        <v>11.657526443755463</v>
      </c>
      <c r="AW548">
        <v>206.68313372221357</v>
      </c>
    </row>
    <row r="549" spans="46:49" x14ac:dyDescent="0.2">
      <c r="AT549">
        <v>7.1891188615291673E-2</v>
      </c>
      <c r="AU549">
        <v>85.877381910021057</v>
      </c>
      <c r="AV549">
        <v>12.019829028987676</v>
      </c>
      <c r="AW549">
        <v>198.67141293829255</v>
      </c>
    </row>
    <row r="550" spans="46:49" x14ac:dyDescent="0.2">
      <c r="AT550">
        <v>6.9006019131363977E-2</v>
      </c>
      <c r="AU550">
        <v>86.043101748883331</v>
      </c>
      <c r="AV550">
        <v>12.404219273566763</v>
      </c>
      <c r="AW550">
        <v>190.59003073506156</v>
      </c>
    </row>
    <row r="551" spans="46:49" x14ac:dyDescent="0.2">
      <c r="AT551">
        <v>6.6115006817849181E-2</v>
      </c>
      <c r="AU551">
        <v>86.209123942819616</v>
      </c>
      <c r="AV551">
        <v>12.812625098660648</v>
      </c>
      <c r="AW551">
        <v>182.44596485068493</v>
      </c>
    </row>
    <row r="552" spans="46:49" x14ac:dyDescent="0.2">
      <c r="AT552">
        <v>6.3218206715454389E-2</v>
      </c>
      <c r="AU552">
        <v>86.37544654755844</v>
      </c>
      <c r="AV552">
        <v>13.247189464522959</v>
      </c>
      <c r="AW552">
        <v>174.24731569039554</v>
      </c>
    </row>
    <row r="553" spans="46:49" x14ac:dyDescent="0.2">
      <c r="AT553">
        <v>6.0315673975077894E-2</v>
      </c>
      <c r="AU553">
        <v>86.542067629108473</v>
      </c>
      <c r="AV553">
        <v>13.710298817673172</v>
      </c>
      <c r="AW553">
        <v>166.00343091340534</v>
      </c>
    </row>
    <row r="554" spans="46:49" x14ac:dyDescent="0.2">
      <c r="AT554">
        <v>5.7407463856759128E-2</v>
      </c>
      <c r="AU554">
        <v>86.708985263713686</v>
      </c>
      <c r="AV554">
        <v>14.204615708041153</v>
      </c>
      <c r="AW554">
        <v>157.72503897663475</v>
      </c>
    </row>
    <row r="555" spans="46:49" x14ac:dyDescent="0.2">
      <c r="AT555">
        <v>5.4493631728626507E-2</v>
      </c>
      <c r="AU555">
        <v>86.876197537808068</v>
      </c>
      <c r="AV555">
        <v>14.733116187911055</v>
      </c>
      <c r="AW555">
        <v>149.42439073492039</v>
      </c>
    </row>
    <row r="556" spans="46:49" x14ac:dyDescent="0.2">
      <c r="AT556">
        <v>5.1574233065843827E-2</v>
      </c>
      <c r="AU556">
        <v>87.043702547969815</v>
      </c>
      <c r="AV556">
        <v>15.299132669576375</v>
      </c>
      <c r="AW556">
        <v>141.11540749955478</v>
      </c>
    </row>
    <row r="557" spans="46:49" x14ac:dyDescent="0.2">
      <c r="AT557">
        <v>4.8649323449553278E-2</v>
      </c>
      <c r="AU557">
        <v>87.211498400874788</v>
      </c>
      <c r="AV557">
        <v>15.906402973209321</v>
      </c>
      <c r="AW557">
        <v>132.81383301725177</v>
      </c>
    </row>
    <row r="558" spans="46:49" x14ac:dyDescent="0.2">
      <c r="AT558">
        <v>4.5718958565817785E-2</v>
      </c>
      <c r="AU558">
        <v>87.379583213249617</v>
      </c>
      <c r="AV558">
        <v>16.559126326887558</v>
      </c>
      <c r="AW558">
        <v>124.53738558736846</v>
      </c>
    </row>
    <row r="559" spans="46:49" x14ac:dyDescent="0.2">
      <c r="AT559">
        <v>4.2783194204560587E-2</v>
      </c>
      <c r="AU559">
        <v>87.547955111824052</v>
      </c>
      <c r="AV559">
        <v>17.26202706461342</v>
      </c>
      <c r="AW559">
        <v>116.30590491449362</v>
      </c>
    </row>
    <row r="560" spans="46:49" x14ac:dyDescent="0.2">
      <c r="AT560">
        <v>3.9842086258503578E-2</v>
      </c>
      <c r="AU560">
        <v>87.71661223328293</v>
      </c>
      <c r="AV560">
        <v>18.020426669435544</v>
      </c>
      <c r="AW560">
        <v>108.14148621809237</v>
      </c>
    </row>
    <row r="561" spans="46:49" x14ac:dyDescent="0.2">
      <c r="AT561">
        <v>3.6895690722102387E-2</v>
      </c>
      <c r="AU561">
        <v>87.885552724217717</v>
      </c>
      <c r="AV561">
        <v>18.840324570128924</v>
      </c>
      <c r="AW561">
        <v>100.06859151254223</v>
      </c>
    </row>
    <row r="562" spans="46:49" x14ac:dyDescent="0.2">
      <c r="AT562">
        <v>3.3944063690480836E-2</v>
      </c>
      <c r="AU562">
        <v>88.054774741077338</v>
      </c>
      <c r="AV562">
        <v>19.728487631061373</v>
      </c>
      <c r="AW562">
        <v>92.114124764339607</v>
      </c>
    </row>
    <row r="563" spans="46:49" x14ac:dyDescent="0.2">
      <c r="AT563">
        <v>3.0987261358363077E-2</v>
      </c>
      <c r="AU563">
        <v>88.224276450118666</v>
      </c>
      <c r="AV563">
        <v>20.692547434868299</v>
      </c>
      <c r="AW563">
        <v>84.307453798142163</v>
      </c>
    </row>
    <row r="564" spans="46:49" x14ac:dyDescent="0.2">
      <c r="AT564">
        <v>2.8025340019003059E-2</v>
      </c>
      <c r="AU564">
        <v>88.394056027356612</v>
      </c>
      <c r="AV564">
        <v>21.741103027480158</v>
      </c>
      <c r="AW564">
        <v>76.680357400842652</v>
      </c>
    </row>
    <row r="565" spans="46:49" x14ac:dyDescent="0.2">
      <c r="AT565">
        <v>2.505835606311399E-2</v>
      </c>
      <c r="AU565">
        <v>88.564111658513596</v>
      </c>
      <c r="AV565">
        <v>22.883824437366133</v>
      </c>
      <c r="AW565">
        <v>69.266871232123023</v>
      </c>
    </row>
    <row r="566" spans="46:49" x14ac:dyDescent="0.2">
      <c r="AT566">
        <v>2.2086365977793315E-2</v>
      </c>
      <c r="AU566">
        <v>88.734441538968767</v>
      </c>
      <c r="AV566">
        <v>24.131548479080251</v>
      </c>
      <c r="AW566">
        <v>62.103001271166661</v>
      </c>
    </row>
    <row r="567" spans="46:49" x14ac:dyDescent="0.2">
      <c r="AT567">
        <v>1.9109426345448349E-2</v>
      </c>
      <c r="AU567">
        <v>88.90504387370666</v>
      </c>
      <c r="AV567">
        <v>25.496352322803457</v>
      </c>
      <c r="AW567">
        <v>55.226269319031303</v>
      </c>
    </row>
    <row r="568" spans="46:49" x14ac:dyDescent="0.2">
      <c r="AT568">
        <v>1.6127593842718252E-2</v>
      </c>
      <c r="AU568">
        <v>89.075916877265584</v>
      </c>
      <c r="AV568">
        <v>26.991580887453161</v>
      </c>
      <c r="AW568">
        <v>48.675052714117953</v>
      </c>
    </row>
    <row r="569" spans="46:49" x14ac:dyDescent="0.2">
      <c r="AT569">
        <v>1.3140925239396056E-2</v>
      </c>
      <c r="AU569">
        <v>89.247058773685382</v>
      </c>
      <c r="AV569">
        <v>28.631789583970519</v>
      </c>
      <c r="AW569">
        <v>42.487681720639543</v>
      </c>
    </row>
    <row r="570" spans="46:49" x14ac:dyDescent="0.2">
      <c r="AT570">
        <v>1.0149477397346535E-2</v>
      </c>
      <c r="AU570">
        <v>89.418467796455175</v>
      </c>
      <c r="AV570">
        <v>30.432541872128624</v>
      </c>
      <c r="AW570">
        <v>36.7012656070481</v>
      </c>
    </row>
    <row r="571" spans="46:49" x14ac:dyDescent="0.2">
      <c r="AT571">
        <v>7.1533072694246191E-3</v>
      </c>
      <c r="AU571">
        <v>89.590142188460334</v>
      </c>
      <c r="AV571">
        <v>32.409968237255654</v>
      </c>
      <c r="AW571">
        <v>31.350235622253106</v>
      </c>
    </row>
    <row r="572" spans="46:49" x14ac:dyDescent="0.2">
      <c r="AT572">
        <v>4.1524718983906028E-3</v>
      </c>
      <c r="AU572">
        <v>89.762080201929436</v>
      </c>
      <c r="AV572">
        <v>34.579945559965807</v>
      </c>
      <c r="AW572">
        <v>26.46462379151691</v>
      </c>
    </row>
    <row r="573" spans="46:49" x14ac:dyDescent="0.2">
      <c r="AT573">
        <v>1.147028415824175E-3</v>
      </c>
      <c r="AU573">
        <v>89.934280098380697</v>
      </c>
      <c r="AV573">
        <v>36.956689525489381</v>
      </c>
      <c r="AW573">
        <v>22.068144252724</v>
      </c>
    </row>
    <row r="574" spans="46:49" x14ac:dyDescent="0.2">
      <c r="AT574">
        <v>-1.8629659589626535E-3</v>
      </c>
      <c r="AU574">
        <v>90.10674014856798</v>
      </c>
      <c r="AV574">
        <v>39.55046623601833</v>
      </c>
      <c r="AW574">
        <v>18.176210254263044</v>
      </c>
    </row>
    <row r="575" spans="46:49" x14ac:dyDescent="0.2">
      <c r="AT575">
        <v>-4.8774539200159561E-3</v>
      </c>
      <c r="AU575">
        <v>90.279458632426753</v>
      </c>
      <c r="AV575">
        <v>42.364029306540182</v>
      </c>
      <c r="AW575">
        <v>14.794101607805844</v>
      </c>
    </row>
    <row r="576" spans="46:49" x14ac:dyDescent="0.2">
      <c r="AT576">
        <v>-7.8963780758302959E-3</v>
      </c>
      <c r="AU576">
        <v>90.452433839019548</v>
      </c>
      <c r="AV576">
        <v>45.38730251730351</v>
      </c>
      <c r="AW576">
        <v>11.915582580485784</v>
      </c>
    </row>
    <row r="577" spans="46:49" x14ac:dyDescent="0.2">
      <c r="AT577">
        <v>-1.0919680950441574E-2</v>
      </c>
      <c r="AU577">
        <v>90.625664066481121</v>
      </c>
      <c r="AV577">
        <v>48.589825056392222</v>
      </c>
      <c r="AW577">
        <v>9.5223359339226121</v>
      </c>
    </row>
    <row r="578" spans="46:49" x14ac:dyDescent="0.2">
      <c r="AT578">
        <v>-1.3947304984520709E-2</v>
      </c>
      <c r="AU578">
        <v>90.799147621963357</v>
      </c>
      <c r="AV578">
        <v>51.910701451842421</v>
      </c>
      <c r="AW578">
        <v>7.5845923010991649</v>
      </c>
    </row>
  </sheetData>
  <mergeCells count="1">
    <mergeCell ref="A1:C1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>NOAA/ESRL/GMD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Cornwall</dc:creator>
  <cp:lastModifiedBy>Daniel Xia</cp:lastModifiedBy>
  <dcterms:created xsi:type="dcterms:W3CDTF">2010-02-16T14:55:33Z</dcterms:created>
  <dcterms:modified xsi:type="dcterms:W3CDTF">2026-09-21T02:18:41Z</dcterms:modified>
</cp:coreProperties>
</file>